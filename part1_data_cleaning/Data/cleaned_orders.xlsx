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ts\assignments\capstone\final\part1_data_cleaning\"/>
    </mc:Choice>
  </mc:AlternateContent>
  <bookViews>
    <workbookView xWindow="0" yWindow="0" windowWidth="20490" windowHeight="7035"/>
  </bookViews>
  <sheets>
    <sheet name="cleaned_orders" sheetId="1" r:id="rId1"/>
  </sheets>
  <definedNames>
    <definedName name="_xlnm._FilterDatabase" localSheetId="0" hidden="1">cleaned_orders!$A$1:$AV$1</definedName>
  </definedNames>
  <calcPr calcId="152511"/>
</workbook>
</file>

<file path=xl/calcChain.xml><?xml version="1.0" encoding="utf-8"?>
<calcChain xmlns="http://schemas.openxmlformats.org/spreadsheetml/2006/main">
  <c r="AR2" i="1" l="1"/>
  <c r="F4" i="1"/>
  <c r="F105" i="1"/>
  <c r="F106" i="1"/>
  <c r="F107" i="1"/>
  <c r="F217" i="1"/>
  <c r="F218" i="1"/>
  <c r="F223" i="1"/>
  <c r="F241" i="1"/>
  <c r="F255" i="1"/>
  <c r="F259" i="1"/>
  <c r="F300" i="1"/>
  <c r="F355" i="1"/>
  <c r="F359" i="1"/>
  <c r="F392" i="1"/>
  <c r="F464" i="1"/>
  <c r="F518" i="1"/>
  <c r="F580" i="1"/>
  <c r="F605" i="1"/>
  <c r="F651" i="1"/>
  <c r="F673" i="1"/>
  <c r="F675" i="1"/>
  <c r="F678" i="1"/>
  <c r="F702" i="1"/>
  <c r="F732" i="1"/>
  <c r="F743" i="1"/>
  <c r="F768" i="1"/>
  <c r="F779" i="1"/>
  <c r="E4" i="1"/>
  <c r="E105" i="1"/>
  <c r="E106" i="1"/>
  <c r="E107" i="1"/>
  <c r="E217" i="1"/>
  <c r="E218" i="1"/>
  <c r="E223" i="1"/>
  <c r="E241" i="1"/>
  <c r="E255" i="1"/>
  <c r="E259" i="1"/>
  <c r="E300" i="1"/>
  <c r="E355" i="1"/>
  <c r="E359" i="1"/>
  <c r="E392" i="1"/>
  <c r="E464" i="1"/>
  <c r="E518" i="1"/>
  <c r="E580" i="1"/>
  <c r="E605" i="1"/>
  <c r="E651" i="1"/>
  <c r="E673" i="1"/>
  <c r="E675" i="1"/>
  <c r="E678" i="1"/>
  <c r="E702" i="1"/>
  <c r="E732" i="1"/>
  <c r="E743" i="1"/>
  <c r="E768" i="1"/>
  <c r="E779" i="1"/>
  <c r="AR913" i="1"/>
  <c r="AS913" i="1" s="1"/>
  <c r="AT913" i="1" s="1"/>
  <c r="AR3" i="1"/>
  <c r="AS3" i="1" s="1"/>
  <c r="AT3" i="1" s="1"/>
  <c r="AR4" i="1"/>
  <c r="AS4" i="1" s="1"/>
  <c r="AT4" i="1" s="1"/>
  <c r="AR5" i="1"/>
  <c r="AS5" i="1" s="1"/>
  <c r="AT5" i="1" s="1"/>
  <c r="AR6" i="1"/>
  <c r="AS6" i="1" s="1"/>
  <c r="AT6" i="1" s="1"/>
  <c r="AR7" i="1"/>
  <c r="AS7" i="1" s="1"/>
  <c r="AT7" i="1" s="1"/>
  <c r="AR8" i="1"/>
  <c r="AS8" i="1" s="1"/>
  <c r="AT8" i="1" s="1"/>
  <c r="AR9" i="1"/>
  <c r="AS9" i="1" s="1"/>
  <c r="AT9" i="1" s="1"/>
  <c r="AR10" i="1"/>
  <c r="AS10" i="1" s="1"/>
  <c r="AT10" i="1" s="1"/>
  <c r="AR11" i="1"/>
  <c r="AS11" i="1" s="1"/>
  <c r="AT11" i="1" s="1"/>
  <c r="AR12" i="1"/>
  <c r="AS12" i="1" s="1"/>
  <c r="AT12" i="1" s="1"/>
  <c r="AR13" i="1"/>
  <c r="AS13" i="1" s="1"/>
  <c r="AT13" i="1" s="1"/>
  <c r="AR14" i="1"/>
  <c r="AS14" i="1" s="1"/>
  <c r="AT14" i="1" s="1"/>
  <c r="AR15" i="1"/>
  <c r="AS15" i="1" s="1"/>
  <c r="AT15" i="1" s="1"/>
  <c r="AR16" i="1"/>
  <c r="AS16" i="1" s="1"/>
  <c r="AT16" i="1" s="1"/>
  <c r="AR17" i="1"/>
  <c r="AS17" i="1" s="1"/>
  <c r="AT17" i="1" s="1"/>
  <c r="AR18" i="1"/>
  <c r="AS18" i="1" s="1"/>
  <c r="AT18" i="1" s="1"/>
  <c r="AR19" i="1"/>
  <c r="AS19" i="1" s="1"/>
  <c r="AT19" i="1" s="1"/>
  <c r="AR20" i="1"/>
  <c r="AS20" i="1" s="1"/>
  <c r="AT20" i="1" s="1"/>
  <c r="AR21" i="1"/>
  <c r="AS21" i="1" s="1"/>
  <c r="AT21" i="1" s="1"/>
  <c r="AR23" i="1"/>
  <c r="AS23" i="1" s="1"/>
  <c r="AT23" i="1" s="1"/>
  <c r="AR24" i="1"/>
  <c r="AS24" i="1" s="1"/>
  <c r="AT24" i="1" s="1"/>
  <c r="AR25" i="1"/>
  <c r="AS25" i="1" s="1"/>
  <c r="AT25" i="1" s="1"/>
  <c r="AR26" i="1"/>
  <c r="AS26" i="1" s="1"/>
  <c r="AT26" i="1" s="1"/>
  <c r="AR27" i="1"/>
  <c r="AS27" i="1" s="1"/>
  <c r="AT27" i="1" s="1"/>
  <c r="AR28" i="1"/>
  <c r="AS28" i="1" s="1"/>
  <c r="AT28" i="1" s="1"/>
  <c r="AR29" i="1"/>
  <c r="AS29" i="1" s="1"/>
  <c r="AT29" i="1" s="1"/>
  <c r="AR30" i="1"/>
  <c r="AS30" i="1" s="1"/>
  <c r="AT30" i="1" s="1"/>
  <c r="AR31" i="1"/>
  <c r="AS31" i="1" s="1"/>
  <c r="AT31" i="1" s="1"/>
  <c r="AR32" i="1"/>
  <c r="AS32" i="1" s="1"/>
  <c r="AT32" i="1" s="1"/>
  <c r="AR33" i="1"/>
  <c r="AS33" i="1" s="1"/>
  <c r="AT33" i="1" s="1"/>
  <c r="AR34" i="1"/>
  <c r="AS34" i="1" s="1"/>
  <c r="AT34" i="1" s="1"/>
  <c r="AR35" i="1"/>
  <c r="AS35" i="1" s="1"/>
  <c r="AT35" i="1" s="1"/>
  <c r="AR36" i="1"/>
  <c r="AS36" i="1" s="1"/>
  <c r="AT36" i="1" s="1"/>
  <c r="AR37" i="1"/>
  <c r="AS37" i="1" s="1"/>
  <c r="AT37" i="1" s="1"/>
  <c r="AR38" i="1"/>
  <c r="AS38" i="1" s="1"/>
  <c r="AT38" i="1" s="1"/>
  <c r="AR39" i="1"/>
  <c r="AS39" i="1" s="1"/>
  <c r="AT39" i="1" s="1"/>
  <c r="AR40" i="1"/>
  <c r="AS40" i="1" s="1"/>
  <c r="AT40" i="1" s="1"/>
  <c r="AR41" i="1"/>
  <c r="AS41" i="1" s="1"/>
  <c r="AT41" i="1" s="1"/>
  <c r="AR42" i="1"/>
  <c r="AS42" i="1" s="1"/>
  <c r="AT42" i="1" s="1"/>
  <c r="AR43" i="1"/>
  <c r="AS43" i="1" s="1"/>
  <c r="AT43" i="1" s="1"/>
  <c r="AR44" i="1"/>
  <c r="AS44" i="1" s="1"/>
  <c r="AT44" i="1" s="1"/>
  <c r="AR45" i="1"/>
  <c r="AS45" i="1" s="1"/>
  <c r="AT45" i="1" s="1"/>
  <c r="AR46" i="1"/>
  <c r="AS46" i="1" s="1"/>
  <c r="AT46" i="1" s="1"/>
  <c r="AR47" i="1"/>
  <c r="AS47" i="1" s="1"/>
  <c r="AT47" i="1" s="1"/>
  <c r="AR48" i="1"/>
  <c r="AS48" i="1" s="1"/>
  <c r="AT48" i="1" s="1"/>
  <c r="AR49" i="1"/>
  <c r="AS49" i="1" s="1"/>
  <c r="AT49" i="1" s="1"/>
  <c r="AR50" i="1"/>
  <c r="AS50" i="1" s="1"/>
  <c r="AT50" i="1" s="1"/>
  <c r="AR51" i="1"/>
  <c r="AS51" i="1" s="1"/>
  <c r="AT51" i="1" s="1"/>
  <c r="AR52" i="1"/>
  <c r="AS52" i="1" s="1"/>
  <c r="AT52" i="1" s="1"/>
  <c r="AR53" i="1"/>
  <c r="AS53" i="1" s="1"/>
  <c r="AT53" i="1" s="1"/>
  <c r="AR54" i="1"/>
  <c r="AS54" i="1" s="1"/>
  <c r="AT54" i="1" s="1"/>
  <c r="AR55" i="1"/>
  <c r="AS55" i="1" s="1"/>
  <c r="AT55" i="1" s="1"/>
  <c r="AR56" i="1"/>
  <c r="AS56" i="1" s="1"/>
  <c r="AT56" i="1" s="1"/>
  <c r="AR57" i="1"/>
  <c r="AS57" i="1" s="1"/>
  <c r="AT57" i="1" s="1"/>
  <c r="AR58" i="1"/>
  <c r="AS58" i="1" s="1"/>
  <c r="AT58" i="1" s="1"/>
  <c r="AR59" i="1"/>
  <c r="AS59" i="1" s="1"/>
  <c r="AT59" i="1" s="1"/>
  <c r="AR60" i="1"/>
  <c r="AS60" i="1" s="1"/>
  <c r="AT60" i="1" s="1"/>
  <c r="AR61" i="1"/>
  <c r="AS61" i="1" s="1"/>
  <c r="AT61" i="1" s="1"/>
  <c r="AR62" i="1"/>
  <c r="AS62" i="1" s="1"/>
  <c r="AT62" i="1" s="1"/>
  <c r="AR63" i="1"/>
  <c r="AS63" i="1" s="1"/>
  <c r="AT63" i="1" s="1"/>
  <c r="AR64" i="1"/>
  <c r="AS64" i="1" s="1"/>
  <c r="AT64" i="1" s="1"/>
  <c r="AR65" i="1"/>
  <c r="AS65" i="1" s="1"/>
  <c r="AT65" i="1" s="1"/>
  <c r="AR66" i="1"/>
  <c r="AS66" i="1" s="1"/>
  <c r="AT66" i="1" s="1"/>
  <c r="AR68" i="1"/>
  <c r="AS68" i="1" s="1"/>
  <c r="AT68" i="1" s="1"/>
  <c r="AR69" i="1"/>
  <c r="AS69" i="1" s="1"/>
  <c r="AT69" i="1" s="1"/>
  <c r="AR70" i="1"/>
  <c r="AS70" i="1" s="1"/>
  <c r="AT70" i="1" s="1"/>
  <c r="AR71" i="1"/>
  <c r="AS71" i="1" s="1"/>
  <c r="AT71" i="1" s="1"/>
  <c r="AR72" i="1"/>
  <c r="AS72" i="1" s="1"/>
  <c r="AT72" i="1" s="1"/>
  <c r="AR73" i="1"/>
  <c r="AS73" i="1" s="1"/>
  <c r="AT73" i="1" s="1"/>
  <c r="AR74" i="1"/>
  <c r="AS74" i="1" s="1"/>
  <c r="AT74" i="1" s="1"/>
  <c r="AR76" i="1"/>
  <c r="AS76" i="1" s="1"/>
  <c r="AT76" i="1" s="1"/>
  <c r="AR77" i="1"/>
  <c r="AS77" i="1" s="1"/>
  <c r="AT77" i="1" s="1"/>
  <c r="AR78" i="1"/>
  <c r="AS78" i="1" s="1"/>
  <c r="AT78" i="1" s="1"/>
  <c r="AR79" i="1"/>
  <c r="AS79" i="1" s="1"/>
  <c r="AT79" i="1" s="1"/>
  <c r="AR80" i="1"/>
  <c r="AS80" i="1" s="1"/>
  <c r="AT80" i="1" s="1"/>
  <c r="AR81" i="1"/>
  <c r="AS81" i="1" s="1"/>
  <c r="AT81" i="1" s="1"/>
  <c r="AR82" i="1"/>
  <c r="AS82" i="1" s="1"/>
  <c r="AT82" i="1" s="1"/>
  <c r="AR83" i="1"/>
  <c r="AS83" i="1" s="1"/>
  <c r="AT83" i="1" s="1"/>
  <c r="AR84" i="1"/>
  <c r="AS84" i="1" s="1"/>
  <c r="AT84" i="1" s="1"/>
  <c r="AR85" i="1"/>
  <c r="AS85" i="1" s="1"/>
  <c r="AT85" i="1" s="1"/>
  <c r="AR86" i="1"/>
  <c r="AS86" i="1" s="1"/>
  <c r="AT86" i="1" s="1"/>
  <c r="AR87" i="1"/>
  <c r="AS87" i="1" s="1"/>
  <c r="AT87" i="1" s="1"/>
  <c r="AR88" i="1"/>
  <c r="AS88" i="1" s="1"/>
  <c r="AT88" i="1" s="1"/>
  <c r="AR89" i="1"/>
  <c r="AS89" i="1" s="1"/>
  <c r="AT89" i="1" s="1"/>
  <c r="AR90" i="1"/>
  <c r="AS90" i="1" s="1"/>
  <c r="AT90" i="1" s="1"/>
  <c r="AR91" i="1"/>
  <c r="AS91" i="1" s="1"/>
  <c r="AT91" i="1" s="1"/>
  <c r="AR92" i="1"/>
  <c r="AS92" i="1" s="1"/>
  <c r="AT92" i="1" s="1"/>
  <c r="AR93" i="1"/>
  <c r="AS93" i="1" s="1"/>
  <c r="AT93" i="1" s="1"/>
  <c r="AR94" i="1"/>
  <c r="AS94" i="1" s="1"/>
  <c r="AT94" i="1" s="1"/>
  <c r="AR95" i="1"/>
  <c r="AS95" i="1" s="1"/>
  <c r="AT95" i="1" s="1"/>
  <c r="AR96" i="1"/>
  <c r="AS96" i="1" s="1"/>
  <c r="AT96" i="1" s="1"/>
  <c r="AR97" i="1"/>
  <c r="AS97" i="1" s="1"/>
  <c r="AT97" i="1" s="1"/>
  <c r="AR98" i="1"/>
  <c r="AS98" i="1" s="1"/>
  <c r="AT98" i="1" s="1"/>
  <c r="AR99" i="1"/>
  <c r="AS99" i="1" s="1"/>
  <c r="AT99" i="1" s="1"/>
  <c r="AR100" i="1"/>
  <c r="AS100" i="1" s="1"/>
  <c r="AT100" i="1" s="1"/>
  <c r="AR101" i="1"/>
  <c r="AS101" i="1" s="1"/>
  <c r="AT101" i="1" s="1"/>
  <c r="AR102" i="1"/>
  <c r="AS102" i="1" s="1"/>
  <c r="AT102" i="1" s="1"/>
  <c r="AR103" i="1"/>
  <c r="AS103" i="1" s="1"/>
  <c r="AT103" i="1" s="1"/>
  <c r="AR104" i="1"/>
  <c r="AS104" i="1" s="1"/>
  <c r="AT104" i="1" s="1"/>
  <c r="AR105" i="1"/>
  <c r="AS105" i="1" s="1"/>
  <c r="AT105" i="1" s="1"/>
  <c r="AR106" i="1"/>
  <c r="AS106" i="1" s="1"/>
  <c r="AT106" i="1" s="1"/>
  <c r="AR107" i="1"/>
  <c r="AS107" i="1" s="1"/>
  <c r="AT107" i="1" s="1"/>
  <c r="AR108" i="1"/>
  <c r="AS108" i="1" s="1"/>
  <c r="AT108" i="1" s="1"/>
  <c r="AR109" i="1"/>
  <c r="AS109" i="1" s="1"/>
  <c r="AT109" i="1" s="1"/>
  <c r="AR110" i="1"/>
  <c r="AS110" i="1" s="1"/>
  <c r="AT110" i="1" s="1"/>
  <c r="AR111" i="1"/>
  <c r="AS111" i="1" s="1"/>
  <c r="AT111" i="1" s="1"/>
  <c r="AR112" i="1"/>
  <c r="AS112" i="1" s="1"/>
  <c r="AT112" i="1" s="1"/>
  <c r="AR113" i="1"/>
  <c r="AS113" i="1" s="1"/>
  <c r="AT113" i="1" s="1"/>
  <c r="AR114" i="1"/>
  <c r="AS114" i="1" s="1"/>
  <c r="AT114" i="1" s="1"/>
  <c r="AR115" i="1"/>
  <c r="AS115" i="1" s="1"/>
  <c r="AT115" i="1" s="1"/>
  <c r="AR116" i="1"/>
  <c r="AS116" i="1" s="1"/>
  <c r="AT116" i="1" s="1"/>
  <c r="AR117" i="1"/>
  <c r="AS117" i="1" s="1"/>
  <c r="AT117" i="1" s="1"/>
  <c r="AR118" i="1"/>
  <c r="AS118" i="1" s="1"/>
  <c r="AT118" i="1" s="1"/>
  <c r="AR119" i="1"/>
  <c r="AS119" i="1" s="1"/>
  <c r="AT119" i="1" s="1"/>
  <c r="AR120" i="1"/>
  <c r="AS120" i="1" s="1"/>
  <c r="AT120" i="1" s="1"/>
  <c r="AR121" i="1"/>
  <c r="AS121" i="1" s="1"/>
  <c r="AT121" i="1" s="1"/>
  <c r="AR122" i="1"/>
  <c r="AS122" i="1" s="1"/>
  <c r="AT122" i="1" s="1"/>
  <c r="AR123" i="1"/>
  <c r="AS123" i="1" s="1"/>
  <c r="AT123" i="1" s="1"/>
  <c r="AR124" i="1"/>
  <c r="AS124" i="1" s="1"/>
  <c r="AT124" i="1" s="1"/>
  <c r="AR125" i="1"/>
  <c r="AS125" i="1" s="1"/>
  <c r="AT125" i="1" s="1"/>
  <c r="AR126" i="1"/>
  <c r="AS126" i="1" s="1"/>
  <c r="AT126" i="1" s="1"/>
  <c r="AR127" i="1"/>
  <c r="AS127" i="1" s="1"/>
  <c r="AT127" i="1" s="1"/>
  <c r="AR128" i="1"/>
  <c r="AS128" i="1" s="1"/>
  <c r="AT128" i="1" s="1"/>
  <c r="AR129" i="1"/>
  <c r="AS129" i="1" s="1"/>
  <c r="AT129" i="1" s="1"/>
  <c r="AR130" i="1"/>
  <c r="AS130" i="1" s="1"/>
  <c r="AT130" i="1" s="1"/>
  <c r="AR131" i="1"/>
  <c r="AS131" i="1" s="1"/>
  <c r="AT131" i="1" s="1"/>
  <c r="AR132" i="1"/>
  <c r="AS132" i="1" s="1"/>
  <c r="AT132" i="1" s="1"/>
  <c r="AR133" i="1"/>
  <c r="AS133" i="1" s="1"/>
  <c r="AT133" i="1" s="1"/>
  <c r="AR134" i="1"/>
  <c r="AS134" i="1" s="1"/>
  <c r="AT134" i="1" s="1"/>
  <c r="AR135" i="1"/>
  <c r="AS135" i="1" s="1"/>
  <c r="AT135" i="1" s="1"/>
  <c r="AR136" i="1"/>
  <c r="AS136" i="1" s="1"/>
  <c r="AT136" i="1" s="1"/>
  <c r="AR137" i="1"/>
  <c r="AS137" i="1" s="1"/>
  <c r="AT137" i="1" s="1"/>
  <c r="AR138" i="1"/>
  <c r="AS138" i="1" s="1"/>
  <c r="AT138" i="1" s="1"/>
  <c r="AR139" i="1"/>
  <c r="AS139" i="1" s="1"/>
  <c r="AT139" i="1" s="1"/>
  <c r="AR140" i="1"/>
  <c r="AS140" i="1" s="1"/>
  <c r="AT140" i="1" s="1"/>
  <c r="AR141" i="1"/>
  <c r="AS141" i="1" s="1"/>
  <c r="AT141" i="1" s="1"/>
  <c r="AR142" i="1"/>
  <c r="AS142" i="1" s="1"/>
  <c r="AT142" i="1" s="1"/>
  <c r="AR143" i="1"/>
  <c r="AS143" i="1" s="1"/>
  <c r="AT143" i="1" s="1"/>
  <c r="AR144" i="1"/>
  <c r="AS144" i="1" s="1"/>
  <c r="AT144" i="1" s="1"/>
  <c r="AR145" i="1"/>
  <c r="AS145" i="1" s="1"/>
  <c r="AT145" i="1" s="1"/>
  <c r="AR146" i="1"/>
  <c r="AS146" i="1" s="1"/>
  <c r="AT146" i="1" s="1"/>
  <c r="AR147" i="1"/>
  <c r="AS147" i="1" s="1"/>
  <c r="AT147" i="1" s="1"/>
  <c r="AR148" i="1"/>
  <c r="AS148" i="1" s="1"/>
  <c r="AT148" i="1" s="1"/>
  <c r="AR149" i="1"/>
  <c r="AS149" i="1" s="1"/>
  <c r="AT149" i="1" s="1"/>
  <c r="AR150" i="1"/>
  <c r="AS150" i="1" s="1"/>
  <c r="AT150" i="1" s="1"/>
  <c r="AR151" i="1"/>
  <c r="AS151" i="1" s="1"/>
  <c r="AT151" i="1" s="1"/>
  <c r="AR152" i="1"/>
  <c r="AS152" i="1" s="1"/>
  <c r="AT152" i="1" s="1"/>
  <c r="AR153" i="1"/>
  <c r="AS153" i="1" s="1"/>
  <c r="AT153" i="1" s="1"/>
  <c r="AR154" i="1"/>
  <c r="AS154" i="1" s="1"/>
  <c r="AT154" i="1" s="1"/>
  <c r="AR155" i="1"/>
  <c r="AS155" i="1" s="1"/>
  <c r="AT155" i="1" s="1"/>
  <c r="AR156" i="1"/>
  <c r="AS156" i="1" s="1"/>
  <c r="AT156" i="1" s="1"/>
  <c r="AR157" i="1"/>
  <c r="AS157" i="1" s="1"/>
  <c r="AT157" i="1" s="1"/>
  <c r="AR158" i="1"/>
  <c r="AS158" i="1" s="1"/>
  <c r="AT158" i="1" s="1"/>
  <c r="AR159" i="1"/>
  <c r="AS159" i="1" s="1"/>
  <c r="AT159" i="1" s="1"/>
  <c r="AR160" i="1"/>
  <c r="AS160" i="1" s="1"/>
  <c r="AT160" i="1" s="1"/>
  <c r="AR161" i="1"/>
  <c r="AS161" i="1" s="1"/>
  <c r="AT161" i="1" s="1"/>
  <c r="AR162" i="1"/>
  <c r="AS162" i="1" s="1"/>
  <c r="AT162" i="1" s="1"/>
  <c r="AR163" i="1"/>
  <c r="AS163" i="1" s="1"/>
  <c r="AT163" i="1" s="1"/>
  <c r="AR164" i="1"/>
  <c r="AS164" i="1" s="1"/>
  <c r="AT164" i="1" s="1"/>
  <c r="AR165" i="1"/>
  <c r="AS165" i="1" s="1"/>
  <c r="AT165" i="1" s="1"/>
  <c r="AR166" i="1"/>
  <c r="AS166" i="1" s="1"/>
  <c r="AT166" i="1" s="1"/>
  <c r="AR167" i="1"/>
  <c r="AS167" i="1" s="1"/>
  <c r="AT167" i="1" s="1"/>
  <c r="AR168" i="1"/>
  <c r="AS168" i="1" s="1"/>
  <c r="AT168" i="1" s="1"/>
  <c r="AR169" i="1"/>
  <c r="AS169" i="1" s="1"/>
  <c r="AT169" i="1" s="1"/>
  <c r="AR170" i="1"/>
  <c r="AS170" i="1" s="1"/>
  <c r="AT170" i="1" s="1"/>
  <c r="AR171" i="1"/>
  <c r="AS171" i="1" s="1"/>
  <c r="AT171" i="1" s="1"/>
  <c r="AR172" i="1"/>
  <c r="AS172" i="1" s="1"/>
  <c r="AT172" i="1" s="1"/>
  <c r="AR173" i="1"/>
  <c r="AS173" i="1" s="1"/>
  <c r="AT173" i="1" s="1"/>
  <c r="AR174" i="1"/>
  <c r="AS174" i="1" s="1"/>
  <c r="AT174" i="1" s="1"/>
  <c r="AR175" i="1"/>
  <c r="AS175" i="1" s="1"/>
  <c r="AT175" i="1" s="1"/>
  <c r="AR176" i="1"/>
  <c r="AS176" i="1" s="1"/>
  <c r="AT176" i="1" s="1"/>
  <c r="AR177" i="1"/>
  <c r="AS177" i="1" s="1"/>
  <c r="AT177" i="1" s="1"/>
  <c r="AR178" i="1"/>
  <c r="AS178" i="1" s="1"/>
  <c r="AT178" i="1" s="1"/>
  <c r="AR179" i="1"/>
  <c r="AS179" i="1" s="1"/>
  <c r="AT179" i="1" s="1"/>
  <c r="AR180" i="1"/>
  <c r="AS180" i="1" s="1"/>
  <c r="AT180" i="1" s="1"/>
  <c r="AR181" i="1"/>
  <c r="AS181" i="1" s="1"/>
  <c r="AT181" i="1" s="1"/>
  <c r="AR182" i="1"/>
  <c r="AS182" i="1" s="1"/>
  <c r="AT182" i="1" s="1"/>
  <c r="AR183" i="1"/>
  <c r="AS183" i="1" s="1"/>
  <c r="AT183" i="1" s="1"/>
  <c r="AR184" i="1"/>
  <c r="AS184" i="1" s="1"/>
  <c r="AT184" i="1" s="1"/>
  <c r="AR185" i="1"/>
  <c r="AS185" i="1" s="1"/>
  <c r="AT185" i="1" s="1"/>
  <c r="AR186" i="1"/>
  <c r="AS186" i="1" s="1"/>
  <c r="AT186" i="1" s="1"/>
  <c r="AR187" i="1"/>
  <c r="AS187" i="1" s="1"/>
  <c r="AT187" i="1" s="1"/>
  <c r="AR188" i="1"/>
  <c r="AS188" i="1" s="1"/>
  <c r="AT188" i="1" s="1"/>
  <c r="AR189" i="1"/>
  <c r="AS189" i="1" s="1"/>
  <c r="AT189" i="1" s="1"/>
  <c r="AR190" i="1"/>
  <c r="AS190" i="1" s="1"/>
  <c r="AT190" i="1" s="1"/>
  <c r="AR191" i="1"/>
  <c r="AS191" i="1" s="1"/>
  <c r="AT191" i="1" s="1"/>
  <c r="AR192" i="1"/>
  <c r="AS192" i="1" s="1"/>
  <c r="AT192" i="1" s="1"/>
  <c r="AR193" i="1"/>
  <c r="AS193" i="1" s="1"/>
  <c r="AT193" i="1" s="1"/>
  <c r="AR194" i="1"/>
  <c r="AS194" i="1" s="1"/>
  <c r="AT194" i="1" s="1"/>
  <c r="AR195" i="1"/>
  <c r="AS195" i="1" s="1"/>
  <c r="AT195" i="1" s="1"/>
  <c r="AR196" i="1"/>
  <c r="AS196" i="1" s="1"/>
  <c r="AT196" i="1" s="1"/>
  <c r="AR197" i="1"/>
  <c r="AS197" i="1" s="1"/>
  <c r="AT197" i="1" s="1"/>
  <c r="AR198" i="1"/>
  <c r="AS198" i="1" s="1"/>
  <c r="AT198" i="1" s="1"/>
  <c r="AR199" i="1"/>
  <c r="AS199" i="1" s="1"/>
  <c r="AT199" i="1" s="1"/>
  <c r="AR200" i="1"/>
  <c r="AS200" i="1" s="1"/>
  <c r="AT200" i="1" s="1"/>
  <c r="AR201" i="1"/>
  <c r="AS201" i="1" s="1"/>
  <c r="AT201" i="1" s="1"/>
  <c r="AR202" i="1"/>
  <c r="AS202" i="1" s="1"/>
  <c r="AT202" i="1" s="1"/>
  <c r="AR203" i="1"/>
  <c r="AS203" i="1" s="1"/>
  <c r="AT203" i="1" s="1"/>
  <c r="AR204" i="1"/>
  <c r="AS204" i="1" s="1"/>
  <c r="AT204" i="1" s="1"/>
  <c r="AR205" i="1"/>
  <c r="AS205" i="1" s="1"/>
  <c r="AT205" i="1" s="1"/>
  <c r="AR206" i="1"/>
  <c r="AS206" i="1" s="1"/>
  <c r="AT206" i="1" s="1"/>
  <c r="AR208" i="1"/>
  <c r="AS208" i="1" s="1"/>
  <c r="AT208" i="1" s="1"/>
  <c r="AR209" i="1"/>
  <c r="AS209" i="1" s="1"/>
  <c r="AT209" i="1" s="1"/>
  <c r="AR210" i="1"/>
  <c r="AS210" i="1" s="1"/>
  <c r="AT210" i="1" s="1"/>
  <c r="AR211" i="1"/>
  <c r="AS211" i="1" s="1"/>
  <c r="AT211" i="1" s="1"/>
  <c r="AR212" i="1"/>
  <c r="AS212" i="1" s="1"/>
  <c r="AT212" i="1" s="1"/>
  <c r="AR213" i="1"/>
  <c r="AS213" i="1" s="1"/>
  <c r="AT213" i="1" s="1"/>
  <c r="AR214" i="1"/>
  <c r="AS214" i="1" s="1"/>
  <c r="AT214" i="1" s="1"/>
  <c r="AR215" i="1"/>
  <c r="AS215" i="1" s="1"/>
  <c r="AT215" i="1" s="1"/>
  <c r="AR216" i="1"/>
  <c r="AS216" i="1" s="1"/>
  <c r="AT216" i="1" s="1"/>
  <c r="AR217" i="1"/>
  <c r="AS217" i="1" s="1"/>
  <c r="AT217" i="1" s="1"/>
  <c r="AR218" i="1"/>
  <c r="AS218" i="1" s="1"/>
  <c r="AT218" i="1" s="1"/>
  <c r="AR219" i="1"/>
  <c r="AS219" i="1" s="1"/>
  <c r="AT219" i="1" s="1"/>
  <c r="AR220" i="1"/>
  <c r="AS220" i="1" s="1"/>
  <c r="AT220" i="1" s="1"/>
  <c r="AR221" i="1"/>
  <c r="AS221" i="1" s="1"/>
  <c r="AT221" i="1" s="1"/>
  <c r="AR222" i="1"/>
  <c r="AS222" i="1" s="1"/>
  <c r="AT222" i="1" s="1"/>
  <c r="AR223" i="1"/>
  <c r="AS223" i="1" s="1"/>
  <c r="AT223" i="1" s="1"/>
  <c r="AR224" i="1"/>
  <c r="AS224" i="1" s="1"/>
  <c r="AT224" i="1" s="1"/>
  <c r="AR225" i="1"/>
  <c r="AS225" i="1" s="1"/>
  <c r="AT225" i="1" s="1"/>
  <c r="AR226" i="1"/>
  <c r="AS226" i="1" s="1"/>
  <c r="AT226" i="1" s="1"/>
  <c r="AR227" i="1"/>
  <c r="AS227" i="1" s="1"/>
  <c r="AT227" i="1" s="1"/>
  <c r="AR228" i="1"/>
  <c r="AS228" i="1" s="1"/>
  <c r="AT228" i="1" s="1"/>
  <c r="AR229" i="1"/>
  <c r="AS229" i="1" s="1"/>
  <c r="AT229" i="1" s="1"/>
  <c r="AR230" i="1"/>
  <c r="AS230" i="1" s="1"/>
  <c r="AT230" i="1" s="1"/>
  <c r="AR231" i="1"/>
  <c r="AS231" i="1" s="1"/>
  <c r="AT231" i="1" s="1"/>
  <c r="AR232" i="1"/>
  <c r="AS232" i="1" s="1"/>
  <c r="AT232" i="1" s="1"/>
  <c r="AR233" i="1"/>
  <c r="AS233" i="1" s="1"/>
  <c r="AT233" i="1" s="1"/>
  <c r="AR234" i="1"/>
  <c r="AS234" i="1" s="1"/>
  <c r="AT234" i="1" s="1"/>
  <c r="AR235" i="1"/>
  <c r="AS235" i="1" s="1"/>
  <c r="AT235" i="1" s="1"/>
  <c r="AR236" i="1"/>
  <c r="AS236" i="1" s="1"/>
  <c r="AT236" i="1" s="1"/>
  <c r="AR237" i="1"/>
  <c r="AS237" i="1" s="1"/>
  <c r="AT237" i="1" s="1"/>
  <c r="AR238" i="1"/>
  <c r="AS238" i="1" s="1"/>
  <c r="AT238" i="1" s="1"/>
  <c r="AR239" i="1"/>
  <c r="AS239" i="1" s="1"/>
  <c r="AT239" i="1" s="1"/>
  <c r="AR241" i="1"/>
  <c r="AS241" i="1" s="1"/>
  <c r="AT241" i="1" s="1"/>
  <c r="AR242" i="1"/>
  <c r="AS242" i="1" s="1"/>
  <c r="AT242" i="1" s="1"/>
  <c r="AR243" i="1"/>
  <c r="AS243" i="1" s="1"/>
  <c r="AT243" i="1" s="1"/>
  <c r="AR244" i="1"/>
  <c r="AS244" i="1" s="1"/>
  <c r="AT244" i="1" s="1"/>
  <c r="AR245" i="1"/>
  <c r="AS245" i="1" s="1"/>
  <c r="AT245" i="1" s="1"/>
  <c r="AR246" i="1"/>
  <c r="AS246" i="1" s="1"/>
  <c r="AT246" i="1" s="1"/>
  <c r="AR247" i="1"/>
  <c r="AS247" i="1" s="1"/>
  <c r="AT247" i="1" s="1"/>
  <c r="AR248" i="1"/>
  <c r="AS248" i="1" s="1"/>
  <c r="AT248" i="1" s="1"/>
  <c r="AR249" i="1"/>
  <c r="AS249" i="1" s="1"/>
  <c r="AT249" i="1" s="1"/>
  <c r="AR250" i="1"/>
  <c r="AS250" i="1" s="1"/>
  <c r="AT250" i="1" s="1"/>
  <c r="AR251" i="1"/>
  <c r="AS251" i="1" s="1"/>
  <c r="AT251" i="1" s="1"/>
  <c r="AR252" i="1"/>
  <c r="AS252" i="1" s="1"/>
  <c r="AT252" i="1" s="1"/>
  <c r="AR253" i="1"/>
  <c r="AS253" i="1" s="1"/>
  <c r="AT253" i="1" s="1"/>
  <c r="AR254" i="1"/>
  <c r="AS254" i="1" s="1"/>
  <c r="AT254" i="1" s="1"/>
  <c r="AR255" i="1"/>
  <c r="AS255" i="1" s="1"/>
  <c r="AT255" i="1" s="1"/>
  <c r="AR256" i="1"/>
  <c r="AS256" i="1" s="1"/>
  <c r="AT256" i="1" s="1"/>
  <c r="AR257" i="1"/>
  <c r="AS257" i="1" s="1"/>
  <c r="AT257" i="1" s="1"/>
  <c r="AR258" i="1"/>
  <c r="AS258" i="1" s="1"/>
  <c r="AT258" i="1" s="1"/>
  <c r="AR259" i="1"/>
  <c r="AS259" i="1" s="1"/>
  <c r="AT259" i="1" s="1"/>
  <c r="AR260" i="1"/>
  <c r="AS260" i="1" s="1"/>
  <c r="AT260" i="1" s="1"/>
  <c r="AR261" i="1"/>
  <c r="AS261" i="1" s="1"/>
  <c r="AT261" i="1" s="1"/>
  <c r="AR262" i="1"/>
  <c r="AS262" i="1" s="1"/>
  <c r="AT262" i="1" s="1"/>
  <c r="AR263" i="1"/>
  <c r="AS263" i="1" s="1"/>
  <c r="AT263" i="1" s="1"/>
  <c r="AR264" i="1"/>
  <c r="AS264" i="1" s="1"/>
  <c r="AT264" i="1" s="1"/>
  <c r="AR265" i="1"/>
  <c r="AS265" i="1" s="1"/>
  <c r="AT265" i="1" s="1"/>
  <c r="AR266" i="1"/>
  <c r="AS266" i="1" s="1"/>
  <c r="AT266" i="1" s="1"/>
  <c r="AR267" i="1"/>
  <c r="AS267" i="1" s="1"/>
  <c r="AT267" i="1" s="1"/>
  <c r="AR268" i="1"/>
  <c r="AS268" i="1" s="1"/>
  <c r="AT268" i="1" s="1"/>
  <c r="AR269" i="1"/>
  <c r="AS269" i="1" s="1"/>
  <c r="AT269" i="1" s="1"/>
  <c r="AR270" i="1"/>
  <c r="AS270" i="1" s="1"/>
  <c r="AT270" i="1" s="1"/>
  <c r="AR271" i="1"/>
  <c r="AS271" i="1" s="1"/>
  <c r="AT271" i="1" s="1"/>
  <c r="AR272" i="1"/>
  <c r="AS272" i="1" s="1"/>
  <c r="AT272" i="1" s="1"/>
  <c r="AR273" i="1"/>
  <c r="AS273" i="1" s="1"/>
  <c r="AT273" i="1" s="1"/>
  <c r="AR274" i="1"/>
  <c r="AS274" i="1" s="1"/>
  <c r="AT274" i="1" s="1"/>
  <c r="AR275" i="1"/>
  <c r="AS275" i="1" s="1"/>
  <c r="AT275" i="1" s="1"/>
  <c r="AR276" i="1"/>
  <c r="AS276" i="1" s="1"/>
  <c r="AT276" i="1" s="1"/>
  <c r="AR277" i="1"/>
  <c r="AS277" i="1" s="1"/>
  <c r="AT277" i="1" s="1"/>
  <c r="AR278" i="1"/>
  <c r="AS278" i="1" s="1"/>
  <c r="AT278" i="1" s="1"/>
  <c r="AR279" i="1"/>
  <c r="AS279" i="1" s="1"/>
  <c r="AT279" i="1" s="1"/>
  <c r="AR280" i="1"/>
  <c r="AS280" i="1" s="1"/>
  <c r="AT280" i="1" s="1"/>
  <c r="AR281" i="1"/>
  <c r="AS281" i="1" s="1"/>
  <c r="AT281" i="1" s="1"/>
  <c r="AR282" i="1"/>
  <c r="AS282" i="1" s="1"/>
  <c r="AT282" i="1" s="1"/>
  <c r="AR283" i="1"/>
  <c r="AS283" i="1" s="1"/>
  <c r="AT283" i="1" s="1"/>
  <c r="AR284" i="1"/>
  <c r="AS284" i="1" s="1"/>
  <c r="AT284" i="1" s="1"/>
  <c r="AR285" i="1"/>
  <c r="AS285" i="1" s="1"/>
  <c r="AT285" i="1" s="1"/>
  <c r="AR286" i="1"/>
  <c r="AS286" i="1" s="1"/>
  <c r="AT286" i="1" s="1"/>
  <c r="AR287" i="1"/>
  <c r="AS287" i="1" s="1"/>
  <c r="AT287" i="1" s="1"/>
  <c r="AR288" i="1"/>
  <c r="AS288" i="1" s="1"/>
  <c r="AT288" i="1" s="1"/>
  <c r="AR289" i="1"/>
  <c r="AS289" i="1" s="1"/>
  <c r="AT289" i="1" s="1"/>
  <c r="AR290" i="1"/>
  <c r="AS290" i="1" s="1"/>
  <c r="AT290" i="1" s="1"/>
  <c r="AR291" i="1"/>
  <c r="AS291" i="1" s="1"/>
  <c r="AT291" i="1" s="1"/>
  <c r="AR292" i="1"/>
  <c r="AS292" i="1" s="1"/>
  <c r="AT292" i="1" s="1"/>
  <c r="AR293" i="1"/>
  <c r="AS293" i="1" s="1"/>
  <c r="AT293" i="1" s="1"/>
  <c r="AR294" i="1"/>
  <c r="AS294" i="1" s="1"/>
  <c r="AT294" i="1" s="1"/>
  <c r="AR295" i="1"/>
  <c r="AS295" i="1" s="1"/>
  <c r="AT295" i="1" s="1"/>
  <c r="AR296" i="1"/>
  <c r="AS296" i="1" s="1"/>
  <c r="AT296" i="1" s="1"/>
  <c r="AR297" i="1"/>
  <c r="AS297" i="1" s="1"/>
  <c r="AT297" i="1" s="1"/>
  <c r="AR298" i="1"/>
  <c r="AS298" i="1" s="1"/>
  <c r="AT298" i="1" s="1"/>
  <c r="AR299" i="1"/>
  <c r="AS299" i="1" s="1"/>
  <c r="AT299" i="1" s="1"/>
  <c r="AR300" i="1"/>
  <c r="AS300" i="1" s="1"/>
  <c r="AT300" i="1" s="1"/>
  <c r="AR301" i="1"/>
  <c r="AS301" i="1" s="1"/>
  <c r="AT301" i="1" s="1"/>
  <c r="AR302" i="1"/>
  <c r="AS302" i="1" s="1"/>
  <c r="AT302" i="1" s="1"/>
  <c r="AR303" i="1"/>
  <c r="AS303" i="1" s="1"/>
  <c r="AT303" i="1" s="1"/>
  <c r="AR304" i="1"/>
  <c r="AS304" i="1" s="1"/>
  <c r="AT304" i="1" s="1"/>
  <c r="AR305" i="1"/>
  <c r="AS305" i="1" s="1"/>
  <c r="AT305" i="1" s="1"/>
  <c r="AR306" i="1"/>
  <c r="AS306" i="1" s="1"/>
  <c r="AT306" i="1" s="1"/>
  <c r="AR307" i="1"/>
  <c r="AS307" i="1" s="1"/>
  <c r="AT307" i="1" s="1"/>
  <c r="AR308" i="1"/>
  <c r="AS308" i="1" s="1"/>
  <c r="AT308" i="1" s="1"/>
  <c r="AR309" i="1"/>
  <c r="AS309" i="1" s="1"/>
  <c r="AT309" i="1" s="1"/>
  <c r="AR310" i="1"/>
  <c r="AS310" i="1" s="1"/>
  <c r="AT310" i="1" s="1"/>
  <c r="AR311" i="1"/>
  <c r="AS311" i="1" s="1"/>
  <c r="AT311" i="1" s="1"/>
  <c r="AR312" i="1"/>
  <c r="AS312" i="1" s="1"/>
  <c r="AT312" i="1" s="1"/>
  <c r="AR313" i="1"/>
  <c r="AS313" i="1" s="1"/>
  <c r="AT313" i="1" s="1"/>
  <c r="AR314" i="1"/>
  <c r="AS314" i="1" s="1"/>
  <c r="AT314" i="1" s="1"/>
  <c r="AR315" i="1"/>
  <c r="AS315" i="1" s="1"/>
  <c r="AT315" i="1" s="1"/>
  <c r="AR316" i="1"/>
  <c r="AS316" i="1" s="1"/>
  <c r="AT316" i="1" s="1"/>
  <c r="AR317" i="1"/>
  <c r="AS317" i="1" s="1"/>
  <c r="AT317" i="1" s="1"/>
  <c r="AR318" i="1"/>
  <c r="AS318" i="1" s="1"/>
  <c r="AT318" i="1" s="1"/>
  <c r="AR319" i="1"/>
  <c r="AS319" i="1" s="1"/>
  <c r="AT319" i="1" s="1"/>
  <c r="AR320" i="1"/>
  <c r="AS320" i="1" s="1"/>
  <c r="AT320" i="1" s="1"/>
  <c r="AR321" i="1"/>
  <c r="AS321" i="1" s="1"/>
  <c r="AT321" i="1" s="1"/>
  <c r="AR322" i="1"/>
  <c r="AS322" i="1" s="1"/>
  <c r="AT322" i="1" s="1"/>
  <c r="AR323" i="1"/>
  <c r="AS323" i="1" s="1"/>
  <c r="AT323" i="1" s="1"/>
  <c r="AR324" i="1"/>
  <c r="AS324" i="1" s="1"/>
  <c r="AT324" i="1" s="1"/>
  <c r="AR325" i="1"/>
  <c r="AS325" i="1" s="1"/>
  <c r="AT325" i="1" s="1"/>
  <c r="AR326" i="1"/>
  <c r="AS326" i="1" s="1"/>
  <c r="AT326" i="1" s="1"/>
  <c r="AR327" i="1"/>
  <c r="AS327" i="1" s="1"/>
  <c r="AT327" i="1" s="1"/>
  <c r="AR328" i="1"/>
  <c r="AS328" i="1" s="1"/>
  <c r="AT328" i="1" s="1"/>
  <c r="AR329" i="1"/>
  <c r="AS329" i="1" s="1"/>
  <c r="AT329" i="1" s="1"/>
  <c r="AR330" i="1"/>
  <c r="AS330" i="1" s="1"/>
  <c r="AT330" i="1" s="1"/>
  <c r="AR331" i="1"/>
  <c r="AS331" i="1" s="1"/>
  <c r="AT331" i="1" s="1"/>
  <c r="AR332" i="1"/>
  <c r="AS332" i="1" s="1"/>
  <c r="AT332" i="1" s="1"/>
  <c r="AR333" i="1"/>
  <c r="AS333" i="1" s="1"/>
  <c r="AT333" i="1" s="1"/>
  <c r="AR334" i="1"/>
  <c r="AS334" i="1" s="1"/>
  <c r="AT334" i="1" s="1"/>
  <c r="AR335" i="1"/>
  <c r="AS335" i="1" s="1"/>
  <c r="AT335" i="1" s="1"/>
  <c r="AR336" i="1"/>
  <c r="AS336" i="1" s="1"/>
  <c r="AT336" i="1" s="1"/>
  <c r="AR337" i="1"/>
  <c r="AS337" i="1" s="1"/>
  <c r="AT337" i="1" s="1"/>
  <c r="AR338" i="1"/>
  <c r="AS338" i="1" s="1"/>
  <c r="AT338" i="1" s="1"/>
  <c r="AR339" i="1"/>
  <c r="AS339" i="1" s="1"/>
  <c r="AT339" i="1" s="1"/>
  <c r="AR340" i="1"/>
  <c r="AS340" i="1" s="1"/>
  <c r="AT340" i="1" s="1"/>
  <c r="AR342" i="1"/>
  <c r="AS342" i="1" s="1"/>
  <c r="AT342" i="1" s="1"/>
  <c r="AR343" i="1"/>
  <c r="AS343" i="1" s="1"/>
  <c r="AT343" i="1" s="1"/>
  <c r="AR344" i="1"/>
  <c r="AS344" i="1" s="1"/>
  <c r="AT344" i="1" s="1"/>
  <c r="AR345" i="1"/>
  <c r="AS345" i="1" s="1"/>
  <c r="AT345" i="1" s="1"/>
  <c r="AR346" i="1"/>
  <c r="AS346" i="1" s="1"/>
  <c r="AT346" i="1" s="1"/>
  <c r="AR347" i="1"/>
  <c r="AS347" i="1" s="1"/>
  <c r="AT347" i="1" s="1"/>
  <c r="AR348" i="1"/>
  <c r="AS348" i="1" s="1"/>
  <c r="AT348" i="1" s="1"/>
  <c r="AR349" i="1"/>
  <c r="AS349" i="1" s="1"/>
  <c r="AT349" i="1" s="1"/>
  <c r="AR350" i="1"/>
  <c r="AS350" i="1" s="1"/>
  <c r="AT350" i="1" s="1"/>
  <c r="AR351" i="1"/>
  <c r="AS351" i="1" s="1"/>
  <c r="AT351" i="1" s="1"/>
  <c r="AR352" i="1"/>
  <c r="AS352" i="1" s="1"/>
  <c r="AT352" i="1" s="1"/>
  <c r="AR353" i="1"/>
  <c r="AS353" i="1" s="1"/>
  <c r="AT353" i="1" s="1"/>
  <c r="AR354" i="1"/>
  <c r="AS354" i="1" s="1"/>
  <c r="AT354" i="1" s="1"/>
  <c r="AR355" i="1"/>
  <c r="AS355" i="1" s="1"/>
  <c r="AT355" i="1" s="1"/>
  <c r="AR356" i="1"/>
  <c r="AS356" i="1" s="1"/>
  <c r="AT356" i="1" s="1"/>
  <c r="AR357" i="1"/>
  <c r="AS357" i="1" s="1"/>
  <c r="AT357" i="1" s="1"/>
  <c r="AR358" i="1"/>
  <c r="AS358" i="1" s="1"/>
  <c r="AT358" i="1" s="1"/>
  <c r="AR359" i="1"/>
  <c r="AS359" i="1" s="1"/>
  <c r="AT359" i="1" s="1"/>
  <c r="AR360" i="1"/>
  <c r="AS360" i="1" s="1"/>
  <c r="AT360" i="1" s="1"/>
  <c r="AR361" i="1"/>
  <c r="AS361" i="1" s="1"/>
  <c r="AT361" i="1" s="1"/>
  <c r="AR362" i="1"/>
  <c r="AS362" i="1" s="1"/>
  <c r="AT362" i="1" s="1"/>
  <c r="AR363" i="1"/>
  <c r="AS363" i="1" s="1"/>
  <c r="AT363" i="1" s="1"/>
  <c r="AR364" i="1"/>
  <c r="AS364" i="1" s="1"/>
  <c r="AT364" i="1" s="1"/>
  <c r="AR365" i="1"/>
  <c r="AS365" i="1" s="1"/>
  <c r="AT365" i="1" s="1"/>
  <c r="AR366" i="1"/>
  <c r="AS366" i="1" s="1"/>
  <c r="AT366" i="1" s="1"/>
  <c r="AR367" i="1"/>
  <c r="AS367" i="1" s="1"/>
  <c r="AT367" i="1" s="1"/>
  <c r="AR368" i="1"/>
  <c r="AS368" i="1" s="1"/>
  <c r="AT368" i="1" s="1"/>
  <c r="AR369" i="1"/>
  <c r="AS369" i="1" s="1"/>
  <c r="AT369" i="1" s="1"/>
  <c r="AR370" i="1"/>
  <c r="AS370" i="1" s="1"/>
  <c r="AT370" i="1" s="1"/>
  <c r="AR371" i="1"/>
  <c r="AS371" i="1" s="1"/>
  <c r="AT371" i="1" s="1"/>
  <c r="AR372" i="1"/>
  <c r="AS372" i="1" s="1"/>
  <c r="AT372" i="1" s="1"/>
  <c r="AR373" i="1"/>
  <c r="AS373" i="1" s="1"/>
  <c r="AT373" i="1" s="1"/>
  <c r="AR374" i="1"/>
  <c r="AS374" i="1" s="1"/>
  <c r="AT374" i="1" s="1"/>
  <c r="AR375" i="1"/>
  <c r="AS375" i="1" s="1"/>
  <c r="AT375" i="1" s="1"/>
  <c r="AR376" i="1"/>
  <c r="AS376" i="1" s="1"/>
  <c r="AT376" i="1" s="1"/>
  <c r="AR377" i="1"/>
  <c r="AS377" i="1" s="1"/>
  <c r="AT377" i="1" s="1"/>
  <c r="AR378" i="1"/>
  <c r="AS378" i="1" s="1"/>
  <c r="AT378" i="1" s="1"/>
  <c r="AR379" i="1"/>
  <c r="AS379" i="1" s="1"/>
  <c r="AT379" i="1" s="1"/>
  <c r="AR380" i="1"/>
  <c r="AS380" i="1" s="1"/>
  <c r="AT380" i="1" s="1"/>
  <c r="AR381" i="1"/>
  <c r="AS381" i="1" s="1"/>
  <c r="AT381" i="1" s="1"/>
  <c r="AR382" i="1"/>
  <c r="AS382" i="1" s="1"/>
  <c r="AT382" i="1" s="1"/>
  <c r="AR383" i="1"/>
  <c r="AS383" i="1" s="1"/>
  <c r="AT383" i="1" s="1"/>
  <c r="AR384" i="1"/>
  <c r="AS384" i="1" s="1"/>
  <c r="AT384" i="1" s="1"/>
  <c r="AR386" i="1"/>
  <c r="AS386" i="1" s="1"/>
  <c r="AT386" i="1" s="1"/>
  <c r="AR387" i="1"/>
  <c r="AS387" i="1" s="1"/>
  <c r="AT387" i="1" s="1"/>
  <c r="AR388" i="1"/>
  <c r="AS388" i="1" s="1"/>
  <c r="AT388" i="1" s="1"/>
  <c r="AR389" i="1"/>
  <c r="AS389" i="1" s="1"/>
  <c r="AT389" i="1" s="1"/>
  <c r="AR391" i="1"/>
  <c r="AS391" i="1" s="1"/>
  <c r="AT391" i="1" s="1"/>
  <c r="AR392" i="1"/>
  <c r="AS392" i="1" s="1"/>
  <c r="AT392" i="1" s="1"/>
  <c r="AR393" i="1"/>
  <c r="AS393" i="1" s="1"/>
  <c r="AT393" i="1" s="1"/>
  <c r="AR394" i="1"/>
  <c r="AS394" i="1" s="1"/>
  <c r="AT394" i="1" s="1"/>
  <c r="AR395" i="1"/>
  <c r="AS395" i="1" s="1"/>
  <c r="AT395" i="1" s="1"/>
  <c r="AR396" i="1"/>
  <c r="AS396" i="1" s="1"/>
  <c r="AT396" i="1" s="1"/>
  <c r="AR397" i="1"/>
  <c r="AS397" i="1" s="1"/>
  <c r="AT397" i="1" s="1"/>
  <c r="AR398" i="1"/>
  <c r="AS398" i="1" s="1"/>
  <c r="AT398" i="1" s="1"/>
  <c r="AR399" i="1"/>
  <c r="AS399" i="1" s="1"/>
  <c r="AT399" i="1" s="1"/>
  <c r="AR400" i="1"/>
  <c r="AS400" i="1" s="1"/>
  <c r="AT400" i="1" s="1"/>
  <c r="AR401" i="1"/>
  <c r="AS401" i="1" s="1"/>
  <c r="AT401" i="1" s="1"/>
  <c r="AR402" i="1"/>
  <c r="AS402" i="1" s="1"/>
  <c r="AT402" i="1" s="1"/>
  <c r="AR403" i="1"/>
  <c r="AS403" i="1" s="1"/>
  <c r="AT403" i="1" s="1"/>
  <c r="AR404" i="1"/>
  <c r="AS404" i="1" s="1"/>
  <c r="AT404" i="1" s="1"/>
  <c r="AR405" i="1"/>
  <c r="AS405" i="1" s="1"/>
  <c r="AT405" i="1" s="1"/>
  <c r="AR406" i="1"/>
  <c r="AS406" i="1" s="1"/>
  <c r="AT406" i="1" s="1"/>
  <c r="AR407" i="1"/>
  <c r="AS407" i="1" s="1"/>
  <c r="AT407" i="1" s="1"/>
  <c r="AR408" i="1"/>
  <c r="AS408" i="1" s="1"/>
  <c r="AT408" i="1" s="1"/>
  <c r="AR409" i="1"/>
  <c r="AS409" i="1" s="1"/>
  <c r="AT409" i="1" s="1"/>
  <c r="AR410" i="1"/>
  <c r="AS410" i="1" s="1"/>
  <c r="AT410" i="1" s="1"/>
  <c r="AR411" i="1"/>
  <c r="AS411" i="1" s="1"/>
  <c r="AT411" i="1" s="1"/>
  <c r="AR412" i="1"/>
  <c r="AS412" i="1" s="1"/>
  <c r="AT412" i="1" s="1"/>
  <c r="AR413" i="1"/>
  <c r="AS413" i="1" s="1"/>
  <c r="AT413" i="1" s="1"/>
  <c r="AR414" i="1"/>
  <c r="AS414" i="1" s="1"/>
  <c r="AT414" i="1" s="1"/>
  <c r="AR415" i="1"/>
  <c r="AS415" i="1" s="1"/>
  <c r="AT415" i="1" s="1"/>
  <c r="AR416" i="1"/>
  <c r="AS416" i="1" s="1"/>
  <c r="AT416" i="1" s="1"/>
  <c r="AR417" i="1"/>
  <c r="AS417" i="1" s="1"/>
  <c r="AT417" i="1" s="1"/>
  <c r="AR418" i="1"/>
  <c r="AS418" i="1" s="1"/>
  <c r="AT418" i="1" s="1"/>
  <c r="AR419" i="1"/>
  <c r="AS419" i="1" s="1"/>
  <c r="AT419" i="1" s="1"/>
  <c r="AR420" i="1"/>
  <c r="AS420" i="1" s="1"/>
  <c r="AT420" i="1" s="1"/>
  <c r="AR422" i="1"/>
  <c r="AS422" i="1" s="1"/>
  <c r="AT422" i="1" s="1"/>
  <c r="AR423" i="1"/>
  <c r="AS423" i="1" s="1"/>
  <c r="AT423" i="1" s="1"/>
  <c r="AR424" i="1"/>
  <c r="AS424" i="1" s="1"/>
  <c r="AT424" i="1" s="1"/>
  <c r="AR425" i="1"/>
  <c r="AS425" i="1" s="1"/>
  <c r="AT425" i="1" s="1"/>
  <c r="AR426" i="1"/>
  <c r="AS426" i="1" s="1"/>
  <c r="AT426" i="1" s="1"/>
  <c r="AR427" i="1"/>
  <c r="AS427" i="1" s="1"/>
  <c r="AT427" i="1" s="1"/>
  <c r="AR428" i="1"/>
  <c r="AS428" i="1" s="1"/>
  <c r="AT428" i="1" s="1"/>
  <c r="AR429" i="1"/>
  <c r="AS429" i="1" s="1"/>
  <c r="AT429" i="1" s="1"/>
  <c r="AR430" i="1"/>
  <c r="AS430" i="1" s="1"/>
  <c r="AT430" i="1" s="1"/>
  <c r="AR431" i="1"/>
  <c r="AS431" i="1" s="1"/>
  <c r="AT431" i="1" s="1"/>
  <c r="AR432" i="1"/>
  <c r="AS432" i="1" s="1"/>
  <c r="AT432" i="1" s="1"/>
  <c r="AR433" i="1"/>
  <c r="AS433" i="1" s="1"/>
  <c r="AT433" i="1" s="1"/>
  <c r="AR434" i="1"/>
  <c r="AS434" i="1" s="1"/>
  <c r="AT434" i="1" s="1"/>
  <c r="AR436" i="1"/>
  <c r="AS436" i="1" s="1"/>
  <c r="AT436" i="1" s="1"/>
  <c r="AR437" i="1"/>
  <c r="AS437" i="1" s="1"/>
  <c r="AT437" i="1" s="1"/>
  <c r="AR438" i="1"/>
  <c r="AS438" i="1" s="1"/>
  <c r="AT438" i="1" s="1"/>
  <c r="AR439" i="1"/>
  <c r="AS439" i="1" s="1"/>
  <c r="AT439" i="1" s="1"/>
  <c r="AR440" i="1"/>
  <c r="AS440" i="1" s="1"/>
  <c r="AT440" i="1" s="1"/>
  <c r="AR441" i="1"/>
  <c r="AS441" i="1" s="1"/>
  <c r="AT441" i="1" s="1"/>
  <c r="AR442" i="1"/>
  <c r="AS442" i="1" s="1"/>
  <c r="AT442" i="1" s="1"/>
  <c r="AR443" i="1"/>
  <c r="AS443" i="1" s="1"/>
  <c r="AT443" i="1" s="1"/>
  <c r="AR444" i="1"/>
  <c r="AS444" i="1" s="1"/>
  <c r="AT444" i="1" s="1"/>
  <c r="AR445" i="1"/>
  <c r="AS445" i="1" s="1"/>
  <c r="AT445" i="1" s="1"/>
  <c r="AR446" i="1"/>
  <c r="AS446" i="1" s="1"/>
  <c r="AT446" i="1" s="1"/>
  <c r="AR447" i="1"/>
  <c r="AS447" i="1" s="1"/>
  <c r="AT447" i="1" s="1"/>
  <c r="AR448" i="1"/>
  <c r="AS448" i="1" s="1"/>
  <c r="AT448" i="1" s="1"/>
  <c r="AR449" i="1"/>
  <c r="AS449" i="1" s="1"/>
  <c r="AT449" i="1" s="1"/>
  <c r="AR450" i="1"/>
  <c r="AS450" i="1" s="1"/>
  <c r="AT450" i="1" s="1"/>
  <c r="AR451" i="1"/>
  <c r="AS451" i="1" s="1"/>
  <c r="AT451" i="1" s="1"/>
  <c r="AR452" i="1"/>
  <c r="AS452" i="1" s="1"/>
  <c r="AT452" i="1" s="1"/>
  <c r="AR453" i="1"/>
  <c r="AS453" i="1" s="1"/>
  <c r="AT453" i="1" s="1"/>
  <c r="AR454" i="1"/>
  <c r="AS454" i="1" s="1"/>
  <c r="AT454" i="1" s="1"/>
  <c r="AR455" i="1"/>
  <c r="AS455" i="1" s="1"/>
  <c r="AT455" i="1" s="1"/>
  <c r="AR456" i="1"/>
  <c r="AS456" i="1" s="1"/>
  <c r="AT456" i="1" s="1"/>
  <c r="AR457" i="1"/>
  <c r="AS457" i="1" s="1"/>
  <c r="AT457" i="1" s="1"/>
  <c r="AR458" i="1"/>
  <c r="AS458" i="1" s="1"/>
  <c r="AT458" i="1" s="1"/>
  <c r="AR459" i="1"/>
  <c r="AS459" i="1" s="1"/>
  <c r="AT459" i="1" s="1"/>
  <c r="AR460" i="1"/>
  <c r="AS460" i="1" s="1"/>
  <c r="AT460" i="1" s="1"/>
  <c r="AR461" i="1"/>
  <c r="AS461" i="1" s="1"/>
  <c r="AT461" i="1" s="1"/>
  <c r="AR462" i="1"/>
  <c r="AS462" i="1" s="1"/>
  <c r="AT462" i="1" s="1"/>
  <c r="AR463" i="1"/>
  <c r="AS463" i="1" s="1"/>
  <c r="AT463" i="1" s="1"/>
  <c r="AR464" i="1"/>
  <c r="AS464" i="1" s="1"/>
  <c r="AT464" i="1" s="1"/>
  <c r="AR465" i="1"/>
  <c r="AS465" i="1" s="1"/>
  <c r="AT465" i="1" s="1"/>
  <c r="AR466" i="1"/>
  <c r="AS466" i="1" s="1"/>
  <c r="AT466" i="1" s="1"/>
  <c r="AR467" i="1"/>
  <c r="AS467" i="1" s="1"/>
  <c r="AT467" i="1" s="1"/>
  <c r="AR468" i="1"/>
  <c r="AS468" i="1" s="1"/>
  <c r="AT468" i="1" s="1"/>
  <c r="AR469" i="1"/>
  <c r="AS469" i="1" s="1"/>
  <c r="AT469" i="1" s="1"/>
  <c r="AR470" i="1"/>
  <c r="AS470" i="1" s="1"/>
  <c r="AT470" i="1" s="1"/>
  <c r="AR471" i="1"/>
  <c r="AS471" i="1" s="1"/>
  <c r="AT471" i="1" s="1"/>
  <c r="AR472" i="1"/>
  <c r="AS472" i="1" s="1"/>
  <c r="AT472" i="1" s="1"/>
  <c r="AR473" i="1"/>
  <c r="AS473" i="1" s="1"/>
  <c r="AT473" i="1" s="1"/>
  <c r="AR474" i="1"/>
  <c r="AS474" i="1" s="1"/>
  <c r="AT474" i="1" s="1"/>
  <c r="AR475" i="1"/>
  <c r="AS475" i="1" s="1"/>
  <c r="AT475" i="1" s="1"/>
  <c r="AR476" i="1"/>
  <c r="AS476" i="1" s="1"/>
  <c r="AT476" i="1" s="1"/>
  <c r="AR477" i="1"/>
  <c r="AS477" i="1" s="1"/>
  <c r="AT477" i="1" s="1"/>
  <c r="AR478" i="1"/>
  <c r="AS478" i="1" s="1"/>
  <c r="AT478" i="1" s="1"/>
  <c r="AR479" i="1"/>
  <c r="AS479" i="1" s="1"/>
  <c r="AT479" i="1" s="1"/>
  <c r="AR480" i="1"/>
  <c r="AS480" i="1" s="1"/>
  <c r="AT480" i="1" s="1"/>
  <c r="AR481" i="1"/>
  <c r="AS481" i="1" s="1"/>
  <c r="AT481" i="1" s="1"/>
  <c r="AR482" i="1"/>
  <c r="AS482" i="1" s="1"/>
  <c r="AT482" i="1" s="1"/>
  <c r="AR483" i="1"/>
  <c r="AS483" i="1" s="1"/>
  <c r="AT483" i="1" s="1"/>
  <c r="AR484" i="1"/>
  <c r="AS484" i="1" s="1"/>
  <c r="AT484" i="1" s="1"/>
  <c r="AR486" i="1"/>
  <c r="AS486" i="1" s="1"/>
  <c r="AT486" i="1" s="1"/>
  <c r="AR487" i="1"/>
  <c r="AS487" i="1" s="1"/>
  <c r="AT487" i="1" s="1"/>
  <c r="AR488" i="1"/>
  <c r="AS488" i="1" s="1"/>
  <c r="AT488" i="1" s="1"/>
  <c r="AR489" i="1"/>
  <c r="AS489" i="1" s="1"/>
  <c r="AT489" i="1" s="1"/>
  <c r="AR490" i="1"/>
  <c r="AS490" i="1" s="1"/>
  <c r="AT490" i="1" s="1"/>
  <c r="AR491" i="1"/>
  <c r="AS491" i="1" s="1"/>
  <c r="AT491" i="1" s="1"/>
  <c r="AR492" i="1"/>
  <c r="AS492" i="1" s="1"/>
  <c r="AT492" i="1" s="1"/>
  <c r="AR493" i="1"/>
  <c r="AS493" i="1" s="1"/>
  <c r="AT493" i="1" s="1"/>
  <c r="AR494" i="1"/>
  <c r="AS494" i="1" s="1"/>
  <c r="AT494" i="1" s="1"/>
  <c r="AR495" i="1"/>
  <c r="AS495" i="1" s="1"/>
  <c r="AT495" i="1" s="1"/>
  <c r="AR496" i="1"/>
  <c r="AS496" i="1" s="1"/>
  <c r="AT496" i="1" s="1"/>
  <c r="AR497" i="1"/>
  <c r="AS497" i="1" s="1"/>
  <c r="AT497" i="1" s="1"/>
  <c r="AR498" i="1"/>
  <c r="AS498" i="1" s="1"/>
  <c r="AT498" i="1" s="1"/>
  <c r="AR499" i="1"/>
  <c r="AS499" i="1" s="1"/>
  <c r="AT499" i="1" s="1"/>
  <c r="AR500" i="1"/>
  <c r="AS500" i="1" s="1"/>
  <c r="AT500" i="1" s="1"/>
  <c r="AR501" i="1"/>
  <c r="AS501" i="1" s="1"/>
  <c r="AT501" i="1" s="1"/>
  <c r="AR502" i="1"/>
  <c r="AS502" i="1" s="1"/>
  <c r="AT502" i="1" s="1"/>
  <c r="AR503" i="1"/>
  <c r="AS503" i="1" s="1"/>
  <c r="AT503" i="1" s="1"/>
  <c r="AR504" i="1"/>
  <c r="AS504" i="1" s="1"/>
  <c r="AT504" i="1" s="1"/>
  <c r="AR505" i="1"/>
  <c r="AS505" i="1" s="1"/>
  <c r="AT505" i="1" s="1"/>
  <c r="AR506" i="1"/>
  <c r="AS506" i="1" s="1"/>
  <c r="AT506" i="1" s="1"/>
  <c r="AR507" i="1"/>
  <c r="AS507" i="1" s="1"/>
  <c r="AT507" i="1" s="1"/>
  <c r="AR508" i="1"/>
  <c r="AS508" i="1" s="1"/>
  <c r="AT508" i="1" s="1"/>
  <c r="AR509" i="1"/>
  <c r="AS509" i="1" s="1"/>
  <c r="AT509" i="1" s="1"/>
  <c r="AR510" i="1"/>
  <c r="AS510" i="1" s="1"/>
  <c r="AT510" i="1" s="1"/>
  <c r="AR511" i="1"/>
  <c r="AS511" i="1" s="1"/>
  <c r="AT511" i="1" s="1"/>
  <c r="AR512" i="1"/>
  <c r="AS512" i="1" s="1"/>
  <c r="AT512" i="1" s="1"/>
  <c r="AR513" i="1"/>
  <c r="AS513" i="1" s="1"/>
  <c r="AT513" i="1" s="1"/>
  <c r="AR514" i="1"/>
  <c r="AS514" i="1" s="1"/>
  <c r="AT514" i="1" s="1"/>
  <c r="AR515" i="1"/>
  <c r="AS515" i="1" s="1"/>
  <c r="AT515" i="1" s="1"/>
  <c r="AR516" i="1"/>
  <c r="AS516" i="1" s="1"/>
  <c r="AT516" i="1" s="1"/>
  <c r="AR517" i="1"/>
  <c r="AS517" i="1" s="1"/>
  <c r="AT517" i="1" s="1"/>
  <c r="AR518" i="1"/>
  <c r="AS518" i="1" s="1"/>
  <c r="AT518" i="1" s="1"/>
  <c r="AR519" i="1"/>
  <c r="AS519" i="1" s="1"/>
  <c r="AT519" i="1" s="1"/>
  <c r="AR520" i="1"/>
  <c r="AS520" i="1" s="1"/>
  <c r="AT520" i="1" s="1"/>
  <c r="AR521" i="1"/>
  <c r="AS521" i="1" s="1"/>
  <c r="AT521" i="1" s="1"/>
  <c r="AR522" i="1"/>
  <c r="AS522" i="1" s="1"/>
  <c r="AT522" i="1" s="1"/>
  <c r="AR523" i="1"/>
  <c r="AS523" i="1" s="1"/>
  <c r="AT523" i="1" s="1"/>
  <c r="AR524" i="1"/>
  <c r="AS524" i="1" s="1"/>
  <c r="AT524" i="1" s="1"/>
  <c r="AR525" i="1"/>
  <c r="AS525" i="1" s="1"/>
  <c r="AT525" i="1" s="1"/>
  <c r="AR526" i="1"/>
  <c r="AS526" i="1" s="1"/>
  <c r="AT526" i="1" s="1"/>
  <c r="AR527" i="1"/>
  <c r="AS527" i="1" s="1"/>
  <c r="AT527" i="1" s="1"/>
  <c r="AR529" i="1"/>
  <c r="AS529" i="1" s="1"/>
  <c r="AT529" i="1" s="1"/>
  <c r="AR530" i="1"/>
  <c r="AS530" i="1" s="1"/>
  <c r="AT530" i="1" s="1"/>
  <c r="AR531" i="1"/>
  <c r="AS531" i="1" s="1"/>
  <c r="AT531" i="1" s="1"/>
  <c r="AR532" i="1"/>
  <c r="AS532" i="1" s="1"/>
  <c r="AT532" i="1" s="1"/>
  <c r="AR533" i="1"/>
  <c r="AS533" i="1" s="1"/>
  <c r="AT533" i="1" s="1"/>
  <c r="AR534" i="1"/>
  <c r="AS534" i="1" s="1"/>
  <c r="AT534" i="1" s="1"/>
  <c r="AR535" i="1"/>
  <c r="AS535" i="1" s="1"/>
  <c r="AT535" i="1" s="1"/>
  <c r="AR536" i="1"/>
  <c r="AS536" i="1" s="1"/>
  <c r="AT536" i="1" s="1"/>
  <c r="AR537" i="1"/>
  <c r="AS537" i="1" s="1"/>
  <c r="AT537" i="1" s="1"/>
  <c r="AR538" i="1"/>
  <c r="AS538" i="1" s="1"/>
  <c r="AT538" i="1" s="1"/>
  <c r="AR539" i="1"/>
  <c r="AS539" i="1" s="1"/>
  <c r="AT539" i="1" s="1"/>
  <c r="AR540" i="1"/>
  <c r="AS540" i="1" s="1"/>
  <c r="AT540" i="1" s="1"/>
  <c r="AR541" i="1"/>
  <c r="AS541" i="1" s="1"/>
  <c r="AT541" i="1" s="1"/>
  <c r="AR542" i="1"/>
  <c r="AS542" i="1" s="1"/>
  <c r="AT542" i="1" s="1"/>
  <c r="AR543" i="1"/>
  <c r="AS543" i="1" s="1"/>
  <c r="AT543" i="1" s="1"/>
  <c r="AR544" i="1"/>
  <c r="AS544" i="1" s="1"/>
  <c r="AT544" i="1" s="1"/>
  <c r="AR545" i="1"/>
  <c r="AS545" i="1" s="1"/>
  <c r="AT545" i="1" s="1"/>
  <c r="AR546" i="1"/>
  <c r="AS546" i="1" s="1"/>
  <c r="AT546" i="1" s="1"/>
  <c r="AR547" i="1"/>
  <c r="AS547" i="1" s="1"/>
  <c r="AT547" i="1" s="1"/>
  <c r="AR548" i="1"/>
  <c r="AS548" i="1" s="1"/>
  <c r="AT548" i="1" s="1"/>
  <c r="AR549" i="1"/>
  <c r="AS549" i="1" s="1"/>
  <c r="AT549" i="1" s="1"/>
  <c r="AR550" i="1"/>
  <c r="AS550" i="1" s="1"/>
  <c r="AT550" i="1" s="1"/>
  <c r="AR551" i="1"/>
  <c r="AS551" i="1" s="1"/>
  <c r="AT551" i="1" s="1"/>
  <c r="AR552" i="1"/>
  <c r="AS552" i="1" s="1"/>
  <c r="AT552" i="1" s="1"/>
  <c r="AR553" i="1"/>
  <c r="AS553" i="1" s="1"/>
  <c r="AT553" i="1" s="1"/>
  <c r="AR554" i="1"/>
  <c r="AS554" i="1" s="1"/>
  <c r="AT554" i="1" s="1"/>
  <c r="AR555" i="1"/>
  <c r="AS555" i="1" s="1"/>
  <c r="AT555" i="1" s="1"/>
  <c r="AR556" i="1"/>
  <c r="AS556" i="1" s="1"/>
  <c r="AT556" i="1" s="1"/>
  <c r="AR557" i="1"/>
  <c r="AS557" i="1" s="1"/>
  <c r="AT557" i="1" s="1"/>
  <c r="AR558" i="1"/>
  <c r="AS558" i="1" s="1"/>
  <c r="AT558" i="1" s="1"/>
  <c r="AR559" i="1"/>
  <c r="AS559" i="1" s="1"/>
  <c r="AT559" i="1" s="1"/>
  <c r="AR560" i="1"/>
  <c r="AS560" i="1" s="1"/>
  <c r="AT560" i="1" s="1"/>
  <c r="AR561" i="1"/>
  <c r="AS561" i="1" s="1"/>
  <c r="AT561" i="1" s="1"/>
  <c r="AR562" i="1"/>
  <c r="AS562" i="1" s="1"/>
  <c r="AT562" i="1" s="1"/>
  <c r="AR563" i="1"/>
  <c r="AS563" i="1" s="1"/>
  <c r="AT563" i="1" s="1"/>
  <c r="AR564" i="1"/>
  <c r="AS564" i="1" s="1"/>
  <c r="AT564" i="1" s="1"/>
  <c r="AR565" i="1"/>
  <c r="AS565" i="1" s="1"/>
  <c r="AT565" i="1" s="1"/>
  <c r="AR566" i="1"/>
  <c r="AS566" i="1" s="1"/>
  <c r="AT566" i="1" s="1"/>
  <c r="AR567" i="1"/>
  <c r="AS567" i="1" s="1"/>
  <c r="AT567" i="1" s="1"/>
  <c r="AR568" i="1"/>
  <c r="AS568" i="1" s="1"/>
  <c r="AT568" i="1" s="1"/>
  <c r="AR569" i="1"/>
  <c r="AS569" i="1" s="1"/>
  <c r="AT569" i="1" s="1"/>
  <c r="AR570" i="1"/>
  <c r="AS570" i="1" s="1"/>
  <c r="AT570" i="1" s="1"/>
  <c r="AR571" i="1"/>
  <c r="AS571" i="1" s="1"/>
  <c r="AT571" i="1" s="1"/>
  <c r="AR572" i="1"/>
  <c r="AS572" i="1" s="1"/>
  <c r="AT572" i="1" s="1"/>
  <c r="AR573" i="1"/>
  <c r="AS573" i="1" s="1"/>
  <c r="AT573" i="1" s="1"/>
  <c r="AR574" i="1"/>
  <c r="AS574" i="1" s="1"/>
  <c r="AT574" i="1" s="1"/>
  <c r="AR575" i="1"/>
  <c r="AS575" i="1" s="1"/>
  <c r="AT575" i="1" s="1"/>
  <c r="AR576" i="1"/>
  <c r="AS576" i="1" s="1"/>
  <c r="AT576" i="1" s="1"/>
  <c r="AR577" i="1"/>
  <c r="AS577" i="1" s="1"/>
  <c r="AT577" i="1" s="1"/>
  <c r="AR578" i="1"/>
  <c r="AS578" i="1" s="1"/>
  <c r="AT578" i="1" s="1"/>
  <c r="AR579" i="1"/>
  <c r="AS579" i="1" s="1"/>
  <c r="AT579" i="1" s="1"/>
  <c r="AR580" i="1"/>
  <c r="AS580" i="1" s="1"/>
  <c r="AT580" i="1" s="1"/>
  <c r="AR581" i="1"/>
  <c r="AS581" i="1" s="1"/>
  <c r="AT581" i="1" s="1"/>
  <c r="AR582" i="1"/>
  <c r="AS582" i="1" s="1"/>
  <c r="AT582" i="1" s="1"/>
  <c r="AR583" i="1"/>
  <c r="AS583" i="1" s="1"/>
  <c r="AT583" i="1" s="1"/>
  <c r="AR584" i="1"/>
  <c r="AS584" i="1" s="1"/>
  <c r="AT584" i="1" s="1"/>
  <c r="AR585" i="1"/>
  <c r="AS585" i="1" s="1"/>
  <c r="AT585" i="1" s="1"/>
  <c r="AR586" i="1"/>
  <c r="AS586" i="1" s="1"/>
  <c r="AT586" i="1" s="1"/>
  <c r="AR587" i="1"/>
  <c r="AS587" i="1" s="1"/>
  <c r="AT587" i="1" s="1"/>
  <c r="AR588" i="1"/>
  <c r="AS588" i="1" s="1"/>
  <c r="AT588" i="1" s="1"/>
  <c r="AR589" i="1"/>
  <c r="AS589" i="1" s="1"/>
  <c r="AT589" i="1" s="1"/>
  <c r="AR590" i="1"/>
  <c r="AS590" i="1" s="1"/>
  <c r="AT590" i="1" s="1"/>
  <c r="AR592" i="1"/>
  <c r="AS592" i="1" s="1"/>
  <c r="AT592" i="1" s="1"/>
  <c r="AR593" i="1"/>
  <c r="AS593" i="1" s="1"/>
  <c r="AT593" i="1" s="1"/>
  <c r="AR594" i="1"/>
  <c r="AS594" i="1" s="1"/>
  <c r="AT594" i="1" s="1"/>
  <c r="AR595" i="1"/>
  <c r="AS595" i="1" s="1"/>
  <c r="AT595" i="1" s="1"/>
  <c r="AR596" i="1"/>
  <c r="AS596" i="1" s="1"/>
  <c r="AT596" i="1" s="1"/>
  <c r="AR597" i="1"/>
  <c r="AS597" i="1" s="1"/>
  <c r="AT597" i="1" s="1"/>
  <c r="AR598" i="1"/>
  <c r="AS598" i="1" s="1"/>
  <c r="AT598" i="1" s="1"/>
  <c r="AR599" i="1"/>
  <c r="AS599" i="1" s="1"/>
  <c r="AT599" i="1" s="1"/>
  <c r="AR600" i="1"/>
  <c r="AS600" i="1" s="1"/>
  <c r="AT600" i="1" s="1"/>
  <c r="AR601" i="1"/>
  <c r="AS601" i="1" s="1"/>
  <c r="AT601" i="1" s="1"/>
  <c r="AR602" i="1"/>
  <c r="AS602" i="1" s="1"/>
  <c r="AT602" i="1" s="1"/>
  <c r="AR603" i="1"/>
  <c r="AS603" i="1" s="1"/>
  <c r="AT603" i="1" s="1"/>
  <c r="AR604" i="1"/>
  <c r="AS604" i="1" s="1"/>
  <c r="AT604" i="1" s="1"/>
  <c r="AR605" i="1"/>
  <c r="AS605" i="1" s="1"/>
  <c r="AT605" i="1" s="1"/>
  <c r="AR606" i="1"/>
  <c r="AS606" i="1" s="1"/>
  <c r="AT606" i="1" s="1"/>
  <c r="AR607" i="1"/>
  <c r="AS607" i="1" s="1"/>
  <c r="AT607" i="1" s="1"/>
  <c r="AR608" i="1"/>
  <c r="AS608" i="1" s="1"/>
  <c r="AT608" i="1" s="1"/>
  <c r="AR609" i="1"/>
  <c r="AS609" i="1" s="1"/>
  <c r="AT609" i="1" s="1"/>
  <c r="AR610" i="1"/>
  <c r="AS610" i="1" s="1"/>
  <c r="AT610" i="1" s="1"/>
  <c r="AR611" i="1"/>
  <c r="AS611" i="1" s="1"/>
  <c r="AT611" i="1" s="1"/>
  <c r="AR612" i="1"/>
  <c r="AS612" i="1" s="1"/>
  <c r="AT612" i="1" s="1"/>
  <c r="AR613" i="1"/>
  <c r="AS613" i="1" s="1"/>
  <c r="AT613" i="1" s="1"/>
  <c r="AR614" i="1"/>
  <c r="AS614" i="1" s="1"/>
  <c r="AT614" i="1" s="1"/>
  <c r="AR615" i="1"/>
  <c r="AS615" i="1" s="1"/>
  <c r="AT615" i="1" s="1"/>
  <c r="AR616" i="1"/>
  <c r="AS616" i="1" s="1"/>
  <c r="AT616" i="1" s="1"/>
  <c r="AR617" i="1"/>
  <c r="AS617" i="1" s="1"/>
  <c r="AT617" i="1" s="1"/>
  <c r="AR618" i="1"/>
  <c r="AS618" i="1" s="1"/>
  <c r="AT618" i="1" s="1"/>
  <c r="AR619" i="1"/>
  <c r="AS619" i="1" s="1"/>
  <c r="AT619" i="1" s="1"/>
  <c r="AR620" i="1"/>
  <c r="AS620" i="1" s="1"/>
  <c r="AT620" i="1" s="1"/>
  <c r="AR621" i="1"/>
  <c r="AS621" i="1" s="1"/>
  <c r="AT621" i="1" s="1"/>
  <c r="AR622" i="1"/>
  <c r="AS622" i="1" s="1"/>
  <c r="AT622" i="1" s="1"/>
  <c r="AR623" i="1"/>
  <c r="AS623" i="1" s="1"/>
  <c r="AT623" i="1" s="1"/>
  <c r="AR624" i="1"/>
  <c r="AS624" i="1" s="1"/>
  <c r="AT624" i="1" s="1"/>
  <c r="AR625" i="1"/>
  <c r="AS625" i="1" s="1"/>
  <c r="AT625" i="1" s="1"/>
  <c r="AR626" i="1"/>
  <c r="AS626" i="1" s="1"/>
  <c r="AT626" i="1" s="1"/>
  <c r="AR627" i="1"/>
  <c r="AS627" i="1" s="1"/>
  <c r="AT627" i="1" s="1"/>
  <c r="AR628" i="1"/>
  <c r="AS628" i="1" s="1"/>
  <c r="AT628" i="1" s="1"/>
  <c r="AR629" i="1"/>
  <c r="AS629" i="1" s="1"/>
  <c r="AT629" i="1" s="1"/>
  <c r="AR630" i="1"/>
  <c r="AS630" i="1" s="1"/>
  <c r="AT630" i="1" s="1"/>
  <c r="AR631" i="1"/>
  <c r="AS631" i="1" s="1"/>
  <c r="AT631" i="1" s="1"/>
  <c r="AR632" i="1"/>
  <c r="AS632" i="1" s="1"/>
  <c r="AT632" i="1" s="1"/>
  <c r="AR633" i="1"/>
  <c r="AS633" i="1" s="1"/>
  <c r="AT633" i="1" s="1"/>
  <c r="AR634" i="1"/>
  <c r="AS634" i="1" s="1"/>
  <c r="AT634" i="1" s="1"/>
  <c r="AR635" i="1"/>
  <c r="AS635" i="1" s="1"/>
  <c r="AT635" i="1" s="1"/>
  <c r="AR636" i="1"/>
  <c r="AS636" i="1" s="1"/>
  <c r="AT636" i="1" s="1"/>
  <c r="AR637" i="1"/>
  <c r="AS637" i="1" s="1"/>
  <c r="AT637" i="1" s="1"/>
  <c r="AR638" i="1"/>
  <c r="AS638" i="1" s="1"/>
  <c r="AT638" i="1" s="1"/>
  <c r="AR639" i="1"/>
  <c r="AS639" i="1" s="1"/>
  <c r="AT639" i="1" s="1"/>
  <c r="AR640" i="1"/>
  <c r="AS640" i="1" s="1"/>
  <c r="AT640" i="1" s="1"/>
  <c r="AR641" i="1"/>
  <c r="AS641" i="1" s="1"/>
  <c r="AT641" i="1" s="1"/>
  <c r="AR642" i="1"/>
  <c r="AS642" i="1" s="1"/>
  <c r="AT642" i="1" s="1"/>
  <c r="AR643" i="1"/>
  <c r="AS643" i="1" s="1"/>
  <c r="AT643" i="1" s="1"/>
  <c r="AR644" i="1"/>
  <c r="AS644" i="1" s="1"/>
  <c r="AT644" i="1" s="1"/>
  <c r="AR645" i="1"/>
  <c r="AS645" i="1" s="1"/>
  <c r="AT645" i="1" s="1"/>
  <c r="AR646" i="1"/>
  <c r="AS646" i="1" s="1"/>
  <c r="AT646" i="1" s="1"/>
  <c r="AR647" i="1"/>
  <c r="AS647" i="1" s="1"/>
  <c r="AT647" i="1" s="1"/>
  <c r="AR648" i="1"/>
  <c r="AS648" i="1" s="1"/>
  <c r="AT648" i="1" s="1"/>
  <c r="AR649" i="1"/>
  <c r="AS649" i="1" s="1"/>
  <c r="AT649" i="1" s="1"/>
  <c r="AR650" i="1"/>
  <c r="AS650" i="1" s="1"/>
  <c r="AT650" i="1" s="1"/>
  <c r="AR651" i="1"/>
  <c r="AS651" i="1" s="1"/>
  <c r="AT651" i="1" s="1"/>
  <c r="AR652" i="1"/>
  <c r="AS652" i="1" s="1"/>
  <c r="AT652" i="1" s="1"/>
  <c r="AR653" i="1"/>
  <c r="AS653" i="1" s="1"/>
  <c r="AT653" i="1" s="1"/>
  <c r="AR654" i="1"/>
  <c r="AS654" i="1" s="1"/>
  <c r="AT654" i="1" s="1"/>
  <c r="AR655" i="1"/>
  <c r="AS655" i="1" s="1"/>
  <c r="AT655" i="1" s="1"/>
  <c r="AR656" i="1"/>
  <c r="AS656" i="1" s="1"/>
  <c r="AT656" i="1" s="1"/>
  <c r="AR657" i="1"/>
  <c r="AS657" i="1" s="1"/>
  <c r="AT657" i="1" s="1"/>
  <c r="AR658" i="1"/>
  <c r="AS658" i="1" s="1"/>
  <c r="AT658" i="1" s="1"/>
  <c r="AR659" i="1"/>
  <c r="AS659" i="1" s="1"/>
  <c r="AT659" i="1" s="1"/>
  <c r="AR660" i="1"/>
  <c r="AS660" i="1" s="1"/>
  <c r="AT660" i="1" s="1"/>
  <c r="AR661" i="1"/>
  <c r="AS661" i="1" s="1"/>
  <c r="AT661" i="1" s="1"/>
  <c r="AR662" i="1"/>
  <c r="AS662" i="1" s="1"/>
  <c r="AT662" i="1" s="1"/>
  <c r="AR663" i="1"/>
  <c r="AS663" i="1" s="1"/>
  <c r="AT663" i="1" s="1"/>
  <c r="AR664" i="1"/>
  <c r="AS664" i="1" s="1"/>
  <c r="AT664" i="1" s="1"/>
  <c r="AR665" i="1"/>
  <c r="AS665" i="1" s="1"/>
  <c r="AT665" i="1" s="1"/>
  <c r="AR666" i="1"/>
  <c r="AS666" i="1" s="1"/>
  <c r="AT666" i="1" s="1"/>
  <c r="AR667" i="1"/>
  <c r="AS667" i="1" s="1"/>
  <c r="AT667" i="1" s="1"/>
  <c r="AR668" i="1"/>
  <c r="AS668" i="1" s="1"/>
  <c r="AT668" i="1" s="1"/>
  <c r="AR669" i="1"/>
  <c r="AS669" i="1" s="1"/>
  <c r="AT669" i="1" s="1"/>
  <c r="AR670" i="1"/>
  <c r="AS670" i="1" s="1"/>
  <c r="AT670" i="1" s="1"/>
  <c r="AR671" i="1"/>
  <c r="AS671" i="1" s="1"/>
  <c r="AT671" i="1" s="1"/>
  <c r="AR672" i="1"/>
  <c r="AS672" i="1" s="1"/>
  <c r="AT672" i="1" s="1"/>
  <c r="AR673" i="1"/>
  <c r="AS673" i="1" s="1"/>
  <c r="AT673" i="1" s="1"/>
  <c r="AR674" i="1"/>
  <c r="AS674" i="1" s="1"/>
  <c r="AT674" i="1" s="1"/>
  <c r="AR675" i="1"/>
  <c r="AS675" i="1" s="1"/>
  <c r="AT675" i="1" s="1"/>
  <c r="AR676" i="1"/>
  <c r="AS676" i="1" s="1"/>
  <c r="AT676" i="1" s="1"/>
  <c r="AR677" i="1"/>
  <c r="AS677" i="1" s="1"/>
  <c r="AT677" i="1" s="1"/>
  <c r="AR678" i="1"/>
  <c r="AS678" i="1" s="1"/>
  <c r="AT678" i="1" s="1"/>
  <c r="AR679" i="1"/>
  <c r="AS679" i="1" s="1"/>
  <c r="AT679" i="1" s="1"/>
  <c r="AR680" i="1"/>
  <c r="AS680" i="1" s="1"/>
  <c r="AT680" i="1" s="1"/>
  <c r="AR682" i="1"/>
  <c r="AS682" i="1" s="1"/>
  <c r="AT682" i="1" s="1"/>
  <c r="AR683" i="1"/>
  <c r="AS683" i="1" s="1"/>
  <c r="AT683" i="1" s="1"/>
  <c r="AR684" i="1"/>
  <c r="AS684" i="1" s="1"/>
  <c r="AT684" i="1" s="1"/>
  <c r="AR685" i="1"/>
  <c r="AS685" i="1" s="1"/>
  <c r="AT685" i="1" s="1"/>
  <c r="AR686" i="1"/>
  <c r="AS686" i="1" s="1"/>
  <c r="AT686" i="1" s="1"/>
  <c r="AR687" i="1"/>
  <c r="AS687" i="1" s="1"/>
  <c r="AT687" i="1" s="1"/>
  <c r="AR688" i="1"/>
  <c r="AS688" i="1" s="1"/>
  <c r="AT688" i="1" s="1"/>
  <c r="AR689" i="1"/>
  <c r="AS689" i="1" s="1"/>
  <c r="AT689" i="1" s="1"/>
  <c r="AR690" i="1"/>
  <c r="AS690" i="1" s="1"/>
  <c r="AT690" i="1" s="1"/>
  <c r="AR691" i="1"/>
  <c r="AS691" i="1" s="1"/>
  <c r="AT691" i="1" s="1"/>
  <c r="AR692" i="1"/>
  <c r="AS692" i="1" s="1"/>
  <c r="AT692" i="1" s="1"/>
  <c r="AR693" i="1"/>
  <c r="AS693" i="1" s="1"/>
  <c r="AT693" i="1" s="1"/>
  <c r="AR694" i="1"/>
  <c r="AS694" i="1" s="1"/>
  <c r="AT694" i="1" s="1"/>
  <c r="AR695" i="1"/>
  <c r="AS695" i="1" s="1"/>
  <c r="AT695" i="1" s="1"/>
  <c r="AR696" i="1"/>
  <c r="AS696" i="1" s="1"/>
  <c r="AT696" i="1" s="1"/>
  <c r="AR697" i="1"/>
  <c r="AS697" i="1" s="1"/>
  <c r="AT697" i="1" s="1"/>
  <c r="AR698" i="1"/>
  <c r="AS698" i="1" s="1"/>
  <c r="AT698" i="1" s="1"/>
  <c r="AR699" i="1"/>
  <c r="AS699" i="1" s="1"/>
  <c r="AT699" i="1" s="1"/>
  <c r="AR700" i="1"/>
  <c r="AS700" i="1" s="1"/>
  <c r="AT700" i="1" s="1"/>
  <c r="AR701" i="1"/>
  <c r="AS701" i="1" s="1"/>
  <c r="AT701" i="1" s="1"/>
  <c r="AR702" i="1"/>
  <c r="AS702" i="1" s="1"/>
  <c r="AT702" i="1" s="1"/>
  <c r="AR703" i="1"/>
  <c r="AS703" i="1" s="1"/>
  <c r="AT703" i="1" s="1"/>
  <c r="AR704" i="1"/>
  <c r="AS704" i="1" s="1"/>
  <c r="AT704" i="1" s="1"/>
  <c r="AR705" i="1"/>
  <c r="AS705" i="1" s="1"/>
  <c r="AT705" i="1" s="1"/>
  <c r="AR706" i="1"/>
  <c r="AS706" i="1" s="1"/>
  <c r="AT706" i="1" s="1"/>
  <c r="AR707" i="1"/>
  <c r="AS707" i="1" s="1"/>
  <c r="AT707" i="1" s="1"/>
  <c r="AR708" i="1"/>
  <c r="AS708" i="1" s="1"/>
  <c r="AT708" i="1" s="1"/>
  <c r="AR709" i="1"/>
  <c r="AS709" i="1" s="1"/>
  <c r="AT709" i="1" s="1"/>
  <c r="AR710" i="1"/>
  <c r="AS710" i="1" s="1"/>
  <c r="AT710" i="1" s="1"/>
  <c r="AR711" i="1"/>
  <c r="AS711" i="1" s="1"/>
  <c r="AT711" i="1" s="1"/>
  <c r="AR712" i="1"/>
  <c r="AS712" i="1" s="1"/>
  <c r="AT712" i="1" s="1"/>
  <c r="AR713" i="1"/>
  <c r="AS713" i="1" s="1"/>
  <c r="AT713" i="1" s="1"/>
  <c r="AR714" i="1"/>
  <c r="AS714" i="1" s="1"/>
  <c r="AT714" i="1" s="1"/>
  <c r="AR715" i="1"/>
  <c r="AS715" i="1" s="1"/>
  <c r="AT715" i="1" s="1"/>
  <c r="AR716" i="1"/>
  <c r="AS716" i="1" s="1"/>
  <c r="AT716" i="1" s="1"/>
  <c r="AR717" i="1"/>
  <c r="AS717" i="1" s="1"/>
  <c r="AT717" i="1" s="1"/>
  <c r="AR718" i="1"/>
  <c r="AS718" i="1" s="1"/>
  <c r="AT718" i="1" s="1"/>
  <c r="AR719" i="1"/>
  <c r="AS719" i="1" s="1"/>
  <c r="AT719" i="1" s="1"/>
  <c r="AR720" i="1"/>
  <c r="AS720" i="1" s="1"/>
  <c r="AT720" i="1" s="1"/>
  <c r="AR721" i="1"/>
  <c r="AS721" i="1" s="1"/>
  <c r="AT721" i="1" s="1"/>
  <c r="AR722" i="1"/>
  <c r="AS722" i="1" s="1"/>
  <c r="AT722" i="1" s="1"/>
  <c r="AR723" i="1"/>
  <c r="AS723" i="1" s="1"/>
  <c r="AT723" i="1" s="1"/>
  <c r="AR724" i="1"/>
  <c r="AS724" i="1" s="1"/>
  <c r="AT724" i="1" s="1"/>
  <c r="AR725" i="1"/>
  <c r="AS725" i="1" s="1"/>
  <c r="AT725" i="1" s="1"/>
  <c r="AR726" i="1"/>
  <c r="AS726" i="1" s="1"/>
  <c r="AT726" i="1" s="1"/>
  <c r="AR727" i="1"/>
  <c r="AS727" i="1" s="1"/>
  <c r="AT727" i="1" s="1"/>
  <c r="AR728" i="1"/>
  <c r="AS728" i="1" s="1"/>
  <c r="AT728" i="1" s="1"/>
  <c r="AR729" i="1"/>
  <c r="AS729" i="1" s="1"/>
  <c r="AT729" i="1" s="1"/>
  <c r="AR730" i="1"/>
  <c r="AS730" i="1" s="1"/>
  <c r="AT730" i="1" s="1"/>
  <c r="AR731" i="1"/>
  <c r="AS731" i="1" s="1"/>
  <c r="AT731" i="1" s="1"/>
  <c r="AR732" i="1"/>
  <c r="AS732" i="1" s="1"/>
  <c r="AT732" i="1" s="1"/>
  <c r="AR733" i="1"/>
  <c r="AS733" i="1" s="1"/>
  <c r="AT733" i="1" s="1"/>
  <c r="AR734" i="1"/>
  <c r="AS734" i="1" s="1"/>
  <c r="AT734" i="1" s="1"/>
  <c r="AR735" i="1"/>
  <c r="AS735" i="1" s="1"/>
  <c r="AT735" i="1" s="1"/>
  <c r="AR736" i="1"/>
  <c r="AS736" i="1" s="1"/>
  <c r="AT736" i="1" s="1"/>
  <c r="AR737" i="1"/>
  <c r="AS737" i="1" s="1"/>
  <c r="AT737" i="1" s="1"/>
  <c r="AR738" i="1"/>
  <c r="AS738" i="1" s="1"/>
  <c r="AT738" i="1" s="1"/>
  <c r="AR739" i="1"/>
  <c r="AS739" i="1" s="1"/>
  <c r="AT739" i="1" s="1"/>
  <c r="AR740" i="1"/>
  <c r="AS740" i="1" s="1"/>
  <c r="AT740" i="1" s="1"/>
  <c r="AR741" i="1"/>
  <c r="AS741" i="1" s="1"/>
  <c r="AT741" i="1" s="1"/>
  <c r="AR742" i="1"/>
  <c r="AS742" i="1" s="1"/>
  <c r="AT742" i="1" s="1"/>
  <c r="AR743" i="1"/>
  <c r="AS743" i="1" s="1"/>
  <c r="AT743" i="1" s="1"/>
  <c r="AR744" i="1"/>
  <c r="AS744" i="1" s="1"/>
  <c r="AT744" i="1" s="1"/>
  <c r="AR745" i="1"/>
  <c r="AS745" i="1" s="1"/>
  <c r="AT745" i="1" s="1"/>
  <c r="AR746" i="1"/>
  <c r="AS746" i="1" s="1"/>
  <c r="AT746" i="1" s="1"/>
  <c r="AR747" i="1"/>
  <c r="AS747" i="1" s="1"/>
  <c r="AT747" i="1" s="1"/>
  <c r="AR748" i="1"/>
  <c r="AS748" i="1" s="1"/>
  <c r="AT748" i="1" s="1"/>
  <c r="AR749" i="1"/>
  <c r="AS749" i="1" s="1"/>
  <c r="AT749" i="1" s="1"/>
  <c r="AR750" i="1"/>
  <c r="AS750" i="1" s="1"/>
  <c r="AT750" i="1" s="1"/>
  <c r="AR751" i="1"/>
  <c r="AS751" i="1" s="1"/>
  <c r="AT751" i="1" s="1"/>
  <c r="AR752" i="1"/>
  <c r="AS752" i="1" s="1"/>
  <c r="AT752" i="1" s="1"/>
  <c r="AR753" i="1"/>
  <c r="AS753" i="1" s="1"/>
  <c r="AT753" i="1" s="1"/>
  <c r="AR754" i="1"/>
  <c r="AS754" i="1" s="1"/>
  <c r="AT754" i="1" s="1"/>
  <c r="AR755" i="1"/>
  <c r="AS755" i="1" s="1"/>
  <c r="AT755" i="1" s="1"/>
  <c r="AR756" i="1"/>
  <c r="AS756" i="1" s="1"/>
  <c r="AT756" i="1" s="1"/>
  <c r="AR757" i="1"/>
  <c r="AS757" i="1" s="1"/>
  <c r="AT757" i="1" s="1"/>
  <c r="AR758" i="1"/>
  <c r="AS758" i="1" s="1"/>
  <c r="AT758" i="1" s="1"/>
  <c r="AR759" i="1"/>
  <c r="AS759" i="1" s="1"/>
  <c r="AT759" i="1" s="1"/>
  <c r="AR760" i="1"/>
  <c r="AS760" i="1" s="1"/>
  <c r="AT760" i="1" s="1"/>
  <c r="AR761" i="1"/>
  <c r="AS761" i="1" s="1"/>
  <c r="AT761" i="1" s="1"/>
  <c r="AR762" i="1"/>
  <c r="AS762" i="1" s="1"/>
  <c r="AT762" i="1" s="1"/>
  <c r="AR763" i="1"/>
  <c r="AS763" i="1" s="1"/>
  <c r="AT763" i="1" s="1"/>
  <c r="AR764" i="1"/>
  <c r="AS764" i="1" s="1"/>
  <c r="AT764" i="1" s="1"/>
  <c r="AR765" i="1"/>
  <c r="AS765" i="1" s="1"/>
  <c r="AT765" i="1" s="1"/>
  <c r="AR766" i="1"/>
  <c r="AS766" i="1" s="1"/>
  <c r="AT766" i="1" s="1"/>
  <c r="AR767" i="1"/>
  <c r="AS767" i="1" s="1"/>
  <c r="AT767" i="1" s="1"/>
  <c r="AR768" i="1"/>
  <c r="AS768" i="1" s="1"/>
  <c r="AT768" i="1" s="1"/>
  <c r="AR769" i="1"/>
  <c r="AS769" i="1" s="1"/>
  <c r="AT769" i="1" s="1"/>
  <c r="AR770" i="1"/>
  <c r="AS770" i="1" s="1"/>
  <c r="AT770" i="1" s="1"/>
  <c r="AR771" i="1"/>
  <c r="AS771" i="1" s="1"/>
  <c r="AT771" i="1" s="1"/>
  <c r="AR772" i="1"/>
  <c r="AS772" i="1" s="1"/>
  <c r="AT772" i="1" s="1"/>
  <c r="AR773" i="1"/>
  <c r="AS773" i="1" s="1"/>
  <c r="AT773" i="1" s="1"/>
  <c r="AR774" i="1"/>
  <c r="AS774" i="1" s="1"/>
  <c r="AT774" i="1" s="1"/>
  <c r="AR775" i="1"/>
  <c r="AS775" i="1" s="1"/>
  <c r="AT775" i="1" s="1"/>
  <c r="AR776" i="1"/>
  <c r="AS776" i="1" s="1"/>
  <c r="AT776" i="1" s="1"/>
  <c r="AR777" i="1"/>
  <c r="AS777" i="1" s="1"/>
  <c r="AT777" i="1" s="1"/>
  <c r="AR778" i="1"/>
  <c r="AS778" i="1" s="1"/>
  <c r="AT778" i="1" s="1"/>
  <c r="AR779" i="1"/>
  <c r="AS779" i="1" s="1"/>
  <c r="AT779" i="1" s="1"/>
  <c r="AR780" i="1"/>
  <c r="AS780" i="1" s="1"/>
  <c r="AT780" i="1" s="1"/>
  <c r="AR781" i="1"/>
  <c r="AS781" i="1" s="1"/>
  <c r="AT781" i="1" s="1"/>
  <c r="AR782" i="1"/>
  <c r="AS782" i="1" s="1"/>
  <c r="AT782" i="1" s="1"/>
  <c r="AR783" i="1"/>
  <c r="AS783" i="1" s="1"/>
  <c r="AT783" i="1" s="1"/>
  <c r="AR784" i="1"/>
  <c r="AS784" i="1" s="1"/>
  <c r="AT784" i="1" s="1"/>
  <c r="AR785" i="1"/>
  <c r="AS785" i="1" s="1"/>
  <c r="AT785" i="1" s="1"/>
  <c r="AR786" i="1"/>
  <c r="AS786" i="1" s="1"/>
  <c r="AT786" i="1" s="1"/>
  <c r="AR787" i="1"/>
  <c r="AS787" i="1" s="1"/>
  <c r="AT787" i="1" s="1"/>
  <c r="AR788" i="1"/>
  <c r="AS788" i="1" s="1"/>
  <c r="AT788" i="1" s="1"/>
  <c r="AR789" i="1"/>
  <c r="AS789" i="1" s="1"/>
  <c r="AT789" i="1" s="1"/>
  <c r="AR790" i="1"/>
  <c r="AS790" i="1" s="1"/>
  <c r="AT790" i="1" s="1"/>
  <c r="AR791" i="1"/>
  <c r="AS791" i="1" s="1"/>
  <c r="AT791" i="1" s="1"/>
  <c r="AR792" i="1"/>
  <c r="AS792" i="1" s="1"/>
  <c r="AT792" i="1" s="1"/>
  <c r="AR793" i="1"/>
  <c r="AS793" i="1" s="1"/>
  <c r="AT793" i="1" s="1"/>
  <c r="AR794" i="1"/>
  <c r="AS794" i="1" s="1"/>
  <c r="AT794" i="1" s="1"/>
  <c r="AR795" i="1"/>
  <c r="AS795" i="1" s="1"/>
  <c r="AT795" i="1" s="1"/>
  <c r="AR796" i="1"/>
  <c r="AS796" i="1" s="1"/>
  <c r="AT796" i="1" s="1"/>
  <c r="AR797" i="1"/>
  <c r="AS797" i="1" s="1"/>
  <c r="AT797" i="1" s="1"/>
  <c r="AR798" i="1"/>
  <c r="AS798" i="1" s="1"/>
  <c r="AT798" i="1" s="1"/>
  <c r="AR799" i="1"/>
  <c r="AS799" i="1" s="1"/>
  <c r="AT799" i="1" s="1"/>
  <c r="AR800" i="1"/>
  <c r="AS800" i="1" s="1"/>
  <c r="AT800" i="1" s="1"/>
  <c r="AR801" i="1"/>
  <c r="AS801" i="1" s="1"/>
  <c r="AT801" i="1" s="1"/>
  <c r="AR802" i="1"/>
  <c r="AS802" i="1" s="1"/>
  <c r="AT802" i="1" s="1"/>
  <c r="AR803" i="1"/>
  <c r="AS803" i="1" s="1"/>
  <c r="AT803" i="1" s="1"/>
  <c r="AR804" i="1"/>
  <c r="AS804" i="1" s="1"/>
  <c r="AT804" i="1" s="1"/>
  <c r="AR805" i="1"/>
  <c r="AS805" i="1" s="1"/>
  <c r="AT805" i="1" s="1"/>
  <c r="AR806" i="1"/>
  <c r="AS806" i="1" s="1"/>
  <c r="AT806" i="1" s="1"/>
  <c r="AR807" i="1"/>
  <c r="AS807" i="1" s="1"/>
  <c r="AT807" i="1" s="1"/>
  <c r="AR808" i="1"/>
  <c r="AS808" i="1" s="1"/>
  <c r="AT808" i="1" s="1"/>
  <c r="AR809" i="1"/>
  <c r="AS809" i="1" s="1"/>
  <c r="AT809" i="1" s="1"/>
  <c r="AR810" i="1"/>
  <c r="AS810" i="1" s="1"/>
  <c r="AT810" i="1" s="1"/>
  <c r="AR811" i="1"/>
  <c r="AS811" i="1" s="1"/>
  <c r="AT811" i="1" s="1"/>
  <c r="AR812" i="1"/>
  <c r="AS812" i="1" s="1"/>
  <c r="AT812" i="1" s="1"/>
  <c r="AR813" i="1"/>
  <c r="AS813" i="1" s="1"/>
  <c r="AT813" i="1" s="1"/>
  <c r="AR814" i="1"/>
  <c r="AS814" i="1" s="1"/>
  <c r="AT814" i="1" s="1"/>
  <c r="AR815" i="1"/>
  <c r="AS815" i="1" s="1"/>
  <c r="AT815" i="1" s="1"/>
  <c r="AR816" i="1"/>
  <c r="AS816" i="1" s="1"/>
  <c r="AT816" i="1" s="1"/>
  <c r="AR817" i="1"/>
  <c r="AS817" i="1" s="1"/>
  <c r="AT817" i="1" s="1"/>
  <c r="AR818" i="1"/>
  <c r="AS818" i="1" s="1"/>
  <c r="AT818" i="1" s="1"/>
  <c r="AR819" i="1"/>
  <c r="AS819" i="1" s="1"/>
  <c r="AT819" i="1" s="1"/>
  <c r="AR820" i="1"/>
  <c r="AS820" i="1" s="1"/>
  <c r="AT820" i="1" s="1"/>
  <c r="AR821" i="1"/>
  <c r="AS821" i="1" s="1"/>
  <c r="AT821" i="1" s="1"/>
  <c r="AR822" i="1"/>
  <c r="AS822" i="1" s="1"/>
  <c r="AT822" i="1" s="1"/>
  <c r="AR823" i="1"/>
  <c r="AS823" i="1" s="1"/>
  <c r="AT823" i="1" s="1"/>
  <c r="AR824" i="1"/>
  <c r="AS824" i="1" s="1"/>
  <c r="AT824" i="1" s="1"/>
  <c r="AR825" i="1"/>
  <c r="AS825" i="1" s="1"/>
  <c r="AT825" i="1" s="1"/>
  <c r="AR826" i="1"/>
  <c r="AS826" i="1" s="1"/>
  <c r="AT826" i="1" s="1"/>
  <c r="AR827" i="1"/>
  <c r="AS827" i="1" s="1"/>
  <c r="AT827" i="1" s="1"/>
  <c r="AR828" i="1"/>
  <c r="AS828" i="1" s="1"/>
  <c r="AT828" i="1" s="1"/>
  <c r="AR829" i="1"/>
  <c r="AS829" i="1" s="1"/>
  <c r="AT829" i="1" s="1"/>
  <c r="AR830" i="1"/>
  <c r="AS830" i="1" s="1"/>
  <c r="AT830" i="1" s="1"/>
  <c r="AR831" i="1"/>
  <c r="AS831" i="1" s="1"/>
  <c r="AT831" i="1" s="1"/>
  <c r="AR832" i="1"/>
  <c r="AS832" i="1" s="1"/>
  <c r="AT832" i="1" s="1"/>
  <c r="AR833" i="1"/>
  <c r="AS833" i="1" s="1"/>
  <c r="AT833" i="1" s="1"/>
  <c r="AR835" i="1"/>
  <c r="AS835" i="1" s="1"/>
  <c r="AT835" i="1" s="1"/>
  <c r="AR836" i="1"/>
  <c r="AS836" i="1" s="1"/>
  <c r="AT836" i="1" s="1"/>
  <c r="AR837" i="1"/>
  <c r="AS837" i="1" s="1"/>
  <c r="AT837" i="1" s="1"/>
  <c r="AR838" i="1"/>
  <c r="AS838" i="1" s="1"/>
  <c r="AT838" i="1" s="1"/>
  <c r="AR839" i="1"/>
  <c r="AS839" i="1" s="1"/>
  <c r="AT839" i="1" s="1"/>
  <c r="AR840" i="1"/>
  <c r="AS840" i="1" s="1"/>
  <c r="AT840" i="1" s="1"/>
  <c r="AR842" i="1"/>
  <c r="AS842" i="1" s="1"/>
  <c r="AT842" i="1" s="1"/>
  <c r="AR843" i="1"/>
  <c r="AS843" i="1" s="1"/>
  <c r="AT843" i="1" s="1"/>
  <c r="AR844" i="1"/>
  <c r="AS844" i="1" s="1"/>
  <c r="AT844" i="1" s="1"/>
  <c r="AR845" i="1"/>
  <c r="AS845" i="1" s="1"/>
  <c r="AT845" i="1" s="1"/>
  <c r="AR846" i="1"/>
  <c r="AS846" i="1" s="1"/>
  <c r="AT846" i="1" s="1"/>
  <c r="AR847" i="1"/>
  <c r="AS847" i="1" s="1"/>
  <c r="AT847" i="1" s="1"/>
  <c r="AR848" i="1"/>
  <c r="AS848" i="1" s="1"/>
  <c r="AT848" i="1" s="1"/>
  <c r="AR849" i="1"/>
  <c r="AS849" i="1" s="1"/>
  <c r="AT849" i="1" s="1"/>
  <c r="AR850" i="1"/>
  <c r="AS850" i="1" s="1"/>
  <c r="AT850" i="1" s="1"/>
  <c r="AR851" i="1"/>
  <c r="AS851" i="1" s="1"/>
  <c r="AT851" i="1" s="1"/>
  <c r="AR852" i="1"/>
  <c r="AS852" i="1" s="1"/>
  <c r="AT852" i="1" s="1"/>
  <c r="AR853" i="1"/>
  <c r="AS853" i="1" s="1"/>
  <c r="AT853" i="1" s="1"/>
  <c r="AR854" i="1"/>
  <c r="AS854" i="1" s="1"/>
  <c r="AT854" i="1" s="1"/>
  <c r="AR855" i="1"/>
  <c r="AS855" i="1" s="1"/>
  <c r="AT855" i="1" s="1"/>
  <c r="AR856" i="1"/>
  <c r="AS856" i="1" s="1"/>
  <c r="AT856" i="1" s="1"/>
  <c r="AR857" i="1"/>
  <c r="AS857" i="1" s="1"/>
  <c r="AT857" i="1" s="1"/>
  <c r="AR858" i="1"/>
  <c r="AS858" i="1" s="1"/>
  <c r="AT858" i="1" s="1"/>
  <c r="AR859" i="1"/>
  <c r="AS859" i="1" s="1"/>
  <c r="AT859" i="1" s="1"/>
  <c r="AR860" i="1"/>
  <c r="AS860" i="1" s="1"/>
  <c r="AT860" i="1" s="1"/>
  <c r="AR861" i="1"/>
  <c r="AS861" i="1" s="1"/>
  <c r="AT861" i="1" s="1"/>
  <c r="AR862" i="1"/>
  <c r="AS862" i="1" s="1"/>
  <c r="AT862" i="1" s="1"/>
  <c r="AR863" i="1"/>
  <c r="AS863" i="1" s="1"/>
  <c r="AT863" i="1" s="1"/>
  <c r="AR864" i="1"/>
  <c r="AS864" i="1" s="1"/>
  <c r="AT864" i="1" s="1"/>
  <c r="AR865" i="1"/>
  <c r="AS865" i="1" s="1"/>
  <c r="AT865" i="1" s="1"/>
  <c r="AR866" i="1"/>
  <c r="AS866" i="1" s="1"/>
  <c r="AT866" i="1" s="1"/>
  <c r="AR867" i="1"/>
  <c r="AS867" i="1" s="1"/>
  <c r="AT867" i="1" s="1"/>
  <c r="AR868" i="1"/>
  <c r="AS868" i="1" s="1"/>
  <c r="AT868" i="1" s="1"/>
  <c r="AR869" i="1"/>
  <c r="AS869" i="1" s="1"/>
  <c r="AT869" i="1" s="1"/>
  <c r="AR870" i="1"/>
  <c r="AS870" i="1" s="1"/>
  <c r="AT870" i="1" s="1"/>
  <c r="AR871" i="1"/>
  <c r="AS871" i="1" s="1"/>
  <c r="AT871" i="1" s="1"/>
  <c r="AR872" i="1"/>
  <c r="AS872" i="1" s="1"/>
  <c r="AT872" i="1" s="1"/>
  <c r="AR873" i="1"/>
  <c r="AS873" i="1" s="1"/>
  <c r="AT873" i="1" s="1"/>
  <c r="AR874" i="1"/>
  <c r="AS874" i="1" s="1"/>
  <c r="AT874" i="1" s="1"/>
  <c r="AR875" i="1"/>
  <c r="AS875" i="1" s="1"/>
  <c r="AT875" i="1" s="1"/>
  <c r="AR876" i="1"/>
  <c r="AS876" i="1" s="1"/>
  <c r="AT876" i="1" s="1"/>
  <c r="AR877" i="1"/>
  <c r="AS877" i="1" s="1"/>
  <c r="AT877" i="1" s="1"/>
  <c r="AR878" i="1"/>
  <c r="AS878" i="1" s="1"/>
  <c r="AT878" i="1" s="1"/>
  <c r="AR879" i="1"/>
  <c r="AS879" i="1" s="1"/>
  <c r="AT879" i="1" s="1"/>
  <c r="AR880" i="1"/>
  <c r="AS880" i="1" s="1"/>
  <c r="AT880" i="1" s="1"/>
  <c r="AR881" i="1"/>
  <c r="AS881" i="1" s="1"/>
  <c r="AT881" i="1" s="1"/>
  <c r="AR882" i="1"/>
  <c r="AS882" i="1" s="1"/>
  <c r="AT882" i="1" s="1"/>
  <c r="AR883" i="1"/>
  <c r="AS883" i="1" s="1"/>
  <c r="AT883" i="1" s="1"/>
  <c r="AR884" i="1"/>
  <c r="AS884" i="1" s="1"/>
  <c r="AT884" i="1" s="1"/>
  <c r="AR885" i="1"/>
  <c r="AS885" i="1" s="1"/>
  <c r="AT885" i="1" s="1"/>
  <c r="AR886" i="1"/>
  <c r="AS886" i="1" s="1"/>
  <c r="AT886" i="1" s="1"/>
  <c r="AR887" i="1"/>
  <c r="AS887" i="1" s="1"/>
  <c r="AT887" i="1" s="1"/>
  <c r="AR889" i="1"/>
  <c r="AS889" i="1" s="1"/>
  <c r="AT889" i="1" s="1"/>
  <c r="AR890" i="1"/>
  <c r="AS890" i="1" s="1"/>
  <c r="AT890" i="1" s="1"/>
  <c r="AR892" i="1"/>
  <c r="AS892" i="1" s="1"/>
  <c r="AT892" i="1" s="1"/>
  <c r="AR893" i="1"/>
  <c r="AS893" i="1" s="1"/>
  <c r="AT893" i="1" s="1"/>
  <c r="AR894" i="1"/>
  <c r="AS894" i="1" s="1"/>
  <c r="AT894" i="1" s="1"/>
  <c r="AR895" i="1"/>
  <c r="AS895" i="1" s="1"/>
  <c r="AT895" i="1" s="1"/>
  <c r="AR896" i="1"/>
  <c r="AS896" i="1" s="1"/>
  <c r="AT896" i="1" s="1"/>
  <c r="AR897" i="1"/>
  <c r="AS897" i="1" s="1"/>
  <c r="AT897" i="1" s="1"/>
  <c r="AR898" i="1"/>
  <c r="AS898" i="1" s="1"/>
  <c r="AT898" i="1" s="1"/>
  <c r="AR899" i="1"/>
  <c r="AS899" i="1" s="1"/>
  <c r="AT899" i="1" s="1"/>
  <c r="AR900" i="1"/>
  <c r="AS900" i="1" s="1"/>
  <c r="AT900" i="1" s="1"/>
  <c r="AR901" i="1"/>
  <c r="AS901" i="1" s="1"/>
  <c r="AT901" i="1" s="1"/>
  <c r="AR902" i="1"/>
  <c r="AS902" i="1" s="1"/>
  <c r="AT902" i="1" s="1"/>
  <c r="AR903" i="1"/>
  <c r="AS903" i="1" s="1"/>
  <c r="AT903" i="1" s="1"/>
  <c r="AR904" i="1"/>
  <c r="AS904" i="1" s="1"/>
  <c r="AT904" i="1" s="1"/>
  <c r="AR905" i="1"/>
  <c r="AS905" i="1" s="1"/>
  <c r="AT905" i="1" s="1"/>
  <c r="AR906" i="1"/>
  <c r="AS906" i="1" s="1"/>
  <c r="AT906" i="1" s="1"/>
  <c r="AR907" i="1"/>
  <c r="AS907" i="1" s="1"/>
  <c r="AT907" i="1" s="1"/>
  <c r="AR908" i="1"/>
  <c r="AS908" i="1" s="1"/>
  <c r="AT908" i="1" s="1"/>
  <c r="AR909" i="1"/>
  <c r="AS909" i="1" s="1"/>
  <c r="AT909" i="1" s="1"/>
  <c r="AR910" i="1"/>
  <c r="AS910" i="1" s="1"/>
  <c r="AT910" i="1" s="1"/>
  <c r="AR911" i="1"/>
  <c r="AS911" i="1" s="1"/>
  <c r="AT911" i="1" s="1"/>
  <c r="AR912" i="1"/>
  <c r="AS912" i="1" s="1"/>
  <c r="AT912" i="1" s="1"/>
  <c r="AS2" i="1"/>
  <c r="AT2" i="1" s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2" i="1"/>
  <c r="AG891" i="1"/>
  <c r="AR891" i="1" s="1"/>
  <c r="AS891" i="1" s="1"/>
  <c r="AT891" i="1" s="1"/>
  <c r="AG888" i="1"/>
  <c r="AR888" i="1" s="1"/>
  <c r="AS888" i="1" s="1"/>
  <c r="AT888" i="1" s="1"/>
  <c r="AG841" i="1"/>
  <c r="AR841" i="1" s="1"/>
  <c r="AS841" i="1" s="1"/>
  <c r="AT841" i="1" s="1"/>
  <c r="AG834" i="1"/>
  <c r="AR834" i="1" s="1"/>
  <c r="AS834" i="1" s="1"/>
  <c r="AT834" i="1" s="1"/>
  <c r="AG681" i="1"/>
  <c r="AR681" i="1" s="1"/>
  <c r="AS681" i="1" s="1"/>
  <c r="AT681" i="1" s="1"/>
  <c r="AG591" i="1"/>
  <c r="AR591" i="1" s="1"/>
  <c r="AS591" i="1" s="1"/>
  <c r="AT591" i="1" s="1"/>
  <c r="AG528" i="1"/>
  <c r="AR528" i="1" s="1"/>
  <c r="AS528" i="1" s="1"/>
  <c r="AT528" i="1" s="1"/>
  <c r="AG485" i="1"/>
  <c r="AR485" i="1" s="1"/>
  <c r="AS485" i="1" s="1"/>
  <c r="AT485" i="1" s="1"/>
  <c r="AG435" i="1"/>
  <c r="AR435" i="1" s="1"/>
  <c r="AS435" i="1" s="1"/>
  <c r="AT435" i="1" s="1"/>
  <c r="AG421" i="1"/>
  <c r="AR421" i="1" s="1"/>
  <c r="AS421" i="1" s="1"/>
  <c r="AT421" i="1" s="1"/>
  <c r="AG390" i="1"/>
  <c r="AR390" i="1" s="1"/>
  <c r="AS390" i="1" s="1"/>
  <c r="AT390" i="1" s="1"/>
  <c r="AG385" i="1"/>
  <c r="AR385" i="1" s="1"/>
  <c r="AS385" i="1" s="1"/>
  <c r="AT385" i="1" s="1"/>
  <c r="AG341" i="1"/>
  <c r="AR341" i="1" s="1"/>
  <c r="AS341" i="1" s="1"/>
  <c r="AT341" i="1" s="1"/>
  <c r="AG240" i="1"/>
  <c r="AR240" i="1" s="1"/>
  <c r="AS240" i="1" s="1"/>
  <c r="AT240" i="1" s="1"/>
  <c r="AG207" i="1"/>
  <c r="AR207" i="1" s="1"/>
  <c r="AS207" i="1" s="1"/>
  <c r="AT207" i="1" s="1"/>
  <c r="AG75" i="1"/>
  <c r="AR75" i="1" s="1"/>
  <c r="AS75" i="1" s="1"/>
  <c r="AT75" i="1" s="1"/>
  <c r="AG67" i="1"/>
  <c r="AR67" i="1" s="1"/>
  <c r="AS67" i="1" s="1"/>
  <c r="AT67" i="1" s="1"/>
  <c r="AG22" i="1"/>
  <c r="AR22" i="1" s="1"/>
  <c r="AS22" i="1" s="1"/>
  <c r="AT22" i="1" s="1"/>
  <c r="AC908" i="1"/>
  <c r="AC871" i="1"/>
  <c r="AC844" i="1"/>
  <c r="AC769" i="1"/>
  <c r="AC768" i="1"/>
  <c r="AC710" i="1"/>
  <c r="AC682" i="1"/>
  <c r="AC673" i="1"/>
  <c r="AC630" i="1"/>
  <c r="AC511" i="1"/>
  <c r="AC496" i="1"/>
  <c r="AC494" i="1"/>
  <c r="AC471" i="1"/>
  <c r="AC438" i="1"/>
  <c r="AC399" i="1"/>
  <c r="AC351" i="1"/>
  <c r="AC344" i="1"/>
  <c r="AC301" i="1"/>
  <c r="AC263" i="1"/>
  <c r="AC103" i="1"/>
  <c r="AC28" i="1"/>
  <c r="R780" i="1"/>
  <c r="R697" i="1"/>
  <c r="R682" i="1"/>
  <c r="R676" i="1"/>
  <c r="R650" i="1"/>
  <c r="R641" i="1"/>
  <c r="R633" i="1"/>
  <c r="R617" i="1"/>
  <c r="R584" i="1"/>
  <c r="R567" i="1"/>
  <c r="R562" i="1"/>
  <c r="R531" i="1"/>
  <c r="R525" i="1"/>
  <c r="R502" i="1"/>
  <c r="R409" i="1"/>
  <c r="R349" i="1"/>
  <c r="R308" i="1"/>
  <c r="R226" i="1"/>
  <c r="R187" i="1"/>
  <c r="R162" i="1"/>
  <c r="R95" i="1"/>
  <c r="R90" i="1"/>
  <c r="R86" i="1"/>
  <c r="R66" i="1"/>
  <c r="R10" i="1"/>
  <c r="AP3" i="1"/>
  <c r="AP474" i="1"/>
  <c r="AP5" i="1"/>
  <c r="AP6" i="1"/>
  <c r="AP7" i="1"/>
  <c r="AP500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98" i="1"/>
  <c r="AP23" i="1"/>
  <c r="AP24" i="1"/>
  <c r="AP25" i="1"/>
  <c r="AP26" i="1"/>
  <c r="AP11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84" i="1"/>
  <c r="AP56" i="1"/>
  <c r="AP58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418" i="1"/>
  <c r="AP71" i="1"/>
  <c r="AP72" i="1"/>
  <c r="AP419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588" i="1"/>
  <c r="AP606" i="1"/>
  <c r="AP93" i="1"/>
  <c r="AP94" i="1"/>
  <c r="AP95" i="1"/>
  <c r="AP96" i="1"/>
  <c r="AP503" i="1"/>
  <c r="AP582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57" i="1"/>
  <c r="AP70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4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27" i="1"/>
  <c r="AP55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713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770" i="1"/>
  <c r="AP886" i="1"/>
  <c r="AP771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818" i="1"/>
  <c r="AP583" i="1"/>
  <c r="AP819" i="1"/>
  <c r="AP585" i="1"/>
  <c r="AP586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8" i="1"/>
  <c r="AP609" i="1"/>
  <c r="AP610" i="1"/>
  <c r="AP611" i="1"/>
  <c r="AP612" i="1"/>
  <c r="AP613" i="1"/>
  <c r="AP614" i="1"/>
  <c r="AP838" i="1"/>
  <c r="AP842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2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616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607" i="1"/>
  <c r="AP798" i="1"/>
  <c r="AP615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52" i="1"/>
  <c r="AP857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73" i="1"/>
  <c r="AP839" i="1"/>
  <c r="AP840" i="1"/>
  <c r="AP841" i="1"/>
  <c r="AP92" i="1"/>
  <c r="AP843" i="1"/>
  <c r="AP118" i="1"/>
  <c r="AP845" i="1"/>
  <c r="AP846" i="1"/>
  <c r="AP847" i="1"/>
  <c r="AP797" i="1"/>
  <c r="AP849" i="1"/>
  <c r="AP850" i="1"/>
  <c r="AP851" i="1"/>
  <c r="AP816" i="1"/>
  <c r="AP853" i="1"/>
  <c r="AP854" i="1"/>
  <c r="AP855" i="1"/>
  <c r="AP856" i="1"/>
  <c r="AP844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501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502" i="1"/>
  <c r="AP848" i="1"/>
  <c r="AP8" i="1"/>
  <c r="AP91" i="1"/>
  <c r="AP181" i="1"/>
  <c r="AP749" i="1"/>
  <c r="AP711" i="1"/>
  <c r="AP799" i="1"/>
  <c r="AP97" i="1"/>
  <c r="AP22" i="1"/>
  <c r="AP817" i="1"/>
  <c r="AP2" i="1"/>
  <c r="D105" i="1" l="1"/>
  <c r="D106" i="1"/>
  <c r="D107" i="1"/>
  <c r="D4" i="1"/>
  <c r="D217" i="1"/>
  <c r="D218" i="1"/>
  <c r="D223" i="1"/>
  <c r="D241" i="1"/>
  <c r="D255" i="1"/>
  <c r="D259" i="1"/>
  <c r="D300" i="1"/>
  <c r="D355" i="1"/>
  <c r="D359" i="1"/>
  <c r="D392" i="1"/>
  <c r="D464" i="1"/>
  <c r="D702" i="1"/>
  <c r="D518" i="1"/>
  <c r="D580" i="1"/>
  <c r="D651" i="1"/>
  <c r="D673" i="1"/>
  <c r="D675" i="1"/>
  <c r="D678" i="1"/>
  <c r="D732" i="1"/>
  <c r="D605" i="1"/>
  <c r="D743" i="1"/>
  <c r="D768" i="1"/>
  <c r="D779" i="1"/>
  <c r="H883" i="1"/>
  <c r="I883" i="1" s="1"/>
  <c r="H879" i="1"/>
  <c r="I879" i="1" s="1"/>
  <c r="H495" i="1"/>
  <c r="I495" i="1" s="1"/>
  <c r="H868" i="1"/>
  <c r="I868" i="1" s="1"/>
  <c r="H857" i="1"/>
  <c r="I857" i="1" s="1"/>
  <c r="H856" i="1"/>
  <c r="I856" i="1" s="1"/>
  <c r="H853" i="1"/>
  <c r="I853" i="1" s="1"/>
  <c r="H837" i="1"/>
  <c r="I837" i="1" s="1"/>
  <c r="H829" i="1"/>
  <c r="I829" i="1" s="1"/>
  <c r="H828" i="1"/>
  <c r="I828" i="1" s="1"/>
  <c r="H71" i="1"/>
  <c r="I71" i="1" s="1"/>
  <c r="H819" i="1"/>
  <c r="I819" i="1" s="1"/>
  <c r="H817" i="1"/>
  <c r="I817" i="1" s="1"/>
  <c r="H810" i="1"/>
  <c r="I810" i="1" s="1"/>
  <c r="H910" i="1"/>
  <c r="I910" i="1" s="1"/>
  <c r="H597" i="1"/>
  <c r="I597" i="1" s="1"/>
  <c r="H776" i="1"/>
  <c r="I776" i="1" s="1"/>
  <c r="H775" i="1"/>
  <c r="I775" i="1" s="1"/>
  <c r="H773" i="1"/>
  <c r="I773" i="1" s="1"/>
  <c r="H771" i="1"/>
  <c r="I771" i="1" s="1"/>
  <c r="H764" i="1"/>
  <c r="I764" i="1" s="1"/>
  <c r="H760" i="1"/>
  <c r="I760" i="1" s="1"/>
  <c r="H755" i="1"/>
  <c r="I755" i="1" s="1"/>
  <c r="H753" i="1"/>
  <c r="I753" i="1" s="1"/>
  <c r="H742" i="1"/>
  <c r="I742" i="1" s="1"/>
  <c r="H741" i="1"/>
  <c r="I741" i="1" s="1"/>
  <c r="H735" i="1"/>
  <c r="I735" i="1" s="1"/>
  <c r="H732" i="1"/>
  <c r="H731" i="1"/>
  <c r="I731" i="1" s="1"/>
  <c r="H729" i="1"/>
  <c r="I729" i="1" s="1"/>
  <c r="H728" i="1"/>
  <c r="I728" i="1" s="1"/>
  <c r="H724" i="1"/>
  <c r="I724" i="1" s="1"/>
  <c r="H715" i="1"/>
  <c r="I715" i="1" s="1"/>
  <c r="H694" i="1"/>
  <c r="I694" i="1" s="1"/>
  <c r="H689" i="1"/>
  <c r="I689" i="1" s="1"/>
  <c r="H688" i="1"/>
  <c r="I688" i="1" s="1"/>
  <c r="H679" i="1"/>
  <c r="I679" i="1" s="1"/>
  <c r="H647" i="1"/>
  <c r="I647" i="1" s="1"/>
  <c r="H642" i="1"/>
  <c r="I642" i="1" s="1"/>
  <c r="H639" i="1"/>
  <c r="I639" i="1" s="1"/>
  <c r="H635" i="1"/>
  <c r="I635" i="1" s="1"/>
  <c r="H631" i="1"/>
  <c r="I631" i="1" s="1"/>
  <c r="H624" i="1"/>
  <c r="I624" i="1" s="1"/>
  <c r="H604" i="1"/>
  <c r="I604" i="1" s="1"/>
  <c r="H600" i="1"/>
  <c r="I600" i="1" s="1"/>
  <c r="H598" i="1"/>
  <c r="I598" i="1" s="1"/>
  <c r="H596" i="1"/>
  <c r="I596" i="1" s="1"/>
  <c r="H595" i="1"/>
  <c r="I595" i="1" s="1"/>
  <c r="H583" i="1"/>
  <c r="I583" i="1" s="1"/>
  <c r="H582" i="1"/>
  <c r="I582" i="1" s="1"/>
  <c r="H571" i="1"/>
  <c r="I571" i="1" s="1"/>
  <c r="H569" i="1"/>
  <c r="I569" i="1" s="1"/>
  <c r="H543" i="1"/>
  <c r="I543" i="1" s="1"/>
  <c r="H540" i="1"/>
  <c r="I540" i="1" s="1"/>
  <c r="H537" i="1"/>
  <c r="I537" i="1" s="1"/>
  <c r="H529" i="1"/>
  <c r="I529" i="1" s="1"/>
  <c r="H514" i="1"/>
  <c r="I514" i="1" s="1"/>
  <c r="H512" i="1"/>
  <c r="I512" i="1" s="1"/>
  <c r="H509" i="1"/>
  <c r="I509" i="1" s="1"/>
  <c r="H505" i="1"/>
  <c r="I505" i="1" s="1"/>
  <c r="H465" i="1"/>
  <c r="I465" i="1" s="1"/>
  <c r="H462" i="1"/>
  <c r="I462" i="1" s="1"/>
  <c r="H461" i="1"/>
  <c r="I461" i="1" s="1"/>
  <c r="H459" i="1"/>
  <c r="I459" i="1" s="1"/>
  <c r="H456" i="1"/>
  <c r="I456" i="1" s="1"/>
  <c r="H448" i="1"/>
  <c r="I448" i="1" s="1"/>
  <c r="H428" i="1"/>
  <c r="I428" i="1" s="1"/>
  <c r="H425" i="1"/>
  <c r="I425" i="1" s="1"/>
  <c r="H422" i="1"/>
  <c r="I422" i="1" s="1"/>
  <c r="H419" i="1"/>
  <c r="I419" i="1" s="1"/>
  <c r="H26" i="1"/>
  <c r="I26" i="1" s="1"/>
  <c r="H408" i="1"/>
  <c r="I408" i="1" s="1"/>
  <c r="H406" i="1"/>
  <c r="I406" i="1" s="1"/>
  <c r="H394" i="1"/>
  <c r="I394" i="1" s="1"/>
  <c r="H389" i="1"/>
  <c r="I389" i="1" s="1"/>
  <c r="H381" i="1"/>
  <c r="I381" i="1" s="1"/>
  <c r="H353" i="1"/>
  <c r="I353" i="1" s="1"/>
  <c r="H351" i="1"/>
  <c r="I351" i="1" s="1"/>
  <c r="H326" i="1"/>
  <c r="I326" i="1" s="1"/>
  <c r="H323" i="1"/>
  <c r="I323" i="1" s="1"/>
  <c r="H321" i="1"/>
  <c r="I321" i="1" s="1"/>
  <c r="H319" i="1"/>
  <c r="I319" i="1" s="1"/>
  <c r="H314" i="1"/>
  <c r="I314" i="1" s="1"/>
  <c r="H313" i="1"/>
  <c r="I313" i="1" s="1"/>
  <c r="H311" i="1"/>
  <c r="I311" i="1" s="1"/>
  <c r="H307" i="1"/>
  <c r="I307" i="1" s="1"/>
  <c r="H297" i="1"/>
  <c r="I297" i="1" s="1"/>
  <c r="H291" i="1"/>
  <c r="I291" i="1" s="1"/>
  <c r="H288" i="1"/>
  <c r="I288" i="1" s="1"/>
  <c r="H285" i="1"/>
  <c r="I285" i="1" s="1"/>
  <c r="H283" i="1"/>
  <c r="I283" i="1" s="1"/>
  <c r="H281" i="1"/>
  <c r="I281" i="1" s="1"/>
  <c r="H276" i="1"/>
  <c r="I276" i="1" s="1"/>
  <c r="H271" i="1"/>
  <c r="I271" i="1" s="1"/>
  <c r="H260" i="1"/>
  <c r="I260" i="1" s="1"/>
  <c r="H253" i="1"/>
  <c r="I253" i="1" s="1"/>
  <c r="H252" i="1"/>
  <c r="I252" i="1" s="1"/>
  <c r="H244" i="1"/>
  <c r="I244" i="1" s="1"/>
  <c r="H238" i="1"/>
  <c r="I238" i="1" s="1"/>
  <c r="H226" i="1"/>
  <c r="I226" i="1" s="1"/>
  <c r="H215" i="1"/>
  <c r="I215" i="1" s="1"/>
  <c r="H212" i="1"/>
  <c r="I212" i="1" s="1"/>
  <c r="H206" i="1"/>
  <c r="I206" i="1" s="1"/>
  <c r="H184" i="1"/>
  <c r="I184" i="1" s="1"/>
  <c r="H173" i="1"/>
  <c r="I173" i="1" s="1"/>
  <c r="H168" i="1"/>
  <c r="I168" i="1" s="1"/>
  <c r="H156" i="1"/>
  <c r="I156" i="1" s="1"/>
  <c r="H139" i="1"/>
  <c r="I139" i="1" s="1"/>
  <c r="H138" i="1"/>
  <c r="I138" i="1" s="1"/>
  <c r="H132" i="1"/>
  <c r="I132" i="1" s="1"/>
  <c r="H130" i="1"/>
  <c r="I130" i="1" s="1"/>
  <c r="H116" i="1"/>
  <c r="I116" i="1" s="1"/>
  <c r="H103" i="1"/>
  <c r="I103" i="1" s="1"/>
  <c r="H100" i="1"/>
  <c r="I100" i="1" s="1"/>
  <c r="H97" i="1"/>
  <c r="I97" i="1" s="1"/>
  <c r="H96" i="1"/>
  <c r="I96" i="1" s="1"/>
  <c r="H496" i="1"/>
  <c r="I496" i="1" s="1"/>
  <c r="H90" i="1"/>
  <c r="I90" i="1" s="1"/>
  <c r="H81" i="1"/>
  <c r="I81" i="1" s="1"/>
  <c r="H74" i="1"/>
  <c r="I74" i="1" s="1"/>
  <c r="H66" i="1"/>
  <c r="I66" i="1" s="1"/>
  <c r="H65" i="1"/>
  <c r="I65" i="1" s="1"/>
  <c r="H63" i="1"/>
  <c r="I63" i="1" s="1"/>
  <c r="H58" i="1"/>
  <c r="I58" i="1" s="1"/>
  <c r="H52" i="1"/>
  <c r="I52" i="1" s="1"/>
  <c r="H29" i="1"/>
  <c r="I29" i="1" s="1"/>
  <c r="H18" i="1"/>
  <c r="I18" i="1" s="1"/>
  <c r="H16" i="1"/>
  <c r="I16" i="1" s="1"/>
  <c r="H14" i="1"/>
  <c r="I14" i="1" s="1"/>
  <c r="H3" i="1"/>
  <c r="H469" i="1"/>
  <c r="H5" i="1"/>
  <c r="I5" i="1" s="1"/>
  <c r="H6" i="1"/>
  <c r="H7" i="1"/>
  <c r="H8" i="1"/>
  <c r="I8" i="1" s="1"/>
  <c r="H9" i="1"/>
  <c r="I9" i="1" s="1"/>
  <c r="H10" i="1"/>
  <c r="H11" i="1"/>
  <c r="H12" i="1"/>
  <c r="I12" i="1" s="1"/>
  <c r="H13" i="1"/>
  <c r="H15" i="1"/>
  <c r="H17" i="1"/>
  <c r="H19" i="1"/>
  <c r="H20" i="1"/>
  <c r="I20" i="1" s="1"/>
  <c r="H95" i="1"/>
  <c r="I95" i="1" s="1"/>
  <c r="H22" i="1"/>
  <c r="H23" i="1"/>
  <c r="H24" i="1"/>
  <c r="H25" i="1"/>
  <c r="H27" i="1"/>
  <c r="H28" i="1"/>
  <c r="I28" i="1" s="1"/>
  <c r="H30" i="1"/>
  <c r="H31" i="1"/>
  <c r="H32" i="1"/>
  <c r="H33" i="1"/>
  <c r="H34" i="1"/>
  <c r="H35" i="1"/>
  <c r="H36" i="1"/>
  <c r="H37" i="1"/>
  <c r="I37" i="1" s="1"/>
  <c r="H38" i="1"/>
  <c r="H39" i="1"/>
  <c r="H40" i="1"/>
  <c r="H41" i="1"/>
  <c r="H42" i="1"/>
  <c r="H43" i="1"/>
  <c r="H44" i="1"/>
  <c r="I44" i="1" s="1"/>
  <c r="H45" i="1"/>
  <c r="I45" i="1" s="1"/>
  <c r="H46" i="1"/>
  <c r="H47" i="1"/>
  <c r="H48" i="1"/>
  <c r="H49" i="1"/>
  <c r="H50" i="1"/>
  <c r="H51" i="1"/>
  <c r="H53" i="1"/>
  <c r="H576" i="1"/>
  <c r="H54" i="1"/>
  <c r="H56" i="1"/>
  <c r="H57" i="1"/>
  <c r="H59" i="1"/>
  <c r="I59" i="1" s="1"/>
  <c r="H60" i="1"/>
  <c r="H61" i="1"/>
  <c r="H62" i="1"/>
  <c r="H64" i="1"/>
  <c r="I64" i="1" s="1"/>
  <c r="H67" i="1"/>
  <c r="H413" i="1"/>
  <c r="H69" i="1"/>
  <c r="H70" i="1"/>
  <c r="H414" i="1"/>
  <c r="H72" i="1"/>
  <c r="H73" i="1"/>
  <c r="H75" i="1"/>
  <c r="I75" i="1" s="1"/>
  <c r="H76" i="1"/>
  <c r="H77" i="1"/>
  <c r="H78" i="1"/>
  <c r="H79" i="1"/>
  <c r="H80" i="1"/>
  <c r="H82" i="1"/>
  <c r="H83" i="1"/>
  <c r="I83" i="1" s="1"/>
  <c r="H84" i="1"/>
  <c r="H85" i="1"/>
  <c r="H86" i="1"/>
  <c r="H87" i="1"/>
  <c r="H88" i="1"/>
  <c r="I88" i="1" s="1"/>
  <c r="H579" i="1"/>
  <c r="H91" i="1"/>
  <c r="H92" i="1"/>
  <c r="H93" i="1"/>
  <c r="H98" i="1"/>
  <c r="H99" i="1"/>
  <c r="I99" i="1" s="1"/>
  <c r="H101" i="1"/>
  <c r="H102" i="1"/>
  <c r="H104" i="1"/>
  <c r="H105" i="1"/>
  <c r="K105" i="1" s="1"/>
  <c r="H106" i="1"/>
  <c r="H107" i="1"/>
  <c r="K107" i="1" s="1"/>
  <c r="H108" i="1"/>
  <c r="H109" i="1"/>
  <c r="H110" i="1"/>
  <c r="H111" i="1"/>
  <c r="H112" i="1"/>
  <c r="H113" i="1"/>
  <c r="H55" i="1"/>
  <c r="I55" i="1" s="1"/>
  <c r="H68" i="1"/>
  <c r="H115" i="1"/>
  <c r="H117" i="1"/>
  <c r="H118" i="1"/>
  <c r="I118" i="1" s="1"/>
  <c r="H119" i="1"/>
  <c r="H120" i="1"/>
  <c r="H121" i="1"/>
  <c r="I121" i="1" s="1"/>
  <c r="H122" i="1"/>
  <c r="H123" i="1"/>
  <c r="H124" i="1"/>
  <c r="H125" i="1"/>
  <c r="H126" i="1"/>
  <c r="I126" i="1" s="1"/>
  <c r="H127" i="1"/>
  <c r="H128" i="1"/>
  <c r="H129" i="1"/>
  <c r="I129" i="1" s="1"/>
  <c r="H131" i="1"/>
  <c r="H133" i="1"/>
  <c r="H134" i="1"/>
  <c r="H135" i="1"/>
  <c r="H136" i="1"/>
  <c r="H137" i="1"/>
  <c r="H140" i="1"/>
  <c r="H141" i="1"/>
  <c r="I141" i="1" s="1"/>
  <c r="H142" i="1"/>
  <c r="H143" i="1"/>
  <c r="H144" i="1"/>
  <c r="H145" i="1"/>
  <c r="H146" i="1"/>
  <c r="I146" i="1" s="1"/>
  <c r="H147" i="1"/>
  <c r="H148" i="1"/>
  <c r="H149" i="1"/>
  <c r="I149" i="1" s="1"/>
  <c r="H150" i="1"/>
  <c r="H151" i="1"/>
  <c r="H152" i="1"/>
  <c r="H153" i="1"/>
  <c r="H154" i="1"/>
  <c r="I154" i="1" s="1"/>
  <c r="H155" i="1"/>
  <c r="H157" i="1"/>
  <c r="H158" i="1"/>
  <c r="H159" i="1"/>
  <c r="H160" i="1"/>
  <c r="H161" i="1"/>
  <c r="H162" i="1"/>
  <c r="I162" i="1" s="1"/>
  <c r="H163" i="1"/>
  <c r="H164" i="1"/>
  <c r="H165" i="1"/>
  <c r="H166" i="1"/>
  <c r="H167" i="1"/>
  <c r="H169" i="1"/>
  <c r="H170" i="1"/>
  <c r="H171" i="1"/>
  <c r="H172" i="1"/>
  <c r="H174" i="1"/>
  <c r="H175" i="1"/>
  <c r="H176" i="1"/>
  <c r="H4" i="1"/>
  <c r="J4" i="1" s="1"/>
  <c r="AU4" i="1" s="1"/>
  <c r="H177" i="1"/>
  <c r="H178" i="1"/>
  <c r="H179" i="1"/>
  <c r="H180" i="1"/>
  <c r="H181" i="1"/>
  <c r="H182" i="1"/>
  <c r="H183" i="1"/>
  <c r="H185" i="1"/>
  <c r="H186" i="1"/>
  <c r="H187" i="1"/>
  <c r="H188" i="1"/>
  <c r="H189" i="1"/>
  <c r="I189" i="1" s="1"/>
  <c r="H190" i="1"/>
  <c r="H191" i="1"/>
  <c r="H192" i="1"/>
  <c r="I192" i="1" s="1"/>
  <c r="H193" i="1"/>
  <c r="H194" i="1"/>
  <c r="H195" i="1"/>
  <c r="H196" i="1"/>
  <c r="H197" i="1"/>
  <c r="I197" i="1" s="1"/>
  <c r="H198" i="1"/>
  <c r="H199" i="1"/>
  <c r="H200" i="1"/>
  <c r="I200" i="1" s="1"/>
  <c r="H201" i="1"/>
  <c r="H202" i="1"/>
  <c r="H203" i="1"/>
  <c r="H204" i="1"/>
  <c r="H205" i="1"/>
  <c r="I205" i="1" s="1"/>
  <c r="H207" i="1"/>
  <c r="H208" i="1"/>
  <c r="H209" i="1"/>
  <c r="H210" i="1"/>
  <c r="H211" i="1"/>
  <c r="H213" i="1"/>
  <c r="H214" i="1"/>
  <c r="H216" i="1"/>
  <c r="H217" i="1"/>
  <c r="H218" i="1"/>
  <c r="K218" i="1" s="1"/>
  <c r="H219" i="1"/>
  <c r="H220" i="1"/>
  <c r="I220" i="1" s="1"/>
  <c r="H221" i="1"/>
  <c r="H222" i="1"/>
  <c r="H223" i="1"/>
  <c r="K223" i="1" s="1"/>
  <c r="H224" i="1"/>
  <c r="H225" i="1"/>
  <c r="H227" i="1"/>
  <c r="H228" i="1"/>
  <c r="H229" i="1"/>
  <c r="H230" i="1"/>
  <c r="H231" i="1"/>
  <c r="H232" i="1"/>
  <c r="I232" i="1" s="1"/>
  <c r="H233" i="1"/>
  <c r="H234" i="1"/>
  <c r="H235" i="1"/>
  <c r="H236" i="1"/>
  <c r="H237" i="1"/>
  <c r="H239" i="1"/>
  <c r="H240" i="1"/>
  <c r="H241" i="1"/>
  <c r="K241" i="1" s="1"/>
  <c r="H242" i="1"/>
  <c r="H243" i="1"/>
  <c r="H245" i="1"/>
  <c r="H246" i="1"/>
  <c r="H247" i="1"/>
  <c r="H248" i="1"/>
  <c r="H249" i="1"/>
  <c r="H250" i="1"/>
  <c r="H251" i="1"/>
  <c r="H254" i="1"/>
  <c r="H255" i="1"/>
  <c r="K255" i="1" s="1"/>
  <c r="H256" i="1"/>
  <c r="I256" i="1" s="1"/>
  <c r="H257" i="1"/>
  <c r="H258" i="1"/>
  <c r="H259" i="1"/>
  <c r="K259" i="1" s="1"/>
  <c r="H261" i="1"/>
  <c r="I261" i="1" s="1"/>
  <c r="H262" i="1"/>
  <c r="H263" i="1"/>
  <c r="H264" i="1"/>
  <c r="I264" i="1" s="1"/>
  <c r="H265" i="1"/>
  <c r="H266" i="1"/>
  <c r="H267" i="1"/>
  <c r="H268" i="1"/>
  <c r="H269" i="1"/>
  <c r="H270" i="1"/>
  <c r="H272" i="1"/>
  <c r="H273" i="1"/>
  <c r="H274" i="1"/>
  <c r="H275" i="1"/>
  <c r="H277" i="1"/>
  <c r="I277" i="1" s="1"/>
  <c r="H278" i="1"/>
  <c r="H279" i="1"/>
  <c r="H280" i="1"/>
  <c r="H282" i="1"/>
  <c r="H284" i="1"/>
  <c r="H286" i="1"/>
  <c r="H287" i="1"/>
  <c r="H289" i="1"/>
  <c r="H290" i="1"/>
  <c r="H292" i="1"/>
  <c r="H293" i="1"/>
  <c r="H294" i="1"/>
  <c r="H295" i="1"/>
  <c r="H296" i="1"/>
  <c r="I296" i="1" s="1"/>
  <c r="H298" i="1"/>
  <c r="H299" i="1"/>
  <c r="H300" i="1"/>
  <c r="K300" i="1" s="1"/>
  <c r="H301" i="1"/>
  <c r="H302" i="1"/>
  <c r="H303" i="1"/>
  <c r="H304" i="1"/>
  <c r="H305" i="1"/>
  <c r="H306" i="1"/>
  <c r="H308" i="1"/>
  <c r="H309" i="1"/>
  <c r="H310" i="1"/>
  <c r="H312" i="1"/>
  <c r="H315" i="1"/>
  <c r="H316" i="1"/>
  <c r="H317" i="1"/>
  <c r="H318" i="1"/>
  <c r="H320" i="1"/>
  <c r="H322" i="1"/>
  <c r="H324" i="1"/>
  <c r="H325" i="1"/>
  <c r="H327" i="1"/>
  <c r="H328" i="1"/>
  <c r="H329" i="1"/>
  <c r="H330" i="1"/>
  <c r="H331" i="1"/>
  <c r="H332" i="1"/>
  <c r="I332" i="1" s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I348" i="1" s="1"/>
  <c r="H349" i="1"/>
  <c r="H350" i="1"/>
  <c r="H352" i="1"/>
  <c r="H354" i="1"/>
  <c r="H355" i="1"/>
  <c r="K355" i="1" s="1"/>
  <c r="H356" i="1"/>
  <c r="I356" i="1" s="1"/>
  <c r="H357" i="1"/>
  <c r="H358" i="1"/>
  <c r="H359" i="1"/>
  <c r="K359" i="1" s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I372" i="1" s="1"/>
  <c r="H373" i="1"/>
  <c r="H374" i="1"/>
  <c r="H375" i="1"/>
  <c r="H376" i="1"/>
  <c r="H377" i="1"/>
  <c r="H378" i="1"/>
  <c r="H379" i="1"/>
  <c r="H380" i="1"/>
  <c r="H382" i="1"/>
  <c r="H383" i="1"/>
  <c r="H384" i="1"/>
  <c r="H385" i="1"/>
  <c r="I385" i="1" s="1"/>
  <c r="H386" i="1"/>
  <c r="H387" i="1"/>
  <c r="H388" i="1"/>
  <c r="H390" i="1"/>
  <c r="H391" i="1"/>
  <c r="H392" i="1"/>
  <c r="K392" i="1" s="1"/>
  <c r="H393" i="1"/>
  <c r="I393" i="1" s="1"/>
  <c r="H395" i="1"/>
  <c r="H396" i="1"/>
  <c r="H397" i="1"/>
  <c r="H398" i="1"/>
  <c r="H399" i="1"/>
  <c r="H400" i="1"/>
  <c r="H401" i="1"/>
  <c r="I401" i="1" s="1"/>
  <c r="H402" i="1"/>
  <c r="H403" i="1"/>
  <c r="H404" i="1"/>
  <c r="H405" i="1"/>
  <c r="H407" i="1"/>
  <c r="H409" i="1"/>
  <c r="H410" i="1"/>
  <c r="H411" i="1"/>
  <c r="H412" i="1"/>
  <c r="H415" i="1"/>
  <c r="H416" i="1"/>
  <c r="H417" i="1"/>
  <c r="H418" i="1"/>
  <c r="H420" i="1"/>
  <c r="H421" i="1"/>
  <c r="I421" i="1" s="1"/>
  <c r="H423" i="1"/>
  <c r="H424" i="1"/>
  <c r="H426" i="1"/>
  <c r="H427" i="1"/>
  <c r="H429" i="1"/>
  <c r="H430" i="1"/>
  <c r="H431" i="1"/>
  <c r="H432" i="1"/>
  <c r="H433" i="1"/>
  <c r="H434" i="1"/>
  <c r="I434" i="1" s="1"/>
  <c r="H435" i="1"/>
  <c r="H436" i="1"/>
  <c r="H437" i="1"/>
  <c r="H438" i="1"/>
  <c r="H439" i="1"/>
  <c r="H440" i="1"/>
  <c r="H441" i="1"/>
  <c r="H442" i="1"/>
  <c r="I442" i="1" s="1"/>
  <c r="H443" i="1"/>
  <c r="H444" i="1"/>
  <c r="H445" i="1"/>
  <c r="H446" i="1"/>
  <c r="H447" i="1"/>
  <c r="H449" i="1"/>
  <c r="I449" i="1" s="1"/>
  <c r="H450" i="1"/>
  <c r="H451" i="1"/>
  <c r="H452" i="1"/>
  <c r="H453" i="1"/>
  <c r="H454" i="1"/>
  <c r="H455" i="1"/>
  <c r="H457" i="1"/>
  <c r="H458" i="1"/>
  <c r="H460" i="1"/>
  <c r="H463" i="1"/>
  <c r="H464" i="1"/>
  <c r="K464" i="1" s="1"/>
  <c r="H466" i="1"/>
  <c r="H467" i="1"/>
  <c r="H468" i="1"/>
  <c r="H702" i="1"/>
  <c r="H470" i="1"/>
  <c r="H471" i="1"/>
  <c r="H472" i="1"/>
  <c r="H473" i="1"/>
  <c r="H474" i="1"/>
  <c r="H475" i="1"/>
  <c r="H476" i="1"/>
  <c r="H477" i="1"/>
  <c r="I477" i="1" s="1"/>
  <c r="H478" i="1"/>
  <c r="H479" i="1"/>
  <c r="H480" i="1"/>
  <c r="H481" i="1"/>
  <c r="H482" i="1"/>
  <c r="H483" i="1"/>
  <c r="H484" i="1"/>
  <c r="H485" i="1"/>
  <c r="I485" i="1" s="1"/>
  <c r="H486" i="1"/>
  <c r="H487" i="1"/>
  <c r="H488" i="1"/>
  <c r="H489" i="1"/>
  <c r="H490" i="1"/>
  <c r="H491" i="1"/>
  <c r="H492" i="1"/>
  <c r="H493" i="1"/>
  <c r="I493" i="1" s="1"/>
  <c r="H494" i="1"/>
  <c r="H758" i="1"/>
  <c r="H871" i="1"/>
  <c r="H759" i="1"/>
  <c r="H908" i="1"/>
  <c r="H497" i="1"/>
  <c r="H498" i="1"/>
  <c r="H499" i="1"/>
  <c r="I499" i="1" s="1"/>
  <c r="H500" i="1"/>
  <c r="H501" i="1"/>
  <c r="H502" i="1"/>
  <c r="H503" i="1"/>
  <c r="H504" i="1"/>
  <c r="H506" i="1"/>
  <c r="H507" i="1"/>
  <c r="H508" i="1"/>
  <c r="H510" i="1"/>
  <c r="H511" i="1"/>
  <c r="I511" i="1" s="1"/>
  <c r="H513" i="1"/>
  <c r="H515" i="1"/>
  <c r="H516" i="1"/>
  <c r="I516" i="1" s="1"/>
  <c r="H517" i="1"/>
  <c r="H518" i="1"/>
  <c r="K518" i="1" s="1"/>
  <c r="H519" i="1"/>
  <c r="H520" i="1"/>
  <c r="H521" i="1"/>
  <c r="H522" i="1"/>
  <c r="H523" i="1"/>
  <c r="H524" i="1"/>
  <c r="I524" i="1" s="1"/>
  <c r="H525" i="1"/>
  <c r="H526" i="1"/>
  <c r="H527" i="1"/>
  <c r="H528" i="1"/>
  <c r="H530" i="1"/>
  <c r="H531" i="1"/>
  <c r="I531" i="1" s="1"/>
  <c r="H532" i="1"/>
  <c r="H533" i="1"/>
  <c r="H534" i="1"/>
  <c r="H535" i="1"/>
  <c r="H536" i="1"/>
  <c r="H538" i="1"/>
  <c r="H539" i="1"/>
  <c r="H541" i="1"/>
  <c r="H542" i="1"/>
  <c r="H544" i="1"/>
  <c r="I544" i="1" s="1"/>
  <c r="H545" i="1"/>
  <c r="H546" i="1"/>
  <c r="H547" i="1"/>
  <c r="H548" i="1"/>
  <c r="H549" i="1"/>
  <c r="H550" i="1"/>
  <c r="H551" i="1"/>
  <c r="H552" i="1"/>
  <c r="I552" i="1" s="1"/>
  <c r="H553" i="1"/>
  <c r="H554" i="1"/>
  <c r="H555" i="1"/>
  <c r="H556" i="1"/>
  <c r="H557" i="1"/>
  <c r="H558" i="1"/>
  <c r="H559" i="1"/>
  <c r="H560" i="1"/>
  <c r="I560" i="1" s="1"/>
  <c r="H561" i="1"/>
  <c r="H562" i="1"/>
  <c r="H563" i="1"/>
  <c r="H564" i="1"/>
  <c r="H565" i="1"/>
  <c r="H566" i="1"/>
  <c r="H567" i="1"/>
  <c r="H568" i="1"/>
  <c r="I568" i="1" s="1"/>
  <c r="H570" i="1"/>
  <c r="H572" i="1"/>
  <c r="H573" i="1"/>
  <c r="H574" i="1"/>
  <c r="H806" i="1"/>
  <c r="I806" i="1" s="1"/>
  <c r="H575" i="1"/>
  <c r="H807" i="1"/>
  <c r="H577" i="1"/>
  <c r="H578" i="1"/>
  <c r="H909" i="1"/>
  <c r="H580" i="1"/>
  <c r="H581" i="1"/>
  <c r="H584" i="1"/>
  <c r="I584" i="1" s="1"/>
  <c r="H585" i="1"/>
  <c r="H586" i="1"/>
  <c r="H587" i="1"/>
  <c r="H588" i="1"/>
  <c r="H589" i="1"/>
  <c r="I589" i="1" s="1"/>
  <c r="H590" i="1"/>
  <c r="H591" i="1"/>
  <c r="H592" i="1"/>
  <c r="H593" i="1"/>
  <c r="H594" i="1"/>
  <c r="I594" i="1" s="1"/>
  <c r="H913" i="1"/>
  <c r="H599" i="1"/>
  <c r="H601" i="1"/>
  <c r="I601" i="1" s="1"/>
  <c r="H602" i="1"/>
  <c r="H603" i="1"/>
  <c r="H826" i="1"/>
  <c r="H606" i="1"/>
  <c r="I606" i="1" s="1"/>
  <c r="H607" i="1"/>
  <c r="H608" i="1"/>
  <c r="H609" i="1"/>
  <c r="H610" i="1"/>
  <c r="H611" i="1"/>
  <c r="I611" i="1" s="1"/>
  <c r="H612" i="1"/>
  <c r="H613" i="1"/>
  <c r="H614" i="1"/>
  <c r="H615" i="1"/>
  <c r="H616" i="1"/>
  <c r="I616" i="1" s="1"/>
  <c r="H617" i="1"/>
  <c r="H618" i="1"/>
  <c r="H619" i="1"/>
  <c r="H620" i="1"/>
  <c r="H621" i="1"/>
  <c r="H622" i="1"/>
  <c r="I622" i="1" s="1"/>
  <c r="H623" i="1"/>
  <c r="H625" i="1"/>
  <c r="H626" i="1"/>
  <c r="H627" i="1"/>
  <c r="I627" i="1" s="1"/>
  <c r="H628" i="1"/>
  <c r="H629" i="1"/>
  <c r="H630" i="1"/>
  <c r="H632" i="1"/>
  <c r="I632" i="1" s="1"/>
  <c r="H633" i="1"/>
  <c r="H634" i="1"/>
  <c r="H636" i="1"/>
  <c r="H637" i="1"/>
  <c r="H638" i="1"/>
  <c r="I638" i="1" s="1"/>
  <c r="H640" i="1"/>
  <c r="H641" i="1"/>
  <c r="H643" i="1"/>
  <c r="I643" i="1" s="1"/>
  <c r="H644" i="1"/>
  <c r="H645" i="1"/>
  <c r="H646" i="1"/>
  <c r="H648" i="1"/>
  <c r="I648" i="1" s="1"/>
  <c r="H649" i="1"/>
  <c r="H650" i="1"/>
  <c r="H651" i="1"/>
  <c r="K651" i="1" s="1"/>
  <c r="H652" i="1"/>
  <c r="H653" i="1"/>
  <c r="H654" i="1"/>
  <c r="I654" i="1" s="1"/>
  <c r="H655" i="1"/>
  <c r="H656" i="1"/>
  <c r="H657" i="1"/>
  <c r="H658" i="1"/>
  <c r="H659" i="1"/>
  <c r="I659" i="1" s="1"/>
  <c r="H660" i="1"/>
  <c r="H661" i="1"/>
  <c r="H662" i="1"/>
  <c r="H663" i="1"/>
  <c r="H664" i="1"/>
  <c r="I664" i="1" s="1"/>
  <c r="H665" i="1"/>
  <c r="H666" i="1"/>
  <c r="H667" i="1"/>
  <c r="H668" i="1"/>
  <c r="H669" i="1"/>
  <c r="H670" i="1"/>
  <c r="I670" i="1" s="1"/>
  <c r="H671" i="1"/>
  <c r="H672" i="1"/>
  <c r="H673" i="1"/>
  <c r="K673" i="1" s="1"/>
  <c r="H674" i="1"/>
  <c r="H675" i="1"/>
  <c r="H676" i="1"/>
  <c r="H677" i="1"/>
  <c r="H678" i="1"/>
  <c r="K678" i="1" s="1"/>
  <c r="H680" i="1"/>
  <c r="I680" i="1" s="1"/>
  <c r="H681" i="1"/>
  <c r="H682" i="1"/>
  <c r="H683" i="1"/>
  <c r="H684" i="1"/>
  <c r="H685" i="1"/>
  <c r="H686" i="1"/>
  <c r="I686" i="1" s="1"/>
  <c r="H687" i="1"/>
  <c r="H690" i="1"/>
  <c r="I690" i="1" s="1"/>
  <c r="H691" i="1"/>
  <c r="H692" i="1"/>
  <c r="H693" i="1"/>
  <c r="H695" i="1"/>
  <c r="I695" i="1" s="1"/>
  <c r="H696" i="1"/>
  <c r="H697" i="1"/>
  <c r="H698" i="1"/>
  <c r="H699" i="1"/>
  <c r="H911" i="1"/>
  <c r="I911" i="1" s="1"/>
  <c r="H701" i="1"/>
  <c r="H703" i="1"/>
  <c r="H704" i="1"/>
  <c r="H705" i="1"/>
  <c r="H706" i="1"/>
  <c r="I706" i="1" s="1"/>
  <c r="H707" i="1"/>
  <c r="H708" i="1"/>
  <c r="H709" i="1"/>
  <c r="H710" i="1"/>
  <c r="H711" i="1"/>
  <c r="I711" i="1" s="1"/>
  <c r="H712" i="1"/>
  <c r="H713" i="1"/>
  <c r="H714" i="1"/>
  <c r="H716" i="1"/>
  <c r="I716" i="1" s="1"/>
  <c r="H717" i="1"/>
  <c r="H718" i="1"/>
  <c r="H719" i="1"/>
  <c r="H720" i="1"/>
  <c r="H721" i="1"/>
  <c r="H722" i="1"/>
  <c r="I722" i="1" s="1"/>
  <c r="H723" i="1"/>
  <c r="H725" i="1"/>
  <c r="H726" i="1"/>
  <c r="H727" i="1"/>
  <c r="I727" i="1" s="1"/>
  <c r="H730" i="1"/>
  <c r="H733" i="1"/>
  <c r="H734" i="1"/>
  <c r="H736" i="1"/>
  <c r="I736" i="1" s="1"/>
  <c r="H737" i="1"/>
  <c r="H605" i="1"/>
  <c r="K605" i="1" s="1"/>
  <c r="H738" i="1"/>
  <c r="H739" i="1"/>
  <c r="H740" i="1"/>
  <c r="H743" i="1"/>
  <c r="K743" i="1" s="1"/>
  <c r="H744" i="1"/>
  <c r="H745" i="1"/>
  <c r="H746" i="1"/>
  <c r="I746" i="1" s="1"/>
  <c r="H747" i="1"/>
  <c r="H748" i="1"/>
  <c r="H749" i="1"/>
  <c r="H750" i="1"/>
  <c r="H751" i="1"/>
  <c r="I751" i="1" s="1"/>
  <c r="H752" i="1"/>
  <c r="H754" i="1"/>
  <c r="H756" i="1"/>
  <c r="H757" i="1"/>
  <c r="I757" i="1" s="1"/>
  <c r="H912" i="1"/>
  <c r="H761" i="1"/>
  <c r="I761" i="1" s="1"/>
  <c r="H762" i="1"/>
  <c r="H763" i="1"/>
  <c r="H765" i="1"/>
  <c r="I765" i="1" s="1"/>
  <c r="H766" i="1"/>
  <c r="H767" i="1"/>
  <c r="H768" i="1"/>
  <c r="K768" i="1" s="1"/>
  <c r="H769" i="1"/>
  <c r="H770" i="1"/>
  <c r="I770" i="1" s="1"/>
  <c r="H772" i="1"/>
  <c r="H774" i="1"/>
  <c r="H777" i="1"/>
  <c r="H778" i="1"/>
  <c r="H779" i="1"/>
  <c r="H780" i="1"/>
  <c r="H781" i="1"/>
  <c r="H782" i="1"/>
  <c r="H783" i="1"/>
  <c r="H784" i="1"/>
  <c r="H786" i="1"/>
  <c r="H788" i="1"/>
  <c r="H789" i="1"/>
  <c r="H790" i="1"/>
  <c r="I790" i="1" s="1"/>
  <c r="H791" i="1"/>
  <c r="H792" i="1"/>
  <c r="H793" i="1"/>
  <c r="H794" i="1"/>
  <c r="H795" i="1"/>
  <c r="I795" i="1" s="1"/>
  <c r="H796" i="1"/>
  <c r="H797" i="1"/>
  <c r="H798" i="1"/>
  <c r="H799" i="1"/>
  <c r="H800" i="1"/>
  <c r="H801" i="1"/>
  <c r="I801" i="1" s="1"/>
  <c r="H802" i="1"/>
  <c r="H803" i="1"/>
  <c r="H838" i="1"/>
  <c r="H808" i="1"/>
  <c r="H809" i="1"/>
  <c r="H811" i="1"/>
  <c r="H812" i="1"/>
  <c r="H813" i="1"/>
  <c r="H814" i="1"/>
  <c r="H815" i="1"/>
  <c r="I815" i="1" s="1"/>
  <c r="H816" i="1"/>
  <c r="H818" i="1"/>
  <c r="H820" i="1"/>
  <c r="H821" i="1"/>
  <c r="I821" i="1" s="1"/>
  <c r="H822" i="1"/>
  <c r="H823" i="1"/>
  <c r="H824" i="1"/>
  <c r="H825" i="1"/>
  <c r="H827" i="1"/>
  <c r="H89" i="1"/>
  <c r="I89" i="1" s="1"/>
  <c r="H830" i="1"/>
  <c r="H114" i="1"/>
  <c r="H832" i="1"/>
  <c r="H833" i="1"/>
  <c r="H834" i="1"/>
  <c r="I834" i="1" s="1"/>
  <c r="H785" i="1"/>
  <c r="H835" i="1"/>
  <c r="H836" i="1"/>
  <c r="H804" i="1"/>
  <c r="H839" i="1"/>
  <c r="I839" i="1" s="1"/>
  <c r="H840" i="1"/>
  <c r="H841" i="1"/>
  <c r="H842" i="1"/>
  <c r="H831" i="1"/>
  <c r="H843" i="1"/>
  <c r="I843" i="1" s="1"/>
  <c r="H844" i="1"/>
  <c r="H845" i="1"/>
  <c r="H846" i="1"/>
  <c r="H847" i="1"/>
  <c r="H848" i="1"/>
  <c r="I848" i="1" s="1"/>
  <c r="H849" i="1"/>
  <c r="H850" i="1"/>
  <c r="H851" i="1"/>
  <c r="H852" i="1"/>
  <c r="H854" i="1"/>
  <c r="H855" i="1"/>
  <c r="H858" i="1"/>
  <c r="H859" i="1"/>
  <c r="H860" i="1"/>
  <c r="H861" i="1"/>
  <c r="H862" i="1"/>
  <c r="I862" i="1" s="1"/>
  <c r="H863" i="1"/>
  <c r="H864" i="1"/>
  <c r="H865" i="1"/>
  <c r="H866" i="1"/>
  <c r="H867" i="1"/>
  <c r="I867" i="1" s="1"/>
  <c r="H869" i="1"/>
  <c r="H870" i="1"/>
  <c r="H872" i="1"/>
  <c r="I872" i="1" s="1"/>
  <c r="H873" i="1"/>
  <c r="H874" i="1"/>
  <c r="H875" i="1"/>
  <c r="H876" i="1"/>
  <c r="H877" i="1"/>
  <c r="H878" i="1"/>
  <c r="I878" i="1" s="1"/>
  <c r="H880" i="1"/>
  <c r="H881" i="1"/>
  <c r="H882" i="1"/>
  <c r="H884" i="1"/>
  <c r="H885" i="1"/>
  <c r="H886" i="1"/>
  <c r="H887" i="1"/>
  <c r="H888" i="1"/>
  <c r="I888" i="1" s="1"/>
  <c r="H889" i="1"/>
  <c r="H890" i="1"/>
  <c r="H891" i="1"/>
  <c r="H892" i="1"/>
  <c r="H893" i="1"/>
  <c r="H894" i="1"/>
  <c r="I894" i="1" s="1"/>
  <c r="H895" i="1"/>
  <c r="H896" i="1"/>
  <c r="H897" i="1"/>
  <c r="H898" i="1"/>
  <c r="H899" i="1"/>
  <c r="I899" i="1" s="1"/>
  <c r="H900" i="1"/>
  <c r="H901" i="1"/>
  <c r="H902" i="1"/>
  <c r="H903" i="1"/>
  <c r="H904" i="1"/>
  <c r="I904" i="1" s="1"/>
  <c r="H905" i="1"/>
  <c r="H906" i="1"/>
  <c r="H907" i="1"/>
  <c r="H700" i="1"/>
  <c r="H787" i="1"/>
  <c r="I787" i="1" s="1"/>
  <c r="H94" i="1"/>
  <c r="H21" i="1"/>
  <c r="H805" i="1"/>
  <c r="H2" i="1"/>
  <c r="I2" i="1" s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71" i="1"/>
  <c r="C827" i="1"/>
  <c r="C828" i="1"/>
  <c r="C829" i="1"/>
  <c r="C89" i="1"/>
  <c r="C830" i="1"/>
  <c r="C114" i="1"/>
  <c r="C832" i="1"/>
  <c r="C833" i="1"/>
  <c r="C834" i="1"/>
  <c r="C785" i="1"/>
  <c r="C835" i="1"/>
  <c r="C836" i="1"/>
  <c r="C837" i="1"/>
  <c r="C804" i="1"/>
  <c r="C839" i="1"/>
  <c r="C840" i="1"/>
  <c r="C841" i="1"/>
  <c r="C842" i="1"/>
  <c r="C831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495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700" i="1"/>
  <c r="C787" i="1"/>
  <c r="C94" i="1"/>
  <c r="C21" i="1"/>
  <c r="C805" i="1"/>
  <c r="C270" i="1"/>
  <c r="C389" i="1"/>
  <c r="C744" i="1"/>
  <c r="C176" i="1"/>
  <c r="C597" i="1"/>
  <c r="C513" i="1"/>
  <c r="C161" i="1"/>
  <c r="C752" i="1"/>
  <c r="C598" i="1"/>
  <c r="C254" i="1"/>
  <c r="C419" i="1"/>
  <c r="C797" i="1"/>
  <c r="C425" i="1"/>
  <c r="C310" i="1"/>
  <c r="C269" i="1"/>
  <c r="C229" i="1"/>
  <c r="C455" i="1"/>
  <c r="C462" i="1"/>
  <c r="C452" i="1"/>
  <c r="C745" i="1"/>
  <c r="C85" i="1"/>
  <c r="C345" i="1"/>
  <c r="C386" i="1"/>
  <c r="C778" i="1"/>
  <c r="C346" i="1"/>
  <c r="C720" i="1"/>
  <c r="C50" i="1"/>
  <c r="C638" i="1"/>
  <c r="C385" i="1"/>
  <c r="C471" i="1"/>
  <c r="C180" i="1"/>
  <c r="C362" i="1"/>
  <c r="C696" i="1"/>
  <c r="C210" i="1"/>
  <c r="C378" i="1"/>
  <c r="C343" i="1"/>
  <c r="C398" i="1"/>
  <c r="C795" i="1"/>
  <c r="C271" i="1"/>
  <c r="C15" i="1"/>
  <c r="C246" i="1"/>
  <c r="C280" i="1"/>
  <c r="C468" i="1"/>
  <c r="C125" i="1"/>
  <c r="C803" i="1"/>
  <c r="C143" i="1"/>
  <c r="C363" i="1"/>
  <c r="C553" i="1"/>
  <c r="C615" i="1"/>
  <c r="C660" i="1"/>
  <c r="C437" i="1"/>
  <c r="C48" i="1"/>
  <c r="C301" i="1"/>
  <c r="C251" i="1"/>
  <c r="C139" i="1"/>
  <c r="C367" i="1"/>
  <c r="C27" i="1"/>
  <c r="C422" i="1"/>
  <c r="C142" i="1"/>
  <c r="C478" i="1"/>
  <c r="C347" i="1"/>
  <c r="C130" i="1"/>
  <c r="C730" i="1"/>
  <c r="C56" i="1"/>
  <c r="C552" i="1"/>
  <c r="C731" i="1"/>
  <c r="C368" i="1"/>
  <c r="C708" i="1"/>
  <c r="C774" i="1"/>
  <c r="C273" i="1"/>
  <c r="C542" i="1"/>
  <c r="C267" i="1"/>
  <c r="C364" i="1"/>
  <c r="C330" i="1"/>
  <c r="C261" i="1"/>
  <c r="C230" i="1"/>
  <c r="C265" i="1"/>
  <c r="C305" i="1"/>
  <c r="C523" i="1"/>
  <c r="C459" i="1"/>
  <c r="C231" i="1"/>
  <c r="C201" i="1"/>
  <c r="C751" i="1"/>
  <c r="C193" i="1"/>
  <c r="C711" i="1"/>
  <c r="C28" i="1"/>
  <c r="C445" i="1"/>
  <c r="C763" i="1"/>
  <c r="C671" i="1"/>
  <c r="C483" i="1"/>
  <c r="C472" i="1"/>
  <c r="C67" i="1"/>
  <c r="C365" i="1"/>
  <c r="C283" i="1"/>
  <c r="C735" i="1"/>
  <c r="C10" i="1"/>
  <c r="C60" i="1"/>
  <c r="C324" i="1"/>
  <c r="C426" i="1"/>
  <c r="C502" i="1"/>
  <c r="C62" i="1"/>
  <c r="C339" i="1"/>
  <c r="C203" i="1"/>
  <c r="C274" i="1"/>
  <c r="C253" i="1"/>
  <c r="C680" i="1"/>
  <c r="C772" i="1"/>
  <c r="C412" i="1"/>
  <c r="C247" i="1"/>
  <c r="C31" i="1"/>
  <c r="C369" i="1"/>
  <c r="C26" i="1"/>
  <c r="C738" i="1"/>
  <c r="C493" i="1"/>
  <c r="C748" i="1"/>
  <c r="C17" i="1"/>
  <c r="C479" i="1"/>
  <c r="C185" i="1"/>
  <c r="C55" i="1"/>
  <c r="C199" i="1"/>
  <c r="C571" i="1"/>
  <c r="C698" i="1"/>
  <c r="C423" i="1"/>
  <c r="C494" i="1"/>
  <c r="C35" i="1"/>
  <c r="C86" i="1"/>
  <c r="C226" i="1"/>
  <c r="C206" i="1"/>
  <c r="C770" i="1"/>
  <c r="C61" i="1"/>
  <c r="C550" i="1"/>
  <c r="C312" i="1"/>
  <c r="C470" i="1"/>
  <c r="C791" i="1"/>
  <c r="C692" i="1"/>
  <c r="C91" i="1"/>
  <c r="C760" i="1"/>
  <c r="C506" i="1"/>
  <c r="C728" i="1"/>
  <c r="C764" i="1"/>
  <c r="C753" i="1"/>
  <c r="C514" i="1"/>
  <c r="C703" i="1"/>
  <c r="C150" i="1"/>
  <c r="C777" i="1"/>
  <c r="C32" i="1"/>
  <c r="C543" i="1"/>
  <c r="C187" i="1"/>
  <c r="C329" i="1"/>
  <c r="C96" i="1"/>
  <c r="C294" i="1"/>
  <c r="C761" i="1"/>
  <c r="C354" i="1"/>
  <c r="C645" i="1"/>
  <c r="C118" i="1"/>
  <c r="C162" i="1"/>
  <c r="C248" i="1"/>
  <c r="C589" i="1"/>
  <c r="C601" i="1"/>
  <c r="C591" i="1"/>
  <c r="C582" i="1"/>
  <c r="C357" i="1"/>
  <c r="C408" i="1"/>
  <c r="C220" i="1"/>
  <c r="C465" i="1"/>
  <c r="C688" i="1"/>
  <c r="C20" i="1"/>
  <c r="C554" i="1"/>
  <c r="C194" i="1"/>
  <c r="C399" i="1"/>
  <c r="C652" i="1"/>
  <c r="C695" i="1"/>
  <c r="C551" i="1"/>
  <c r="C113" i="1"/>
  <c r="C684" i="1"/>
  <c r="C583" i="1"/>
  <c r="C239" i="1"/>
  <c r="C166" i="1"/>
  <c r="C99" i="1"/>
  <c r="C82" i="1"/>
  <c r="C786" i="1"/>
  <c r="C555" i="1"/>
  <c r="C516" i="1"/>
  <c r="C212" i="1"/>
  <c r="C92" i="1"/>
  <c r="C446" i="1"/>
  <c r="C505" i="1"/>
  <c r="C758" i="1"/>
  <c r="C302" i="1"/>
  <c r="C567" i="1"/>
  <c r="C237" i="1"/>
  <c r="C144" i="1"/>
  <c r="C655" i="1"/>
  <c r="C178" i="1"/>
  <c r="C151" i="1"/>
  <c r="C618" i="1"/>
  <c r="C351" i="1"/>
  <c r="C51" i="1"/>
  <c r="C57" i="1"/>
  <c r="C295" i="1"/>
  <c r="C394" i="1"/>
  <c r="C323" i="1"/>
  <c r="C418" i="1"/>
  <c r="C628" i="1"/>
  <c r="C490" i="1"/>
  <c r="C697" i="1"/>
  <c r="C154" i="1"/>
  <c r="C44" i="1"/>
  <c r="C440" i="1"/>
  <c r="C561" i="1"/>
  <c r="C648" i="1"/>
  <c r="C314" i="1"/>
  <c r="C432" i="1"/>
  <c r="C481" i="1"/>
  <c r="C370" i="1"/>
  <c r="C712" i="1"/>
  <c r="C430" i="1"/>
  <c r="C771" i="1"/>
  <c r="C607" i="1"/>
  <c r="C704" i="1"/>
  <c r="C168" i="1"/>
  <c r="C381" i="1"/>
  <c r="C590" i="1"/>
  <c r="C612" i="1"/>
  <c r="C784" i="1"/>
  <c r="C395" i="1"/>
  <c r="C420" i="1"/>
  <c r="C126" i="1"/>
  <c r="C63" i="1"/>
  <c r="C95" i="1"/>
  <c r="C619" i="1"/>
  <c r="C530" i="1"/>
  <c r="C303" i="1"/>
  <c r="C694" i="1"/>
  <c r="C331" i="1"/>
  <c r="C281" i="1"/>
  <c r="C723" i="1"/>
  <c r="C80" i="1"/>
  <c r="C158" i="1"/>
  <c r="C224" i="1"/>
  <c r="C639" i="1"/>
  <c r="C733" i="1"/>
  <c r="C155" i="1"/>
  <c r="C520" i="1"/>
  <c r="C234" i="1"/>
  <c r="C679" i="1"/>
  <c r="C649" i="1"/>
  <c r="C604" i="1"/>
  <c r="C366" i="1"/>
  <c r="C460" i="1"/>
  <c r="C373" i="1"/>
  <c r="C138" i="1"/>
  <c r="C613" i="1"/>
  <c r="C620" i="1"/>
  <c r="C221" i="1"/>
  <c r="C189" i="1"/>
  <c r="C148" i="1"/>
  <c r="C507" i="1"/>
  <c r="C672" i="1"/>
  <c r="C637" i="1"/>
  <c r="C236" i="1"/>
  <c r="C146" i="1"/>
  <c r="C616" i="1"/>
  <c r="C233" i="1"/>
  <c r="C65" i="1"/>
  <c r="C746" i="1"/>
  <c r="C145" i="1"/>
  <c r="C288" i="1"/>
  <c r="C134" i="1"/>
  <c r="C379" i="1"/>
  <c r="C77" i="1"/>
  <c r="C699" i="1"/>
  <c r="C689" i="1"/>
  <c r="C257" i="1"/>
  <c r="C614" i="1"/>
  <c r="C594" i="1"/>
  <c r="C401" i="1"/>
  <c r="C609" i="1"/>
  <c r="C641" i="1"/>
  <c r="C315" i="1"/>
  <c r="C100" i="1"/>
  <c r="C282" i="1"/>
  <c r="C407" i="1"/>
  <c r="C508" i="1"/>
  <c r="C18" i="1"/>
  <c r="C756" i="1"/>
  <c r="C693" i="1"/>
  <c r="C535" i="1"/>
  <c r="C93" i="1"/>
  <c r="C317" i="1"/>
  <c r="C690" i="1"/>
  <c r="C396" i="1"/>
  <c r="C45" i="1"/>
  <c r="C775" i="1"/>
  <c r="C9" i="1"/>
  <c r="C603" i="1"/>
  <c r="C724" i="1"/>
  <c r="C510" i="1"/>
  <c r="C427" i="1"/>
  <c r="C163" i="1"/>
  <c r="C653" i="1"/>
  <c r="C456" i="1"/>
  <c r="C757" i="1"/>
  <c r="C289" i="1"/>
  <c r="C211" i="1"/>
  <c r="C556" i="1"/>
  <c r="C290" i="1"/>
  <c r="C664" i="1"/>
  <c r="C207" i="1"/>
  <c r="C450" i="1"/>
  <c r="C97" i="1"/>
  <c r="C663" i="1"/>
  <c r="C461" i="1"/>
  <c r="C22" i="1"/>
  <c r="C725" i="1"/>
  <c r="C806" i="1"/>
  <c r="C519" i="1"/>
  <c r="C431" i="1"/>
  <c r="C429" i="1"/>
  <c r="C826" i="1"/>
  <c r="C602" i="1"/>
  <c r="C127" i="1"/>
  <c r="C766" i="1"/>
  <c r="C524" i="1"/>
  <c r="C656" i="1"/>
  <c r="C98" i="1"/>
  <c r="C646" i="1"/>
  <c r="C808" i="1"/>
  <c r="C715" i="1"/>
  <c r="C165" i="1"/>
  <c r="C123" i="1"/>
  <c r="C374" i="1"/>
  <c r="C501" i="1"/>
  <c r="C291" i="1"/>
  <c r="C121" i="1"/>
  <c r="C196" i="1"/>
  <c r="C577" i="1"/>
  <c r="C632" i="1"/>
  <c r="C249" i="1"/>
  <c r="C625" i="1"/>
  <c r="C533" i="1"/>
  <c r="C103" i="1"/>
  <c r="C33" i="1"/>
  <c r="C515" i="1"/>
  <c r="C164" i="1"/>
  <c r="C441" i="1"/>
  <c r="C498" i="1"/>
  <c r="C135" i="1"/>
  <c r="C736" i="1"/>
  <c r="C23" i="1"/>
  <c r="C721" i="1"/>
  <c r="C297" i="1"/>
  <c r="C442" i="1"/>
  <c r="C313" i="1"/>
  <c r="C773" i="1"/>
  <c r="C544" i="1"/>
  <c r="C534" i="1"/>
  <c r="C413" i="1"/>
  <c r="C326" i="1"/>
  <c r="C227" i="1"/>
  <c r="C584" i="1"/>
  <c r="C541" i="1"/>
  <c r="C521" i="1"/>
  <c r="C299" i="1"/>
  <c r="C52" i="1"/>
  <c r="C801" i="1"/>
  <c r="C573" i="1"/>
  <c r="C209" i="1"/>
  <c r="C64" i="1"/>
  <c r="C592" i="1"/>
  <c r="C659" i="1"/>
  <c r="C39" i="1"/>
  <c r="C335" i="1"/>
  <c r="C447" i="1"/>
  <c r="C122" i="1"/>
  <c r="C719" i="1"/>
  <c r="C306" i="1"/>
  <c r="C765" i="1"/>
  <c r="C716" i="1"/>
  <c r="C197" i="1"/>
  <c r="C811" i="1"/>
  <c r="C108" i="1"/>
  <c r="C159" i="1"/>
  <c r="C527" i="1"/>
  <c r="C547" i="1"/>
  <c r="C245" i="1"/>
  <c r="C69" i="1"/>
  <c r="C124" i="1"/>
  <c r="C53" i="1"/>
  <c r="C780" i="1"/>
  <c r="C491" i="1"/>
  <c r="C537" i="1"/>
  <c r="C34" i="1"/>
  <c r="C3" i="1"/>
  <c r="C287" i="1"/>
  <c r="C444" i="1"/>
  <c r="C16" i="1"/>
  <c r="C260" i="1"/>
  <c r="C58" i="1"/>
  <c r="C84" i="1"/>
  <c r="C380" i="1"/>
  <c r="C190" i="1"/>
  <c r="C434" i="1"/>
  <c r="C238" i="1"/>
  <c r="C308" i="1"/>
  <c r="C75" i="1"/>
  <c r="C438" i="1"/>
  <c r="C624" i="1"/>
  <c r="C424" i="1"/>
  <c r="C428" i="1"/>
  <c r="C458" i="1"/>
  <c r="C642" i="1"/>
  <c r="C635" i="1"/>
  <c r="C352" i="1"/>
  <c r="C49" i="1"/>
  <c r="C319" i="1"/>
  <c r="C587" i="1"/>
  <c r="C657" i="1"/>
  <c r="C499" i="1"/>
  <c r="C382" i="1"/>
  <c r="C307" i="1"/>
  <c r="C662" i="1"/>
  <c r="C298" i="1"/>
  <c r="C754" i="1"/>
  <c r="C421" i="1"/>
  <c r="C276" i="1"/>
  <c r="C469" i="1"/>
  <c r="C327" i="1"/>
  <c r="C497" i="1"/>
  <c r="C375" i="1"/>
  <c r="C415" i="1"/>
  <c r="C578" i="1"/>
  <c r="C115" i="1"/>
  <c r="C595" i="1"/>
  <c r="C480" i="1"/>
  <c r="C654" i="1"/>
  <c r="C383" i="1"/>
  <c r="C802" i="1"/>
  <c r="C606" i="1"/>
  <c r="C588" i="1"/>
  <c r="C661" i="1"/>
  <c r="C243" i="1"/>
  <c r="C548" i="1"/>
  <c r="C119" i="1"/>
  <c r="C393" i="1"/>
  <c r="C681" i="1"/>
  <c r="C782" i="1"/>
  <c r="C340" i="1"/>
  <c r="C46" i="1"/>
  <c r="C263" i="1"/>
  <c r="C788" i="1"/>
  <c r="C293" i="1"/>
  <c r="C172" i="1"/>
  <c r="C568" i="1"/>
  <c r="C24" i="1"/>
  <c r="C325" i="1"/>
  <c r="C565" i="1"/>
  <c r="C78" i="1"/>
  <c r="C665" i="1"/>
  <c r="C242" i="1"/>
  <c r="C466" i="1"/>
  <c r="C722" i="1"/>
  <c r="C169" i="1"/>
  <c r="C181" i="1"/>
  <c r="C838" i="1"/>
  <c r="C266" i="1"/>
  <c r="C79" i="1"/>
  <c r="C463" i="1"/>
  <c r="C349" i="1"/>
  <c r="C482" i="1"/>
  <c r="C222" i="1"/>
  <c r="C157" i="1"/>
  <c r="C750" i="1"/>
  <c r="C781" i="1"/>
  <c r="C13" i="1"/>
  <c r="C674" i="1"/>
  <c r="C160" i="1"/>
  <c r="C195" i="1"/>
  <c r="C348" i="1"/>
  <c r="C709" i="1"/>
  <c r="C277" i="1"/>
  <c r="C47" i="1"/>
  <c r="C19" i="1"/>
  <c r="C713" i="1"/>
  <c r="C729" i="1"/>
  <c r="C871" i="1"/>
  <c r="C36" i="1"/>
  <c r="C70" i="1"/>
  <c r="C538" i="1"/>
  <c r="C66" i="1"/>
  <c r="C72" i="1"/>
  <c r="C213" i="1"/>
  <c r="C529" i="1"/>
  <c r="C714" i="1"/>
  <c r="C353" i="1"/>
  <c r="C81" i="1"/>
  <c r="C129" i="1"/>
  <c r="C643" i="1"/>
  <c r="C574" i="1"/>
  <c r="C691" i="1"/>
  <c r="C539" i="1"/>
  <c r="C403" i="1"/>
  <c r="C182" i="1"/>
  <c r="C73" i="1"/>
  <c r="C87" i="1"/>
  <c r="C322" i="1"/>
  <c r="C800" i="1"/>
  <c r="C132" i="1"/>
  <c r="C666" i="1"/>
  <c r="C286" i="1"/>
  <c r="C528" i="1"/>
  <c r="C29" i="1"/>
  <c r="C360" i="1"/>
  <c r="C522" i="1"/>
  <c r="C484" i="1"/>
  <c r="C669" i="1"/>
  <c r="C512" i="1"/>
  <c r="C503" i="1"/>
  <c r="C214" i="1"/>
  <c r="C443" i="1"/>
  <c r="C173" i="1"/>
  <c r="C667" i="1"/>
  <c r="C562" i="1"/>
  <c r="C337" i="1"/>
  <c r="C59" i="1"/>
  <c r="C336" i="1"/>
  <c r="C284" i="1"/>
  <c r="C256" i="1"/>
  <c r="C285" i="1"/>
  <c r="C390" i="1"/>
  <c r="C467" i="1"/>
  <c r="C272" i="1"/>
  <c r="C621" i="1"/>
  <c r="C789" i="1"/>
  <c r="C794" i="1"/>
  <c r="C131" i="1"/>
  <c r="C133" i="1"/>
  <c r="C909" i="1"/>
  <c r="C799" i="1"/>
  <c r="C174" i="1"/>
  <c r="C332" i="1"/>
  <c r="C177" i="1"/>
  <c r="C30" i="1"/>
  <c r="C449" i="1"/>
  <c r="C566" i="1"/>
  <c r="C41" i="1"/>
  <c r="C569" i="1"/>
  <c r="C5" i="1"/>
  <c r="C433" i="1"/>
  <c r="C141" i="1"/>
  <c r="C718" i="1"/>
  <c r="C705" i="1"/>
  <c r="C559" i="1"/>
  <c r="C812" i="1"/>
  <c r="C156" i="1"/>
  <c r="C668" i="1"/>
  <c r="C633" i="1"/>
  <c r="C457" i="1"/>
  <c r="C170" i="1"/>
  <c r="C12" i="1"/>
  <c r="C42" i="1"/>
  <c r="C405" i="1"/>
  <c r="C448" i="1"/>
  <c r="C215" i="1"/>
  <c r="C599" i="1"/>
  <c r="C109" i="1"/>
  <c r="C474" i="1"/>
  <c r="C104" i="1"/>
  <c r="C304" i="1"/>
  <c r="C500" i="1"/>
  <c r="C171" i="1"/>
  <c r="C629" i="1"/>
  <c r="C910" i="1"/>
  <c r="C219" i="1"/>
  <c r="C387" i="1"/>
  <c r="C726" i="1"/>
  <c r="C183" i="1"/>
  <c r="C128" i="1"/>
  <c r="C485" i="1"/>
  <c r="C685" i="1"/>
  <c r="C687" i="1"/>
  <c r="C783" i="1"/>
  <c r="C111" i="1"/>
  <c r="C792" i="1"/>
  <c r="C517" i="1"/>
  <c r="C338" i="1"/>
  <c r="C376" i="1"/>
  <c r="C416" i="1"/>
  <c r="C790" i="1"/>
  <c r="C558" i="1"/>
  <c r="C911" i="1"/>
  <c r="C232" i="1"/>
  <c r="C769" i="1"/>
  <c r="C435" i="1"/>
  <c r="C318" i="1"/>
  <c r="C202" i="1"/>
  <c r="C321" i="1"/>
  <c r="C147" i="1"/>
  <c r="C475" i="1"/>
  <c r="C358" i="1"/>
  <c r="C496" i="1"/>
  <c r="C311" i="1"/>
  <c r="C225" i="1"/>
  <c r="C647" i="1"/>
  <c r="C453" i="1"/>
  <c r="C406" i="1"/>
  <c r="C476" i="1"/>
  <c r="C576" i="1"/>
  <c r="C626" i="1"/>
  <c r="C546" i="1"/>
  <c r="C734" i="1"/>
  <c r="C739" i="1"/>
  <c r="C798" i="1"/>
  <c r="C309" i="1"/>
  <c r="C912" i="1"/>
  <c r="C244" i="1"/>
  <c r="C640" i="1"/>
  <c r="C341" i="1"/>
  <c r="C636" i="1"/>
  <c r="C333" i="1"/>
  <c r="C593" i="1"/>
  <c r="C14" i="1"/>
  <c r="C350" i="1"/>
  <c r="C6" i="1"/>
  <c r="C913" i="1"/>
  <c r="C101" i="1"/>
  <c r="C391" i="1"/>
  <c r="C216" i="1"/>
  <c r="C292" i="1"/>
  <c r="C278" i="1"/>
  <c r="C404" i="1"/>
  <c r="C54" i="1"/>
  <c r="C509" i="1"/>
  <c r="C400" i="1"/>
  <c r="C120" i="1"/>
  <c r="C809" i="1"/>
  <c r="C727" i="1"/>
  <c r="C361" i="1"/>
  <c r="C436" i="1"/>
  <c r="C149" i="1"/>
  <c r="C184" i="1"/>
  <c r="C102" i="1"/>
  <c r="C486" i="1"/>
  <c r="C682" i="1"/>
  <c r="C110" i="1"/>
  <c r="C279" i="1"/>
  <c r="C563" i="1"/>
  <c r="C686" i="1"/>
  <c r="C701" i="1"/>
  <c r="C152" i="1"/>
  <c r="C250" i="1"/>
  <c r="C296" i="1"/>
  <c r="C741" i="1"/>
  <c r="C2" i="1"/>
  <c r="C737" i="1"/>
  <c r="C575" i="1"/>
  <c r="C658" i="1"/>
  <c r="C320" i="1"/>
  <c r="C153" i="1"/>
  <c r="C557" i="1"/>
  <c r="C371" i="1"/>
  <c r="C240" i="1"/>
  <c r="C511" i="1"/>
  <c r="C710" i="1"/>
  <c r="C136" i="1"/>
  <c r="C631" i="1"/>
  <c r="C40" i="1"/>
  <c r="C268" i="1"/>
  <c r="C37" i="1"/>
  <c r="C540" i="1"/>
  <c r="C200" i="1"/>
  <c r="C570" i="1"/>
  <c r="C175" i="1"/>
  <c r="C630" i="1"/>
  <c r="C316" i="1"/>
  <c r="C264" i="1"/>
  <c r="C531" i="1"/>
  <c r="C186" i="1"/>
  <c r="C334" i="1"/>
  <c r="C622" i="1"/>
  <c r="C179" i="1"/>
  <c r="C644" i="1"/>
  <c r="C262" i="1"/>
  <c r="C140" i="1"/>
  <c r="C670" i="1"/>
  <c r="C344" i="1"/>
  <c r="C83" i="1"/>
  <c r="C793" i="1"/>
  <c r="C504" i="1"/>
  <c r="C409" i="1"/>
  <c r="C762" i="1"/>
  <c r="C564" i="1"/>
  <c r="C377" i="1"/>
  <c r="C492" i="1"/>
  <c r="C747" i="1"/>
  <c r="C650" i="1"/>
  <c r="C88" i="1"/>
  <c r="C411" i="1"/>
  <c r="C208" i="1"/>
  <c r="C623" i="1"/>
  <c r="C706" i="1"/>
  <c r="C7" i="1"/>
  <c r="C560" i="1"/>
  <c r="C328" i="1"/>
  <c r="C487" i="1"/>
  <c r="C235" i="1"/>
  <c r="C410" i="1"/>
  <c r="C439" i="1"/>
  <c r="C545" i="1"/>
  <c r="C581" i="1"/>
  <c r="C717" i="1"/>
  <c r="C388" i="1"/>
  <c r="C796" i="1"/>
  <c r="C676" i="1"/>
  <c r="C525" i="1"/>
  <c r="C608" i="1"/>
  <c r="C191" i="1"/>
  <c r="C356" i="1"/>
  <c r="C417" i="1"/>
  <c r="C776" i="1"/>
  <c r="C526" i="1"/>
  <c r="C767" i="1"/>
  <c r="C488" i="1"/>
  <c r="C116" i="1"/>
  <c r="C683" i="1"/>
  <c r="C454" i="1"/>
  <c r="C76" i="1"/>
  <c r="C137" i="1"/>
  <c r="C600" i="1"/>
  <c r="C610" i="1"/>
  <c r="C579" i="1"/>
  <c r="C228" i="1"/>
  <c r="C112" i="1"/>
  <c r="C117" i="1"/>
  <c r="C596" i="1"/>
  <c r="C258" i="1"/>
  <c r="C204" i="1"/>
  <c r="C192" i="1"/>
  <c r="C43" i="1"/>
  <c r="C38" i="1"/>
  <c r="C532" i="1"/>
  <c r="C549" i="1"/>
  <c r="C634" i="1"/>
  <c r="C749" i="1"/>
  <c r="C489" i="1"/>
  <c r="C384" i="1"/>
  <c r="C572" i="1"/>
  <c r="C617" i="1"/>
  <c r="C627" i="1"/>
  <c r="C11" i="1"/>
  <c r="C473" i="1"/>
  <c r="C677" i="1"/>
  <c r="C275" i="1"/>
  <c r="C740" i="1"/>
  <c r="C25" i="1"/>
  <c r="C742" i="1"/>
  <c r="C90" i="1"/>
  <c r="C397" i="1"/>
  <c r="C477" i="1"/>
  <c r="C586" i="1"/>
  <c r="C451" i="1"/>
  <c r="C8" i="1"/>
  <c r="C585" i="1"/>
  <c r="C205" i="1"/>
  <c r="C707" i="1"/>
  <c r="C536" i="1"/>
  <c r="C167" i="1"/>
  <c r="C342" i="1"/>
  <c r="C810" i="1"/>
  <c r="C198" i="1"/>
  <c r="C74" i="1"/>
  <c r="C372" i="1"/>
  <c r="C188" i="1"/>
  <c r="C611" i="1"/>
  <c r="C402" i="1"/>
  <c r="C807" i="1"/>
  <c r="C759" i="1"/>
  <c r="C755" i="1"/>
  <c r="C414" i="1"/>
  <c r="C908" i="1"/>
  <c r="C68" i="1"/>
  <c r="C252" i="1"/>
  <c r="R252" i="1"/>
  <c r="P252" i="1"/>
  <c r="P300" i="1"/>
  <c r="P270" i="1"/>
  <c r="P389" i="1"/>
  <c r="P744" i="1"/>
  <c r="P176" i="1"/>
  <c r="P597" i="1"/>
  <c r="P513" i="1"/>
  <c r="P161" i="1"/>
  <c r="P752" i="1"/>
  <c r="P598" i="1"/>
  <c r="P254" i="1"/>
  <c r="P419" i="1"/>
  <c r="P797" i="1"/>
  <c r="P425" i="1"/>
  <c r="P310" i="1"/>
  <c r="P269" i="1"/>
  <c r="P229" i="1"/>
  <c r="P675" i="1"/>
  <c r="P259" i="1"/>
  <c r="P455" i="1"/>
  <c r="P462" i="1"/>
  <c r="P452" i="1"/>
  <c r="P745" i="1"/>
  <c r="P85" i="1"/>
  <c r="P345" i="1"/>
  <c r="P386" i="1"/>
  <c r="P778" i="1"/>
  <c r="P346" i="1"/>
  <c r="P720" i="1"/>
  <c r="P50" i="1"/>
  <c r="P638" i="1"/>
  <c r="P385" i="1"/>
  <c r="P255" i="1"/>
  <c r="P471" i="1"/>
  <c r="P180" i="1"/>
  <c r="P362" i="1"/>
  <c r="P696" i="1"/>
  <c r="P210" i="1"/>
  <c r="P378" i="1"/>
  <c r="P343" i="1"/>
  <c r="P398" i="1"/>
  <c r="P795" i="1"/>
  <c r="P271" i="1"/>
  <c r="P217" i="1"/>
  <c r="P15" i="1"/>
  <c r="P246" i="1"/>
  <c r="P280" i="1"/>
  <c r="P468" i="1"/>
  <c r="P125" i="1"/>
  <c r="P803" i="1"/>
  <c r="P143" i="1"/>
  <c r="P363" i="1"/>
  <c r="P553" i="1"/>
  <c r="P615" i="1"/>
  <c r="P660" i="1"/>
  <c r="P437" i="1"/>
  <c r="P48" i="1"/>
  <c r="P301" i="1"/>
  <c r="P251" i="1"/>
  <c r="P241" i="1"/>
  <c r="P139" i="1"/>
  <c r="P367" i="1"/>
  <c r="P27" i="1"/>
  <c r="P422" i="1"/>
  <c r="P142" i="1"/>
  <c r="P743" i="1"/>
  <c r="P478" i="1"/>
  <c r="P347" i="1"/>
  <c r="P130" i="1"/>
  <c r="P730" i="1"/>
  <c r="P580" i="1"/>
  <c r="P56" i="1"/>
  <c r="P552" i="1"/>
  <c r="P518" i="1"/>
  <c r="P731" i="1"/>
  <c r="P368" i="1"/>
  <c r="P708" i="1"/>
  <c r="P678" i="1"/>
  <c r="P774" i="1"/>
  <c r="P273" i="1"/>
  <c r="P542" i="1"/>
  <c r="P267" i="1"/>
  <c r="P364" i="1"/>
  <c r="P330" i="1"/>
  <c r="P261" i="1"/>
  <c r="P230" i="1"/>
  <c r="P265" i="1"/>
  <c r="P106" i="1"/>
  <c r="P305" i="1"/>
  <c r="P605" i="1"/>
  <c r="P523" i="1"/>
  <c r="P459" i="1"/>
  <c r="P231" i="1"/>
  <c r="P201" i="1"/>
  <c r="P751" i="1"/>
  <c r="P193" i="1"/>
  <c r="P711" i="1"/>
  <c r="P28" i="1"/>
  <c r="P445" i="1"/>
  <c r="P763" i="1"/>
  <c r="P218" i="1"/>
  <c r="P671" i="1"/>
  <c r="P483" i="1"/>
  <c r="P472" i="1"/>
  <c r="P223" i="1"/>
  <c r="P67" i="1"/>
  <c r="P365" i="1"/>
  <c r="P283" i="1"/>
  <c r="P735" i="1"/>
  <c r="P355" i="1"/>
  <c r="P651" i="1"/>
  <c r="P10" i="1"/>
  <c r="P60" i="1"/>
  <c r="P324" i="1"/>
  <c r="P426" i="1"/>
  <c r="P502" i="1"/>
  <c r="P62" i="1"/>
  <c r="P339" i="1"/>
  <c r="P203" i="1"/>
  <c r="P274" i="1"/>
  <c r="P732" i="1"/>
  <c r="P392" i="1"/>
  <c r="P4" i="1"/>
  <c r="P253" i="1"/>
  <c r="P680" i="1"/>
  <c r="P772" i="1"/>
  <c r="P702" i="1"/>
  <c r="P412" i="1"/>
  <c r="P247" i="1"/>
  <c r="P31" i="1"/>
  <c r="P779" i="1"/>
  <c r="P369" i="1"/>
  <c r="P26" i="1"/>
  <c r="P673" i="1"/>
  <c r="P738" i="1"/>
  <c r="P493" i="1"/>
  <c r="P748" i="1"/>
  <c r="P17" i="1"/>
  <c r="P479" i="1"/>
  <c r="P185" i="1"/>
  <c r="P105" i="1"/>
  <c r="P55" i="1"/>
  <c r="P107" i="1"/>
  <c r="P199" i="1"/>
  <c r="P571" i="1"/>
  <c r="P698" i="1"/>
  <c r="P423" i="1"/>
  <c r="P494" i="1"/>
  <c r="P35" i="1"/>
  <c r="P86" i="1"/>
  <c r="P226" i="1"/>
  <c r="P206" i="1"/>
  <c r="P770" i="1"/>
  <c r="P61" i="1"/>
  <c r="P464" i="1"/>
  <c r="P550" i="1"/>
  <c r="P359" i="1"/>
  <c r="P312" i="1"/>
  <c r="P470" i="1"/>
  <c r="P791" i="1"/>
  <c r="P692" i="1"/>
  <c r="P91" i="1"/>
  <c r="P768" i="1"/>
  <c r="P760" i="1"/>
  <c r="P813" i="1"/>
  <c r="P506" i="1"/>
  <c r="P728" i="1"/>
  <c r="P814" i="1"/>
  <c r="P764" i="1"/>
  <c r="P753" i="1"/>
  <c r="P514" i="1"/>
  <c r="P703" i="1"/>
  <c r="P150" i="1"/>
  <c r="P777" i="1"/>
  <c r="P32" i="1"/>
  <c r="P543" i="1"/>
  <c r="P187" i="1"/>
  <c r="P329" i="1"/>
  <c r="P96" i="1"/>
  <c r="P294" i="1"/>
  <c r="P761" i="1"/>
  <c r="P354" i="1"/>
  <c r="P645" i="1"/>
  <c r="P118" i="1"/>
  <c r="P162" i="1"/>
  <c r="P248" i="1"/>
  <c r="P589" i="1"/>
  <c r="P601" i="1"/>
  <c r="P591" i="1"/>
  <c r="P582" i="1"/>
  <c r="P357" i="1"/>
  <c r="P408" i="1"/>
  <c r="P220" i="1"/>
  <c r="P465" i="1"/>
  <c r="P688" i="1"/>
  <c r="P20" i="1"/>
  <c r="P554" i="1"/>
  <c r="P194" i="1"/>
  <c r="P399" i="1"/>
  <c r="P652" i="1"/>
  <c r="P695" i="1"/>
  <c r="P551" i="1"/>
  <c r="P113" i="1"/>
  <c r="P684" i="1"/>
  <c r="P583" i="1"/>
  <c r="P815" i="1"/>
  <c r="P239" i="1"/>
  <c r="P816" i="1"/>
  <c r="P817" i="1"/>
  <c r="P818" i="1"/>
  <c r="P819" i="1"/>
  <c r="P820" i="1"/>
  <c r="P166" i="1"/>
  <c r="P99" i="1"/>
  <c r="P82" i="1"/>
  <c r="P786" i="1"/>
  <c r="P555" i="1"/>
  <c r="P516" i="1"/>
  <c r="P212" i="1"/>
  <c r="P92" i="1"/>
  <c r="P446" i="1"/>
  <c r="P821" i="1"/>
  <c r="P505" i="1"/>
  <c r="P758" i="1"/>
  <c r="P302" i="1"/>
  <c r="P567" i="1"/>
  <c r="P237" i="1"/>
  <c r="P144" i="1"/>
  <c r="P655" i="1"/>
  <c r="P178" i="1"/>
  <c r="P151" i="1"/>
  <c r="P618" i="1"/>
  <c r="P351" i="1"/>
  <c r="P51" i="1"/>
  <c r="P57" i="1"/>
  <c r="P822" i="1"/>
  <c r="P295" i="1"/>
  <c r="P394" i="1"/>
  <c r="P323" i="1"/>
  <c r="P418" i="1"/>
  <c r="P628" i="1"/>
  <c r="P490" i="1"/>
  <c r="P697" i="1"/>
  <c r="P823" i="1"/>
  <c r="P824" i="1"/>
  <c r="P154" i="1"/>
  <c r="P825" i="1"/>
  <c r="P44" i="1"/>
  <c r="P440" i="1"/>
  <c r="P71" i="1"/>
  <c r="P561" i="1"/>
  <c r="P648" i="1"/>
  <c r="P314" i="1"/>
  <c r="P432" i="1"/>
  <c r="P481" i="1"/>
  <c r="P370" i="1"/>
  <c r="P712" i="1"/>
  <c r="P430" i="1"/>
  <c r="P827" i="1"/>
  <c r="P771" i="1"/>
  <c r="P828" i="1"/>
  <c r="P607" i="1"/>
  <c r="P704" i="1"/>
  <c r="P168" i="1"/>
  <c r="P381" i="1"/>
  <c r="P590" i="1"/>
  <c r="P612" i="1"/>
  <c r="P829" i="1"/>
  <c r="P784" i="1"/>
  <c r="P395" i="1"/>
  <c r="P420" i="1"/>
  <c r="P89" i="1"/>
  <c r="P830" i="1"/>
  <c r="P126" i="1"/>
  <c r="P63" i="1"/>
  <c r="P95" i="1"/>
  <c r="P619" i="1"/>
  <c r="P530" i="1"/>
  <c r="P303" i="1"/>
  <c r="P114" i="1"/>
  <c r="P694" i="1"/>
  <c r="P331" i="1"/>
  <c r="P832" i="1"/>
  <c r="P281" i="1"/>
  <c r="P723" i="1"/>
  <c r="P80" i="1"/>
  <c r="P158" i="1"/>
  <c r="P224" i="1"/>
  <c r="P639" i="1"/>
  <c r="P733" i="1"/>
  <c r="P155" i="1"/>
  <c r="P520" i="1"/>
  <c r="P234" i="1"/>
  <c r="P679" i="1"/>
  <c r="P649" i="1"/>
  <c r="P604" i="1"/>
  <c r="P366" i="1"/>
  <c r="P460" i="1"/>
  <c r="P373" i="1"/>
  <c r="P138" i="1"/>
  <c r="P613" i="1"/>
  <c r="P620" i="1"/>
  <c r="P221" i="1"/>
  <c r="P189" i="1"/>
  <c r="P148" i="1"/>
  <c r="P507" i="1"/>
  <c r="P672" i="1"/>
  <c r="P637" i="1"/>
  <c r="P833" i="1"/>
  <c r="P236" i="1"/>
  <c r="P146" i="1"/>
  <c r="P834" i="1"/>
  <c r="P616" i="1"/>
  <c r="P785" i="1"/>
  <c r="P233" i="1"/>
  <c r="P65" i="1"/>
  <c r="P746" i="1"/>
  <c r="P145" i="1"/>
  <c r="P288" i="1"/>
  <c r="P134" i="1"/>
  <c r="P835" i="1"/>
  <c r="P379" i="1"/>
  <c r="P77" i="1"/>
  <c r="P699" i="1"/>
  <c r="P836" i="1"/>
  <c r="P689" i="1"/>
  <c r="P257" i="1"/>
  <c r="P614" i="1"/>
  <c r="P594" i="1"/>
  <c r="P837" i="1"/>
  <c r="P401" i="1"/>
  <c r="P609" i="1"/>
  <c r="P641" i="1"/>
  <c r="P315" i="1"/>
  <c r="P804" i="1"/>
  <c r="P100" i="1"/>
  <c r="P282" i="1"/>
  <c r="P407" i="1"/>
  <c r="P508" i="1"/>
  <c r="P18" i="1"/>
  <c r="P756" i="1"/>
  <c r="P693" i="1"/>
  <c r="P535" i="1"/>
  <c r="P93" i="1"/>
  <c r="P317" i="1"/>
  <c r="P690" i="1"/>
  <c r="P396" i="1"/>
  <c r="P45" i="1"/>
  <c r="P775" i="1"/>
  <c r="P9" i="1"/>
  <c r="P603" i="1"/>
  <c r="P724" i="1"/>
  <c r="P510" i="1"/>
  <c r="P427" i="1"/>
  <c r="P163" i="1"/>
  <c r="P653" i="1"/>
  <c r="P456" i="1"/>
  <c r="P757" i="1"/>
  <c r="P289" i="1"/>
  <c r="P211" i="1"/>
  <c r="P556" i="1"/>
  <c r="P290" i="1"/>
  <c r="P664" i="1"/>
  <c r="P839" i="1"/>
  <c r="P207" i="1"/>
  <c r="P450" i="1"/>
  <c r="P97" i="1"/>
  <c r="P663" i="1"/>
  <c r="P461" i="1"/>
  <c r="P840" i="1"/>
  <c r="P22" i="1"/>
  <c r="P725" i="1"/>
  <c r="P806" i="1"/>
  <c r="P519" i="1"/>
  <c r="P431" i="1"/>
  <c r="P429" i="1"/>
  <c r="P826" i="1"/>
  <c r="P602" i="1"/>
  <c r="P841" i="1"/>
  <c r="P127" i="1"/>
  <c r="P766" i="1"/>
  <c r="P524" i="1"/>
  <c r="P656" i="1"/>
  <c r="P98" i="1"/>
  <c r="P646" i="1"/>
  <c r="P808" i="1"/>
  <c r="P715" i="1"/>
  <c r="P165" i="1"/>
  <c r="P123" i="1"/>
  <c r="P374" i="1"/>
  <c r="P501" i="1"/>
  <c r="P842" i="1"/>
  <c r="P291" i="1"/>
  <c r="P121" i="1"/>
  <c r="P196" i="1"/>
  <c r="P577" i="1"/>
  <c r="P632" i="1"/>
  <c r="P249" i="1"/>
  <c r="P831" i="1"/>
  <c r="P625" i="1"/>
  <c r="P533" i="1"/>
  <c r="P103" i="1"/>
  <c r="P843" i="1"/>
  <c r="P33" i="1"/>
  <c r="P844" i="1"/>
  <c r="P515" i="1"/>
  <c r="P164" i="1"/>
  <c r="P441" i="1"/>
  <c r="P498" i="1"/>
  <c r="P135" i="1"/>
  <c r="P736" i="1"/>
  <c r="P23" i="1"/>
  <c r="P721" i="1"/>
  <c r="P297" i="1"/>
  <c r="P845" i="1"/>
  <c r="P442" i="1"/>
  <c r="P846" i="1"/>
  <c r="P313" i="1"/>
  <c r="P773" i="1"/>
  <c r="P544" i="1"/>
  <c r="P847" i="1"/>
  <c r="P534" i="1"/>
  <c r="P413" i="1"/>
  <c r="P848" i="1"/>
  <c r="P326" i="1"/>
  <c r="P227" i="1"/>
  <c r="P584" i="1"/>
  <c r="P541" i="1"/>
  <c r="P521" i="1"/>
  <c r="P299" i="1"/>
  <c r="P52" i="1"/>
  <c r="P849" i="1"/>
  <c r="P850" i="1"/>
  <c r="P801" i="1"/>
  <c r="P573" i="1"/>
  <c r="P209" i="1"/>
  <c r="P64" i="1"/>
  <c r="P592" i="1"/>
  <c r="P659" i="1"/>
  <c r="P39" i="1"/>
  <c r="P335" i="1"/>
  <c r="P447" i="1"/>
  <c r="P122" i="1"/>
  <c r="P719" i="1"/>
  <c r="P306" i="1"/>
  <c r="P765" i="1"/>
  <c r="P716" i="1"/>
  <c r="P851" i="1"/>
  <c r="P197" i="1"/>
  <c r="P811" i="1"/>
  <c r="P108" i="1"/>
  <c r="P159" i="1"/>
  <c r="P527" i="1"/>
  <c r="P547" i="1"/>
  <c r="P245" i="1"/>
  <c r="P69" i="1"/>
  <c r="P124" i="1"/>
  <c r="P53" i="1"/>
  <c r="P852" i="1"/>
  <c r="P780" i="1"/>
  <c r="P853" i="1"/>
  <c r="P854" i="1"/>
  <c r="P491" i="1"/>
  <c r="P537" i="1"/>
  <c r="P34" i="1"/>
  <c r="P3" i="1"/>
  <c r="P287" i="1"/>
  <c r="P444" i="1"/>
  <c r="P16" i="1"/>
  <c r="P260" i="1"/>
  <c r="P58" i="1"/>
  <c r="P84" i="1"/>
  <c r="P380" i="1"/>
  <c r="P190" i="1"/>
  <c r="P434" i="1"/>
  <c r="P238" i="1"/>
  <c r="P855" i="1"/>
  <c r="P308" i="1"/>
  <c r="P75" i="1"/>
  <c r="P438" i="1"/>
  <c r="P624" i="1"/>
  <c r="P856" i="1"/>
  <c r="P424" i="1"/>
  <c r="P428" i="1"/>
  <c r="P458" i="1"/>
  <c r="P642" i="1"/>
  <c r="P635" i="1"/>
  <c r="P352" i="1"/>
  <c r="P49" i="1"/>
  <c r="P319" i="1"/>
  <c r="P587" i="1"/>
  <c r="P657" i="1"/>
  <c r="P499" i="1"/>
  <c r="P382" i="1"/>
  <c r="P307" i="1"/>
  <c r="P662" i="1"/>
  <c r="P298" i="1"/>
  <c r="P754" i="1"/>
  <c r="P421" i="1"/>
  <c r="P857" i="1"/>
  <c r="P276" i="1"/>
  <c r="P469" i="1"/>
  <c r="P327" i="1"/>
  <c r="P497" i="1"/>
  <c r="P375" i="1"/>
  <c r="P415" i="1"/>
  <c r="P578" i="1"/>
  <c r="P115" i="1"/>
  <c r="P595" i="1"/>
  <c r="P858" i="1"/>
  <c r="P859" i="1"/>
  <c r="P480" i="1"/>
  <c r="P654" i="1"/>
  <c r="P383" i="1"/>
  <c r="P802" i="1"/>
  <c r="P860" i="1"/>
  <c r="P606" i="1"/>
  <c r="P588" i="1"/>
  <c r="P661" i="1"/>
  <c r="P243" i="1"/>
  <c r="P548" i="1"/>
  <c r="P861" i="1"/>
  <c r="P119" i="1"/>
  <c r="P393" i="1"/>
  <c r="P862" i="1"/>
  <c r="P681" i="1"/>
  <c r="P782" i="1"/>
  <c r="P340" i="1"/>
  <c r="P46" i="1"/>
  <c r="P863" i="1"/>
  <c r="P263" i="1"/>
  <c r="P788" i="1"/>
  <c r="P293" i="1"/>
  <c r="P864" i="1"/>
  <c r="P172" i="1"/>
  <c r="P568" i="1"/>
  <c r="P24" i="1"/>
  <c r="P325" i="1"/>
  <c r="P565" i="1"/>
  <c r="P78" i="1"/>
  <c r="P665" i="1"/>
  <c r="P865" i="1"/>
  <c r="P242" i="1"/>
  <c r="P466" i="1"/>
  <c r="P866" i="1"/>
  <c r="P722" i="1"/>
  <c r="P169" i="1"/>
  <c r="P181" i="1"/>
  <c r="P838" i="1"/>
  <c r="P266" i="1"/>
  <c r="P79" i="1"/>
  <c r="P463" i="1"/>
  <c r="P867" i="1"/>
  <c r="P349" i="1"/>
  <c r="P482" i="1"/>
  <c r="P222" i="1"/>
  <c r="P157" i="1"/>
  <c r="P750" i="1"/>
  <c r="P781" i="1"/>
  <c r="P13" i="1"/>
  <c r="P674" i="1"/>
  <c r="P160" i="1"/>
  <c r="P195" i="1"/>
  <c r="P348" i="1"/>
  <c r="P709" i="1"/>
  <c r="P277" i="1"/>
  <c r="P47" i="1"/>
  <c r="P19" i="1"/>
  <c r="P713" i="1"/>
  <c r="P729" i="1"/>
  <c r="P871" i="1"/>
  <c r="P36" i="1"/>
  <c r="P868" i="1"/>
  <c r="P70" i="1"/>
  <c r="P538" i="1"/>
  <c r="P66" i="1"/>
  <c r="P869" i="1"/>
  <c r="P72" i="1"/>
  <c r="P213" i="1"/>
  <c r="P529" i="1"/>
  <c r="P714" i="1"/>
  <c r="P353" i="1"/>
  <c r="P81" i="1"/>
  <c r="P129" i="1"/>
  <c r="P643" i="1"/>
  <c r="P574" i="1"/>
  <c r="P691" i="1"/>
  <c r="P539" i="1"/>
  <c r="P403" i="1"/>
  <c r="P182" i="1"/>
  <c r="P73" i="1"/>
  <c r="P87" i="1"/>
  <c r="P870" i="1"/>
  <c r="P322" i="1"/>
  <c r="P800" i="1"/>
  <c r="P132" i="1"/>
  <c r="P666" i="1"/>
  <c r="P495" i="1"/>
  <c r="P286" i="1"/>
  <c r="P528" i="1"/>
  <c r="P29" i="1"/>
  <c r="P360" i="1"/>
  <c r="P522" i="1"/>
  <c r="P484" i="1"/>
  <c r="P669" i="1"/>
  <c r="P512" i="1"/>
  <c r="P503" i="1"/>
  <c r="P214" i="1"/>
  <c r="P443" i="1"/>
  <c r="P173" i="1"/>
  <c r="P667" i="1"/>
  <c r="P562" i="1"/>
  <c r="P337" i="1"/>
  <c r="P59" i="1"/>
  <c r="P336" i="1"/>
  <c r="P284" i="1"/>
  <c r="P872" i="1"/>
  <c r="P256" i="1"/>
  <c r="P873" i="1"/>
  <c r="P285" i="1"/>
  <c r="P390" i="1"/>
  <c r="P467" i="1"/>
  <c r="P272" i="1"/>
  <c r="P874" i="1"/>
  <c r="P875" i="1"/>
  <c r="P621" i="1"/>
  <c r="P876" i="1"/>
  <c r="P789" i="1"/>
  <c r="P794" i="1"/>
  <c r="P131" i="1"/>
  <c r="P133" i="1"/>
  <c r="P909" i="1"/>
  <c r="P877" i="1"/>
  <c r="P799" i="1"/>
  <c r="P174" i="1"/>
  <c r="P332" i="1"/>
  <c r="P177" i="1"/>
  <c r="P30" i="1"/>
  <c r="P878" i="1"/>
  <c r="P449" i="1"/>
  <c r="P566" i="1"/>
  <c r="P879" i="1"/>
  <c r="P41" i="1"/>
  <c r="P569" i="1"/>
  <c r="P5" i="1"/>
  <c r="P880" i="1"/>
  <c r="P433" i="1"/>
  <c r="P141" i="1"/>
  <c r="P718" i="1"/>
  <c r="P881" i="1"/>
  <c r="P705" i="1"/>
  <c r="P882" i="1"/>
  <c r="P559" i="1"/>
  <c r="P812" i="1"/>
  <c r="P883" i="1"/>
  <c r="P156" i="1"/>
  <c r="P668" i="1"/>
  <c r="P633" i="1"/>
  <c r="P457" i="1"/>
  <c r="P884" i="1"/>
  <c r="P170" i="1"/>
  <c r="P12" i="1"/>
  <c r="P42" i="1"/>
  <c r="P405" i="1"/>
  <c r="P448" i="1"/>
  <c r="P215" i="1"/>
  <c r="P599" i="1"/>
  <c r="P885" i="1"/>
  <c r="P109" i="1"/>
  <c r="P474" i="1"/>
  <c r="P104" i="1"/>
  <c r="P304" i="1"/>
  <c r="P500" i="1"/>
  <c r="P171" i="1"/>
  <c r="P629" i="1"/>
  <c r="P910" i="1"/>
  <c r="P219" i="1"/>
  <c r="P387" i="1"/>
  <c r="P726" i="1"/>
  <c r="P183" i="1"/>
  <c r="P128" i="1"/>
  <c r="P485" i="1"/>
  <c r="P685" i="1"/>
  <c r="P687" i="1"/>
  <c r="P783" i="1"/>
  <c r="P111" i="1"/>
  <c r="P792" i="1"/>
  <c r="P517" i="1"/>
  <c r="P338" i="1"/>
  <c r="P376" i="1"/>
  <c r="P416" i="1"/>
  <c r="P790" i="1"/>
  <c r="P558" i="1"/>
  <c r="P911" i="1"/>
  <c r="P232" i="1"/>
  <c r="P769" i="1"/>
  <c r="P435" i="1"/>
  <c r="P318" i="1"/>
  <c r="P202" i="1"/>
  <c r="P321" i="1"/>
  <c r="P147" i="1"/>
  <c r="P475" i="1"/>
  <c r="P358" i="1"/>
  <c r="P496" i="1"/>
  <c r="P311" i="1"/>
  <c r="P225" i="1"/>
  <c r="P647" i="1"/>
  <c r="P886" i="1"/>
  <c r="P453" i="1"/>
  <c r="P406" i="1"/>
  <c r="P476" i="1"/>
  <c r="P576" i="1"/>
  <c r="P626" i="1"/>
  <c r="P546" i="1"/>
  <c r="P734" i="1"/>
  <c r="P739" i="1"/>
  <c r="P798" i="1"/>
  <c r="P309" i="1"/>
  <c r="P912" i="1"/>
  <c r="P244" i="1"/>
  <c r="P640" i="1"/>
  <c r="P341" i="1"/>
  <c r="P636" i="1"/>
  <c r="P333" i="1"/>
  <c r="P593" i="1"/>
  <c r="P14" i="1"/>
  <c r="P350" i="1"/>
  <c r="P6" i="1"/>
  <c r="P913" i="1"/>
  <c r="P887" i="1"/>
  <c r="P101" i="1"/>
  <c r="P391" i="1"/>
  <c r="P216" i="1"/>
  <c r="P292" i="1"/>
  <c r="P278" i="1"/>
  <c r="P404" i="1"/>
  <c r="P54" i="1"/>
  <c r="P509" i="1"/>
  <c r="P400" i="1"/>
  <c r="P120" i="1"/>
  <c r="P888" i="1"/>
  <c r="P889" i="1"/>
  <c r="P809" i="1"/>
  <c r="P727" i="1"/>
  <c r="P361" i="1"/>
  <c r="P436" i="1"/>
  <c r="P149" i="1"/>
  <c r="P184" i="1"/>
  <c r="P102" i="1"/>
  <c r="P486" i="1"/>
  <c r="P682" i="1"/>
  <c r="P110" i="1"/>
  <c r="P279" i="1"/>
  <c r="P563" i="1"/>
  <c r="P686" i="1"/>
  <c r="P890" i="1"/>
  <c r="P701" i="1"/>
  <c r="P152" i="1"/>
  <c r="P250" i="1"/>
  <c r="P296" i="1"/>
  <c r="P741" i="1"/>
  <c r="P2" i="1"/>
  <c r="P737" i="1"/>
  <c r="P575" i="1"/>
  <c r="P658" i="1"/>
  <c r="P320" i="1"/>
  <c r="P153" i="1"/>
  <c r="P557" i="1"/>
  <c r="P371" i="1"/>
  <c r="P891" i="1"/>
  <c r="P240" i="1"/>
  <c r="P892" i="1"/>
  <c r="P511" i="1"/>
  <c r="P710" i="1"/>
  <c r="P136" i="1"/>
  <c r="P631" i="1"/>
  <c r="P40" i="1"/>
  <c r="P893" i="1"/>
  <c r="P894" i="1"/>
  <c r="P268" i="1"/>
  <c r="P37" i="1"/>
  <c r="P540" i="1"/>
  <c r="P200" i="1"/>
  <c r="P570" i="1"/>
  <c r="P175" i="1"/>
  <c r="P630" i="1"/>
  <c r="P316" i="1"/>
  <c r="P264" i="1"/>
  <c r="P531" i="1"/>
  <c r="P186" i="1"/>
  <c r="P334" i="1"/>
  <c r="P622" i="1"/>
  <c r="P179" i="1"/>
  <c r="P644" i="1"/>
  <c r="P262" i="1"/>
  <c r="P895" i="1"/>
  <c r="P140" i="1"/>
  <c r="P670" i="1"/>
  <c r="P344" i="1"/>
  <c r="P83" i="1"/>
  <c r="P793" i="1"/>
  <c r="P504" i="1"/>
  <c r="P409" i="1"/>
  <c r="P762" i="1"/>
  <c r="P564" i="1"/>
  <c r="P377" i="1"/>
  <c r="P492" i="1"/>
  <c r="P747" i="1"/>
  <c r="P650" i="1"/>
  <c r="P88" i="1"/>
  <c r="P411" i="1"/>
  <c r="P208" i="1"/>
  <c r="P623" i="1"/>
  <c r="P706" i="1"/>
  <c r="P7" i="1"/>
  <c r="P896" i="1"/>
  <c r="P560" i="1"/>
  <c r="P328" i="1"/>
  <c r="P897" i="1"/>
  <c r="P487" i="1"/>
  <c r="P235" i="1"/>
  <c r="P410" i="1"/>
  <c r="P439" i="1"/>
  <c r="P545" i="1"/>
  <c r="P581" i="1"/>
  <c r="P717" i="1"/>
  <c r="P388" i="1"/>
  <c r="P796" i="1"/>
  <c r="P898" i="1"/>
  <c r="P676" i="1"/>
  <c r="P525" i="1"/>
  <c r="P608" i="1"/>
  <c r="P191" i="1"/>
  <c r="P356" i="1"/>
  <c r="P899" i="1"/>
  <c r="P417" i="1"/>
  <c r="P776" i="1"/>
  <c r="P526" i="1"/>
  <c r="P900" i="1"/>
  <c r="P767" i="1"/>
  <c r="P488" i="1"/>
  <c r="P116" i="1"/>
  <c r="P683" i="1"/>
  <c r="P454" i="1"/>
  <c r="P76" i="1"/>
  <c r="P137" i="1"/>
  <c r="P600" i="1"/>
  <c r="P610" i="1"/>
  <c r="P579" i="1"/>
  <c r="P228" i="1"/>
  <c r="P112" i="1"/>
  <c r="P117" i="1"/>
  <c r="P596" i="1"/>
  <c r="P901" i="1"/>
  <c r="P258" i="1"/>
  <c r="P204" i="1"/>
  <c r="P192" i="1"/>
  <c r="P43" i="1"/>
  <c r="P902" i="1"/>
  <c r="P38" i="1"/>
  <c r="P532" i="1"/>
  <c r="P549" i="1"/>
  <c r="P634" i="1"/>
  <c r="P749" i="1"/>
  <c r="P489" i="1"/>
  <c r="P903" i="1"/>
  <c r="P384" i="1"/>
  <c r="P572" i="1"/>
  <c r="P617" i="1"/>
  <c r="P627" i="1"/>
  <c r="P904" i="1"/>
  <c r="P11" i="1"/>
  <c r="P473" i="1"/>
  <c r="P677" i="1"/>
  <c r="P275" i="1"/>
  <c r="P905" i="1"/>
  <c r="P740" i="1"/>
  <c r="P25" i="1"/>
  <c r="P742" i="1"/>
  <c r="P90" i="1"/>
  <c r="P397" i="1"/>
  <c r="P477" i="1"/>
  <c r="P586" i="1"/>
  <c r="P451" i="1"/>
  <c r="P8" i="1"/>
  <c r="P585" i="1"/>
  <c r="P205" i="1"/>
  <c r="P707" i="1"/>
  <c r="P536" i="1"/>
  <c r="P167" i="1"/>
  <c r="P342" i="1"/>
  <c r="P810" i="1"/>
  <c r="P198" i="1"/>
  <c r="P74" i="1"/>
  <c r="P372" i="1"/>
  <c r="P906" i="1"/>
  <c r="P907" i="1"/>
  <c r="P188" i="1"/>
  <c r="P611" i="1"/>
  <c r="P402" i="1"/>
  <c r="P700" i="1"/>
  <c r="P807" i="1"/>
  <c r="P759" i="1"/>
  <c r="P787" i="1"/>
  <c r="P755" i="1"/>
  <c r="P414" i="1"/>
  <c r="P908" i="1"/>
  <c r="P68" i="1"/>
  <c r="P94" i="1"/>
  <c r="P21" i="1"/>
  <c r="P805" i="1"/>
  <c r="AO300" i="1"/>
  <c r="AO270" i="1"/>
  <c r="AO389" i="1"/>
  <c r="AO744" i="1"/>
  <c r="AO176" i="1"/>
  <c r="AO597" i="1"/>
  <c r="AO513" i="1"/>
  <c r="AO161" i="1"/>
  <c r="AO752" i="1"/>
  <c r="AO598" i="1"/>
  <c r="AO254" i="1"/>
  <c r="AO419" i="1"/>
  <c r="AO797" i="1"/>
  <c r="AO425" i="1"/>
  <c r="AO310" i="1"/>
  <c r="AO269" i="1"/>
  <c r="AO229" i="1"/>
  <c r="AO675" i="1"/>
  <c r="AO259" i="1"/>
  <c r="AO455" i="1"/>
  <c r="AO462" i="1"/>
  <c r="AO452" i="1"/>
  <c r="AO745" i="1"/>
  <c r="AO85" i="1"/>
  <c r="AO345" i="1"/>
  <c r="AO386" i="1"/>
  <c r="AO778" i="1"/>
  <c r="AO346" i="1"/>
  <c r="AO720" i="1"/>
  <c r="AO50" i="1"/>
  <c r="AO638" i="1"/>
  <c r="AO385" i="1"/>
  <c r="AO255" i="1"/>
  <c r="AO471" i="1"/>
  <c r="AO180" i="1"/>
  <c r="AO362" i="1"/>
  <c r="AO696" i="1"/>
  <c r="AO210" i="1"/>
  <c r="AO378" i="1"/>
  <c r="AO343" i="1"/>
  <c r="AO398" i="1"/>
  <c r="AO795" i="1"/>
  <c r="AO271" i="1"/>
  <c r="AO217" i="1"/>
  <c r="AO15" i="1"/>
  <c r="AO246" i="1"/>
  <c r="AO280" i="1"/>
  <c r="AO468" i="1"/>
  <c r="AO125" i="1"/>
  <c r="AO803" i="1"/>
  <c r="AO143" i="1"/>
  <c r="AO363" i="1"/>
  <c r="AO553" i="1"/>
  <c r="AO615" i="1"/>
  <c r="AO660" i="1"/>
  <c r="AO437" i="1"/>
  <c r="AO48" i="1"/>
  <c r="AO301" i="1"/>
  <c r="AO251" i="1"/>
  <c r="AO241" i="1"/>
  <c r="AO139" i="1"/>
  <c r="AO367" i="1"/>
  <c r="AO27" i="1"/>
  <c r="AO422" i="1"/>
  <c r="AO142" i="1"/>
  <c r="AO743" i="1"/>
  <c r="AO478" i="1"/>
  <c r="AO347" i="1"/>
  <c r="AO130" i="1"/>
  <c r="AO730" i="1"/>
  <c r="AO580" i="1"/>
  <c r="AO56" i="1"/>
  <c r="AO552" i="1"/>
  <c r="AO518" i="1"/>
  <c r="AO731" i="1"/>
  <c r="AO368" i="1"/>
  <c r="AO708" i="1"/>
  <c r="AO678" i="1"/>
  <c r="AO774" i="1"/>
  <c r="AO273" i="1"/>
  <c r="AO542" i="1"/>
  <c r="AO267" i="1"/>
  <c r="AO364" i="1"/>
  <c r="AO330" i="1"/>
  <c r="AO261" i="1"/>
  <c r="AO230" i="1"/>
  <c r="AO265" i="1"/>
  <c r="AO106" i="1"/>
  <c r="AO305" i="1"/>
  <c r="AO605" i="1"/>
  <c r="AO523" i="1"/>
  <c r="AO459" i="1"/>
  <c r="AO231" i="1"/>
  <c r="AO201" i="1"/>
  <c r="AO751" i="1"/>
  <c r="AO193" i="1"/>
  <c r="AO711" i="1"/>
  <c r="AO28" i="1"/>
  <c r="AO445" i="1"/>
  <c r="AO763" i="1"/>
  <c r="AO218" i="1"/>
  <c r="AO671" i="1"/>
  <c r="AO483" i="1"/>
  <c r="AO472" i="1"/>
  <c r="AO223" i="1"/>
  <c r="AO67" i="1"/>
  <c r="AO365" i="1"/>
  <c r="AO283" i="1"/>
  <c r="AO735" i="1"/>
  <c r="AO355" i="1"/>
  <c r="AO651" i="1"/>
  <c r="AO10" i="1"/>
  <c r="AO60" i="1"/>
  <c r="AO324" i="1"/>
  <c r="AO426" i="1"/>
  <c r="AO502" i="1"/>
  <c r="AO62" i="1"/>
  <c r="AO339" i="1"/>
  <c r="AO203" i="1"/>
  <c r="AO274" i="1"/>
  <c r="AO732" i="1"/>
  <c r="AO392" i="1"/>
  <c r="AO4" i="1"/>
  <c r="AO253" i="1"/>
  <c r="AO680" i="1"/>
  <c r="AO772" i="1"/>
  <c r="AO702" i="1"/>
  <c r="AO412" i="1"/>
  <c r="AO247" i="1"/>
  <c r="AO31" i="1"/>
  <c r="AO779" i="1"/>
  <c r="AO369" i="1"/>
  <c r="AO26" i="1"/>
  <c r="AO673" i="1"/>
  <c r="AO738" i="1"/>
  <c r="AO493" i="1"/>
  <c r="AO748" i="1"/>
  <c r="AO17" i="1"/>
  <c r="AO479" i="1"/>
  <c r="AO185" i="1"/>
  <c r="AO105" i="1"/>
  <c r="AO55" i="1"/>
  <c r="AO107" i="1"/>
  <c r="AO199" i="1"/>
  <c r="AO571" i="1"/>
  <c r="AO698" i="1"/>
  <c r="AO423" i="1"/>
  <c r="AO494" i="1"/>
  <c r="AO35" i="1"/>
  <c r="AO86" i="1"/>
  <c r="AO226" i="1"/>
  <c r="AO206" i="1"/>
  <c r="AO770" i="1"/>
  <c r="AO61" i="1"/>
  <c r="AO464" i="1"/>
  <c r="AO550" i="1"/>
  <c r="AO359" i="1"/>
  <c r="AO312" i="1"/>
  <c r="AO470" i="1"/>
  <c r="AO791" i="1"/>
  <c r="AO692" i="1"/>
  <c r="AO91" i="1"/>
  <c r="AO768" i="1"/>
  <c r="AO760" i="1"/>
  <c r="AO813" i="1"/>
  <c r="AO506" i="1"/>
  <c r="AO728" i="1"/>
  <c r="AO814" i="1"/>
  <c r="AO764" i="1"/>
  <c r="AO753" i="1"/>
  <c r="AO514" i="1"/>
  <c r="AO703" i="1"/>
  <c r="AO150" i="1"/>
  <c r="AO777" i="1"/>
  <c r="AO32" i="1"/>
  <c r="AO543" i="1"/>
  <c r="AO187" i="1"/>
  <c r="AO329" i="1"/>
  <c r="AO96" i="1"/>
  <c r="AO294" i="1"/>
  <c r="AO761" i="1"/>
  <c r="AO354" i="1"/>
  <c r="AO645" i="1"/>
  <c r="AO118" i="1"/>
  <c r="AO162" i="1"/>
  <c r="AO248" i="1"/>
  <c r="AO589" i="1"/>
  <c r="AO601" i="1"/>
  <c r="AO591" i="1"/>
  <c r="AO582" i="1"/>
  <c r="AO357" i="1"/>
  <c r="AO408" i="1"/>
  <c r="AO220" i="1"/>
  <c r="AO465" i="1"/>
  <c r="AO688" i="1"/>
  <c r="AO20" i="1"/>
  <c r="AO554" i="1"/>
  <c r="AO194" i="1"/>
  <c r="AO399" i="1"/>
  <c r="AO652" i="1"/>
  <c r="AO695" i="1"/>
  <c r="AO551" i="1"/>
  <c r="AO113" i="1"/>
  <c r="AO684" i="1"/>
  <c r="AO583" i="1"/>
  <c r="AO815" i="1"/>
  <c r="AO239" i="1"/>
  <c r="AO816" i="1"/>
  <c r="AO817" i="1"/>
  <c r="AO818" i="1"/>
  <c r="AO819" i="1"/>
  <c r="AO820" i="1"/>
  <c r="AO166" i="1"/>
  <c r="AO99" i="1"/>
  <c r="AO82" i="1"/>
  <c r="AO786" i="1"/>
  <c r="AO555" i="1"/>
  <c r="AO516" i="1"/>
  <c r="AO212" i="1"/>
  <c r="AO92" i="1"/>
  <c r="AO446" i="1"/>
  <c r="AO821" i="1"/>
  <c r="AO505" i="1"/>
  <c r="AO758" i="1"/>
  <c r="AO302" i="1"/>
  <c r="AO567" i="1"/>
  <c r="AO237" i="1"/>
  <c r="AO144" i="1"/>
  <c r="AO655" i="1"/>
  <c r="AO178" i="1"/>
  <c r="AO151" i="1"/>
  <c r="AO618" i="1"/>
  <c r="AO351" i="1"/>
  <c r="AO51" i="1"/>
  <c r="AO57" i="1"/>
  <c r="AO822" i="1"/>
  <c r="AO295" i="1"/>
  <c r="AO394" i="1"/>
  <c r="AO323" i="1"/>
  <c r="AO418" i="1"/>
  <c r="AO628" i="1"/>
  <c r="AO490" i="1"/>
  <c r="AO697" i="1"/>
  <c r="AO823" i="1"/>
  <c r="AO824" i="1"/>
  <c r="AO154" i="1"/>
  <c r="AO825" i="1"/>
  <c r="AO44" i="1"/>
  <c r="AO440" i="1"/>
  <c r="AO71" i="1"/>
  <c r="AO561" i="1"/>
  <c r="AO648" i="1"/>
  <c r="AO314" i="1"/>
  <c r="AO432" i="1"/>
  <c r="AO481" i="1"/>
  <c r="AO370" i="1"/>
  <c r="AO712" i="1"/>
  <c r="AO430" i="1"/>
  <c r="AO827" i="1"/>
  <c r="AO771" i="1"/>
  <c r="AO828" i="1"/>
  <c r="AO607" i="1"/>
  <c r="AO704" i="1"/>
  <c r="AO168" i="1"/>
  <c r="AO381" i="1"/>
  <c r="AO590" i="1"/>
  <c r="AO612" i="1"/>
  <c r="AO829" i="1"/>
  <c r="AO784" i="1"/>
  <c r="AO395" i="1"/>
  <c r="AO420" i="1"/>
  <c r="AO89" i="1"/>
  <c r="AO830" i="1"/>
  <c r="AO126" i="1"/>
  <c r="AO63" i="1"/>
  <c r="AO95" i="1"/>
  <c r="AO619" i="1"/>
  <c r="AO530" i="1"/>
  <c r="AO303" i="1"/>
  <c r="AO114" i="1"/>
  <c r="AO694" i="1"/>
  <c r="AO331" i="1"/>
  <c r="AO832" i="1"/>
  <c r="AO281" i="1"/>
  <c r="AO723" i="1"/>
  <c r="AO80" i="1"/>
  <c r="AO158" i="1"/>
  <c r="AO224" i="1"/>
  <c r="AO639" i="1"/>
  <c r="AO733" i="1"/>
  <c r="AO155" i="1"/>
  <c r="AO520" i="1"/>
  <c r="AO234" i="1"/>
  <c r="AO679" i="1"/>
  <c r="AO649" i="1"/>
  <c r="AO604" i="1"/>
  <c r="AO366" i="1"/>
  <c r="AO460" i="1"/>
  <c r="AO373" i="1"/>
  <c r="AO138" i="1"/>
  <c r="AO613" i="1"/>
  <c r="AO620" i="1"/>
  <c r="AO221" i="1"/>
  <c r="AO189" i="1"/>
  <c r="AO148" i="1"/>
  <c r="AO507" i="1"/>
  <c r="AO672" i="1"/>
  <c r="AO637" i="1"/>
  <c r="AO833" i="1"/>
  <c r="AO236" i="1"/>
  <c r="AO146" i="1"/>
  <c r="AO834" i="1"/>
  <c r="AO616" i="1"/>
  <c r="AO785" i="1"/>
  <c r="AO233" i="1"/>
  <c r="AO65" i="1"/>
  <c r="AO746" i="1"/>
  <c r="AO145" i="1"/>
  <c r="AO288" i="1"/>
  <c r="AO134" i="1"/>
  <c r="AO835" i="1"/>
  <c r="AO379" i="1"/>
  <c r="AO77" i="1"/>
  <c r="AO699" i="1"/>
  <c r="AO836" i="1"/>
  <c r="AO689" i="1"/>
  <c r="AO257" i="1"/>
  <c r="AO614" i="1"/>
  <c r="AO594" i="1"/>
  <c r="AO837" i="1"/>
  <c r="AO401" i="1"/>
  <c r="AO609" i="1"/>
  <c r="AO641" i="1"/>
  <c r="AO315" i="1"/>
  <c r="AO804" i="1"/>
  <c r="AO100" i="1"/>
  <c r="AO282" i="1"/>
  <c r="AO407" i="1"/>
  <c r="AO508" i="1"/>
  <c r="AO18" i="1"/>
  <c r="AO756" i="1"/>
  <c r="AO693" i="1"/>
  <c r="AO535" i="1"/>
  <c r="AO93" i="1"/>
  <c r="AO317" i="1"/>
  <c r="AO690" i="1"/>
  <c r="AO396" i="1"/>
  <c r="AO45" i="1"/>
  <c r="AO775" i="1"/>
  <c r="AO9" i="1"/>
  <c r="AO603" i="1"/>
  <c r="AO724" i="1"/>
  <c r="AO510" i="1"/>
  <c r="AO427" i="1"/>
  <c r="AO163" i="1"/>
  <c r="AO653" i="1"/>
  <c r="AO456" i="1"/>
  <c r="AO757" i="1"/>
  <c r="AO289" i="1"/>
  <c r="AO211" i="1"/>
  <c r="AO556" i="1"/>
  <c r="AO290" i="1"/>
  <c r="AO664" i="1"/>
  <c r="AO839" i="1"/>
  <c r="AO207" i="1"/>
  <c r="AO450" i="1"/>
  <c r="AO97" i="1"/>
  <c r="AO663" i="1"/>
  <c r="AO461" i="1"/>
  <c r="AO840" i="1"/>
  <c r="AO22" i="1"/>
  <c r="AO725" i="1"/>
  <c r="AO806" i="1"/>
  <c r="AO519" i="1"/>
  <c r="AO431" i="1"/>
  <c r="AO429" i="1"/>
  <c r="AO826" i="1"/>
  <c r="AO602" i="1"/>
  <c r="AO841" i="1"/>
  <c r="AO127" i="1"/>
  <c r="AO766" i="1"/>
  <c r="AO524" i="1"/>
  <c r="AO656" i="1"/>
  <c r="AO98" i="1"/>
  <c r="AO646" i="1"/>
  <c r="AO808" i="1"/>
  <c r="AO715" i="1"/>
  <c r="AO165" i="1"/>
  <c r="AO123" i="1"/>
  <c r="AO374" i="1"/>
  <c r="AO501" i="1"/>
  <c r="AO842" i="1"/>
  <c r="AO291" i="1"/>
  <c r="AO121" i="1"/>
  <c r="AO196" i="1"/>
  <c r="AO577" i="1"/>
  <c r="AO632" i="1"/>
  <c r="AO249" i="1"/>
  <c r="AO831" i="1"/>
  <c r="AO625" i="1"/>
  <c r="AO533" i="1"/>
  <c r="AO103" i="1"/>
  <c r="AO843" i="1"/>
  <c r="AO33" i="1"/>
  <c r="AO844" i="1"/>
  <c r="AO515" i="1"/>
  <c r="AO164" i="1"/>
  <c r="AO441" i="1"/>
  <c r="AO498" i="1"/>
  <c r="AO135" i="1"/>
  <c r="AO736" i="1"/>
  <c r="AO23" i="1"/>
  <c r="AO721" i="1"/>
  <c r="AO297" i="1"/>
  <c r="AO845" i="1"/>
  <c r="AO442" i="1"/>
  <c r="AO846" i="1"/>
  <c r="AO313" i="1"/>
  <c r="AO773" i="1"/>
  <c r="AO544" i="1"/>
  <c r="AO847" i="1"/>
  <c r="AO534" i="1"/>
  <c r="AO413" i="1"/>
  <c r="AO848" i="1"/>
  <c r="AO326" i="1"/>
  <c r="AO227" i="1"/>
  <c r="AO584" i="1"/>
  <c r="AO541" i="1"/>
  <c r="AO521" i="1"/>
  <c r="AO299" i="1"/>
  <c r="AO52" i="1"/>
  <c r="AO849" i="1"/>
  <c r="AO850" i="1"/>
  <c r="AO801" i="1"/>
  <c r="AO573" i="1"/>
  <c r="AO209" i="1"/>
  <c r="AO64" i="1"/>
  <c r="AO592" i="1"/>
  <c r="AO659" i="1"/>
  <c r="AO39" i="1"/>
  <c r="AO335" i="1"/>
  <c r="AO447" i="1"/>
  <c r="AO122" i="1"/>
  <c r="AO719" i="1"/>
  <c r="AO306" i="1"/>
  <c r="AO765" i="1"/>
  <c r="AO716" i="1"/>
  <c r="AO851" i="1"/>
  <c r="AO197" i="1"/>
  <c r="AO811" i="1"/>
  <c r="AO108" i="1"/>
  <c r="AO159" i="1"/>
  <c r="AO527" i="1"/>
  <c r="AO547" i="1"/>
  <c r="AO245" i="1"/>
  <c r="AO69" i="1"/>
  <c r="AO124" i="1"/>
  <c r="AO53" i="1"/>
  <c r="AO852" i="1"/>
  <c r="AO780" i="1"/>
  <c r="AO853" i="1"/>
  <c r="AO854" i="1"/>
  <c r="AO491" i="1"/>
  <c r="AO537" i="1"/>
  <c r="AO34" i="1"/>
  <c r="AO3" i="1"/>
  <c r="AO287" i="1"/>
  <c r="AO444" i="1"/>
  <c r="AO16" i="1"/>
  <c r="AO260" i="1"/>
  <c r="AO58" i="1"/>
  <c r="AO84" i="1"/>
  <c r="AO380" i="1"/>
  <c r="AO190" i="1"/>
  <c r="AO434" i="1"/>
  <c r="AO238" i="1"/>
  <c r="AO855" i="1"/>
  <c r="AO308" i="1"/>
  <c r="AO75" i="1"/>
  <c r="AO438" i="1"/>
  <c r="AO624" i="1"/>
  <c r="AO856" i="1"/>
  <c r="AO424" i="1"/>
  <c r="AO428" i="1"/>
  <c r="AO458" i="1"/>
  <c r="AO642" i="1"/>
  <c r="AO635" i="1"/>
  <c r="AO352" i="1"/>
  <c r="AO49" i="1"/>
  <c r="AO319" i="1"/>
  <c r="AO587" i="1"/>
  <c r="AO657" i="1"/>
  <c r="AO499" i="1"/>
  <c r="AO382" i="1"/>
  <c r="AO307" i="1"/>
  <c r="AO662" i="1"/>
  <c r="AO298" i="1"/>
  <c r="AO754" i="1"/>
  <c r="AO421" i="1"/>
  <c r="AO857" i="1"/>
  <c r="AO276" i="1"/>
  <c r="AO469" i="1"/>
  <c r="AO327" i="1"/>
  <c r="AO497" i="1"/>
  <c r="AO375" i="1"/>
  <c r="AO415" i="1"/>
  <c r="AO578" i="1"/>
  <c r="AO115" i="1"/>
  <c r="AO595" i="1"/>
  <c r="AO858" i="1"/>
  <c r="AO859" i="1"/>
  <c r="AO480" i="1"/>
  <c r="AO654" i="1"/>
  <c r="AO383" i="1"/>
  <c r="AO802" i="1"/>
  <c r="AO860" i="1"/>
  <c r="AO606" i="1"/>
  <c r="AO588" i="1"/>
  <c r="AO661" i="1"/>
  <c r="AO243" i="1"/>
  <c r="AO548" i="1"/>
  <c r="AO861" i="1"/>
  <c r="AO119" i="1"/>
  <c r="AO393" i="1"/>
  <c r="AO862" i="1"/>
  <c r="AO681" i="1"/>
  <c r="AO782" i="1"/>
  <c r="AO340" i="1"/>
  <c r="AO46" i="1"/>
  <c r="AO863" i="1"/>
  <c r="AO263" i="1"/>
  <c r="AO788" i="1"/>
  <c r="AO293" i="1"/>
  <c r="AO864" i="1"/>
  <c r="AO172" i="1"/>
  <c r="AO568" i="1"/>
  <c r="AO24" i="1"/>
  <c r="AO325" i="1"/>
  <c r="AO565" i="1"/>
  <c r="AO78" i="1"/>
  <c r="AO665" i="1"/>
  <c r="AO865" i="1"/>
  <c r="AO242" i="1"/>
  <c r="AO466" i="1"/>
  <c r="AO866" i="1"/>
  <c r="AO722" i="1"/>
  <c r="AO169" i="1"/>
  <c r="AO181" i="1"/>
  <c r="AO838" i="1"/>
  <c r="AO266" i="1"/>
  <c r="AO79" i="1"/>
  <c r="AO463" i="1"/>
  <c r="AO867" i="1"/>
  <c r="AO349" i="1"/>
  <c r="AO482" i="1"/>
  <c r="AO222" i="1"/>
  <c r="AO157" i="1"/>
  <c r="AO750" i="1"/>
  <c r="AO781" i="1"/>
  <c r="AO13" i="1"/>
  <c r="AO674" i="1"/>
  <c r="AO160" i="1"/>
  <c r="AO195" i="1"/>
  <c r="AO348" i="1"/>
  <c r="AO709" i="1"/>
  <c r="AO277" i="1"/>
  <c r="AO47" i="1"/>
  <c r="AO19" i="1"/>
  <c r="AO713" i="1"/>
  <c r="AO729" i="1"/>
  <c r="AO871" i="1"/>
  <c r="AO36" i="1"/>
  <c r="AO868" i="1"/>
  <c r="AO70" i="1"/>
  <c r="AO538" i="1"/>
  <c r="AO66" i="1"/>
  <c r="AO869" i="1"/>
  <c r="AO72" i="1"/>
  <c r="AO213" i="1"/>
  <c r="AO529" i="1"/>
  <c r="AO714" i="1"/>
  <c r="AO353" i="1"/>
  <c r="AO81" i="1"/>
  <c r="AO129" i="1"/>
  <c r="AO643" i="1"/>
  <c r="AO574" i="1"/>
  <c r="AO691" i="1"/>
  <c r="AO539" i="1"/>
  <c r="AO403" i="1"/>
  <c r="AO182" i="1"/>
  <c r="AO73" i="1"/>
  <c r="AO87" i="1"/>
  <c r="AO870" i="1"/>
  <c r="AO322" i="1"/>
  <c r="AO800" i="1"/>
  <c r="AO132" i="1"/>
  <c r="AO666" i="1"/>
  <c r="AO495" i="1"/>
  <c r="AO286" i="1"/>
  <c r="AO528" i="1"/>
  <c r="AO29" i="1"/>
  <c r="AO360" i="1"/>
  <c r="AO522" i="1"/>
  <c r="AO484" i="1"/>
  <c r="AO669" i="1"/>
  <c r="AO512" i="1"/>
  <c r="AO503" i="1"/>
  <c r="AO214" i="1"/>
  <c r="AO443" i="1"/>
  <c r="AO173" i="1"/>
  <c r="AO667" i="1"/>
  <c r="AO562" i="1"/>
  <c r="AO337" i="1"/>
  <c r="AO59" i="1"/>
  <c r="AO336" i="1"/>
  <c r="AO284" i="1"/>
  <c r="AO872" i="1"/>
  <c r="AO256" i="1"/>
  <c r="AO873" i="1"/>
  <c r="AO285" i="1"/>
  <c r="AO390" i="1"/>
  <c r="AO467" i="1"/>
  <c r="AO272" i="1"/>
  <c r="AO874" i="1"/>
  <c r="AO875" i="1"/>
  <c r="AO621" i="1"/>
  <c r="AO876" i="1"/>
  <c r="AO789" i="1"/>
  <c r="AO794" i="1"/>
  <c r="AO131" i="1"/>
  <c r="AO133" i="1"/>
  <c r="AO909" i="1"/>
  <c r="AO877" i="1"/>
  <c r="AO799" i="1"/>
  <c r="AO174" i="1"/>
  <c r="AO332" i="1"/>
  <c r="AO177" i="1"/>
  <c r="AO30" i="1"/>
  <c r="AO878" i="1"/>
  <c r="AO449" i="1"/>
  <c r="AO566" i="1"/>
  <c r="AO879" i="1"/>
  <c r="AO41" i="1"/>
  <c r="AO569" i="1"/>
  <c r="AO5" i="1"/>
  <c r="AO880" i="1"/>
  <c r="AO433" i="1"/>
  <c r="AO141" i="1"/>
  <c r="AO718" i="1"/>
  <c r="AO881" i="1"/>
  <c r="AO705" i="1"/>
  <c r="AO882" i="1"/>
  <c r="AO559" i="1"/>
  <c r="AO812" i="1"/>
  <c r="AO883" i="1"/>
  <c r="AO156" i="1"/>
  <c r="AO668" i="1"/>
  <c r="AO633" i="1"/>
  <c r="AO457" i="1"/>
  <c r="AO884" i="1"/>
  <c r="AO170" i="1"/>
  <c r="AO12" i="1"/>
  <c r="AO42" i="1"/>
  <c r="AO405" i="1"/>
  <c r="AO448" i="1"/>
  <c r="AO215" i="1"/>
  <c r="AO599" i="1"/>
  <c r="AO885" i="1"/>
  <c r="AO109" i="1"/>
  <c r="AO474" i="1"/>
  <c r="AO104" i="1"/>
  <c r="AO304" i="1"/>
  <c r="AO500" i="1"/>
  <c r="AO171" i="1"/>
  <c r="AO629" i="1"/>
  <c r="AO910" i="1"/>
  <c r="AO219" i="1"/>
  <c r="AO387" i="1"/>
  <c r="AO726" i="1"/>
  <c r="AO183" i="1"/>
  <c r="AO128" i="1"/>
  <c r="AO485" i="1"/>
  <c r="AO685" i="1"/>
  <c r="AO687" i="1"/>
  <c r="AO783" i="1"/>
  <c r="AO111" i="1"/>
  <c r="AO792" i="1"/>
  <c r="AO517" i="1"/>
  <c r="AO338" i="1"/>
  <c r="AO376" i="1"/>
  <c r="AO416" i="1"/>
  <c r="AO790" i="1"/>
  <c r="AO558" i="1"/>
  <c r="AO911" i="1"/>
  <c r="AO232" i="1"/>
  <c r="AO769" i="1"/>
  <c r="AO435" i="1"/>
  <c r="AO318" i="1"/>
  <c r="AO202" i="1"/>
  <c r="AO321" i="1"/>
  <c r="AO147" i="1"/>
  <c r="AO475" i="1"/>
  <c r="AO358" i="1"/>
  <c r="AO496" i="1"/>
  <c r="AO311" i="1"/>
  <c r="AO225" i="1"/>
  <c r="AO647" i="1"/>
  <c r="AO886" i="1"/>
  <c r="AO453" i="1"/>
  <c r="AO406" i="1"/>
  <c r="AO476" i="1"/>
  <c r="AO576" i="1"/>
  <c r="AO626" i="1"/>
  <c r="AO546" i="1"/>
  <c r="AO734" i="1"/>
  <c r="AO739" i="1"/>
  <c r="AO798" i="1"/>
  <c r="AO309" i="1"/>
  <c r="AO912" i="1"/>
  <c r="AO244" i="1"/>
  <c r="AO640" i="1"/>
  <c r="AO341" i="1"/>
  <c r="AO636" i="1"/>
  <c r="AO333" i="1"/>
  <c r="AO593" i="1"/>
  <c r="AO14" i="1"/>
  <c r="AO350" i="1"/>
  <c r="AO6" i="1"/>
  <c r="AO913" i="1"/>
  <c r="AO887" i="1"/>
  <c r="AO101" i="1"/>
  <c r="AO391" i="1"/>
  <c r="AO216" i="1"/>
  <c r="AO292" i="1"/>
  <c r="AO278" i="1"/>
  <c r="AO404" i="1"/>
  <c r="AO54" i="1"/>
  <c r="AO509" i="1"/>
  <c r="AO400" i="1"/>
  <c r="AO120" i="1"/>
  <c r="AO888" i="1"/>
  <c r="AO889" i="1"/>
  <c r="AO809" i="1"/>
  <c r="AO727" i="1"/>
  <c r="AO361" i="1"/>
  <c r="AO436" i="1"/>
  <c r="AO149" i="1"/>
  <c r="AO184" i="1"/>
  <c r="AO102" i="1"/>
  <c r="AO486" i="1"/>
  <c r="AO682" i="1"/>
  <c r="AO110" i="1"/>
  <c r="AO279" i="1"/>
  <c r="AO563" i="1"/>
  <c r="AO686" i="1"/>
  <c r="AO890" i="1"/>
  <c r="AO701" i="1"/>
  <c r="AO152" i="1"/>
  <c r="AO250" i="1"/>
  <c r="AO296" i="1"/>
  <c r="AO741" i="1"/>
  <c r="AO2" i="1"/>
  <c r="AO737" i="1"/>
  <c r="AO575" i="1"/>
  <c r="AO658" i="1"/>
  <c r="AO320" i="1"/>
  <c r="AO153" i="1"/>
  <c r="AO557" i="1"/>
  <c r="AO371" i="1"/>
  <c r="AO891" i="1"/>
  <c r="AO240" i="1"/>
  <c r="AO892" i="1"/>
  <c r="AO511" i="1"/>
  <c r="AO710" i="1"/>
  <c r="AO136" i="1"/>
  <c r="AO631" i="1"/>
  <c r="AO40" i="1"/>
  <c r="AO893" i="1"/>
  <c r="AO894" i="1"/>
  <c r="AO268" i="1"/>
  <c r="AO37" i="1"/>
  <c r="AO540" i="1"/>
  <c r="AO200" i="1"/>
  <c r="AO570" i="1"/>
  <c r="AO175" i="1"/>
  <c r="AO630" i="1"/>
  <c r="AO316" i="1"/>
  <c r="AO264" i="1"/>
  <c r="AO531" i="1"/>
  <c r="AO186" i="1"/>
  <c r="AO334" i="1"/>
  <c r="AO622" i="1"/>
  <c r="AO179" i="1"/>
  <c r="AO644" i="1"/>
  <c r="AO262" i="1"/>
  <c r="AO895" i="1"/>
  <c r="AO140" i="1"/>
  <c r="AO670" i="1"/>
  <c r="AO344" i="1"/>
  <c r="AO83" i="1"/>
  <c r="AO793" i="1"/>
  <c r="AO504" i="1"/>
  <c r="AO409" i="1"/>
  <c r="AO762" i="1"/>
  <c r="AO564" i="1"/>
  <c r="AO377" i="1"/>
  <c r="AO492" i="1"/>
  <c r="AO747" i="1"/>
  <c r="AO650" i="1"/>
  <c r="AO88" i="1"/>
  <c r="AO411" i="1"/>
  <c r="AO208" i="1"/>
  <c r="AO623" i="1"/>
  <c r="AO706" i="1"/>
  <c r="AO7" i="1"/>
  <c r="AO896" i="1"/>
  <c r="AO560" i="1"/>
  <c r="AO328" i="1"/>
  <c r="AO897" i="1"/>
  <c r="AO487" i="1"/>
  <c r="AO235" i="1"/>
  <c r="AO410" i="1"/>
  <c r="AO439" i="1"/>
  <c r="AO545" i="1"/>
  <c r="AO581" i="1"/>
  <c r="AO717" i="1"/>
  <c r="AO388" i="1"/>
  <c r="AO796" i="1"/>
  <c r="AO898" i="1"/>
  <c r="AO676" i="1"/>
  <c r="AO525" i="1"/>
  <c r="AO608" i="1"/>
  <c r="AO191" i="1"/>
  <c r="AO356" i="1"/>
  <c r="AO899" i="1"/>
  <c r="AO417" i="1"/>
  <c r="AO776" i="1"/>
  <c r="AO526" i="1"/>
  <c r="AO900" i="1"/>
  <c r="AO767" i="1"/>
  <c r="AO488" i="1"/>
  <c r="AO116" i="1"/>
  <c r="AO683" i="1"/>
  <c r="AO454" i="1"/>
  <c r="AO76" i="1"/>
  <c r="AO137" i="1"/>
  <c r="AO600" i="1"/>
  <c r="AO610" i="1"/>
  <c r="AO579" i="1"/>
  <c r="AO228" i="1"/>
  <c r="AO112" i="1"/>
  <c r="AO117" i="1"/>
  <c r="AO596" i="1"/>
  <c r="AO901" i="1"/>
  <c r="AO258" i="1"/>
  <c r="AO204" i="1"/>
  <c r="AO192" i="1"/>
  <c r="AO43" i="1"/>
  <c r="AO902" i="1"/>
  <c r="AO38" i="1"/>
  <c r="AO532" i="1"/>
  <c r="AO549" i="1"/>
  <c r="AO634" i="1"/>
  <c r="AO749" i="1"/>
  <c r="AO489" i="1"/>
  <c r="AO903" i="1"/>
  <c r="AO384" i="1"/>
  <c r="AO572" i="1"/>
  <c r="AO617" i="1"/>
  <c r="AO627" i="1"/>
  <c r="AO904" i="1"/>
  <c r="AO11" i="1"/>
  <c r="AO473" i="1"/>
  <c r="AO677" i="1"/>
  <c r="AO275" i="1"/>
  <c r="AO905" i="1"/>
  <c r="AO740" i="1"/>
  <c r="AO25" i="1"/>
  <c r="AO742" i="1"/>
  <c r="AO90" i="1"/>
  <c r="AO397" i="1"/>
  <c r="AO477" i="1"/>
  <c r="AO586" i="1"/>
  <c r="AO451" i="1"/>
  <c r="AO8" i="1"/>
  <c r="AO585" i="1"/>
  <c r="AO205" i="1"/>
  <c r="AO707" i="1"/>
  <c r="AO536" i="1"/>
  <c r="AO167" i="1"/>
  <c r="AO342" i="1"/>
  <c r="AO810" i="1"/>
  <c r="AO198" i="1"/>
  <c r="AO74" i="1"/>
  <c r="AO372" i="1"/>
  <c r="AO906" i="1"/>
  <c r="AO907" i="1"/>
  <c r="AO188" i="1"/>
  <c r="AO611" i="1"/>
  <c r="AO402" i="1"/>
  <c r="AO700" i="1"/>
  <c r="AO807" i="1"/>
  <c r="AO759" i="1"/>
  <c r="AO787" i="1"/>
  <c r="AO755" i="1"/>
  <c r="AO414" i="1"/>
  <c r="AO908" i="1"/>
  <c r="AO68" i="1"/>
  <c r="AO94" i="1"/>
  <c r="AO21" i="1"/>
  <c r="AO805" i="1"/>
  <c r="AO252" i="1"/>
  <c r="AM300" i="1"/>
  <c r="AV300" i="1" s="1"/>
  <c r="AM270" i="1"/>
  <c r="AV270" i="1" s="1"/>
  <c r="AM389" i="1"/>
  <c r="AV389" i="1" s="1"/>
  <c r="AM744" i="1"/>
  <c r="AV744" i="1" s="1"/>
  <c r="AM176" i="1"/>
  <c r="AV176" i="1" s="1"/>
  <c r="AM597" i="1"/>
  <c r="AV597" i="1" s="1"/>
  <c r="AM513" i="1"/>
  <c r="AV513" i="1" s="1"/>
  <c r="AM161" i="1"/>
  <c r="AV161" i="1" s="1"/>
  <c r="AM752" i="1"/>
  <c r="AV752" i="1" s="1"/>
  <c r="AM598" i="1"/>
  <c r="AV598" i="1" s="1"/>
  <c r="AM254" i="1"/>
  <c r="AV254" i="1" s="1"/>
  <c r="AM419" i="1"/>
  <c r="AV419" i="1" s="1"/>
  <c r="AM797" i="1"/>
  <c r="AV797" i="1" s="1"/>
  <c r="AM425" i="1"/>
  <c r="AV425" i="1" s="1"/>
  <c r="AM310" i="1"/>
  <c r="AV310" i="1" s="1"/>
  <c r="AM269" i="1"/>
  <c r="AV269" i="1" s="1"/>
  <c r="AM229" i="1"/>
  <c r="AV229" i="1" s="1"/>
  <c r="AM675" i="1"/>
  <c r="AV675" i="1" s="1"/>
  <c r="AM259" i="1"/>
  <c r="AV259" i="1" s="1"/>
  <c r="AM455" i="1"/>
  <c r="AV455" i="1" s="1"/>
  <c r="AM462" i="1"/>
  <c r="AV462" i="1" s="1"/>
  <c r="AM452" i="1"/>
  <c r="AV452" i="1" s="1"/>
  <c r="AM745" i="1"/>
  <c r="AV745" i="1" s="1"/>
  <c r="AM85" i="1"/>
  <c r="AV85" i="1" s="1"/>
  <c r="AM345" i="1"/>
  <c r="AV345" i="1" s="1"/>
  <c r="AM386" i="1"/>
  <c r="AV386" i="1" s="1"/>
  <c r="AM778" i="1"/>
  <c r="AV778" i="1" s="1"/>
  <c r="AM346" i="1"/>
  <c r="AV346" i="1" s="1"/>
  <c r="AM720" i="1"/>
  <c r="AV720" i="1" s="1"/>
  <c r="AM50" i="1"/>
  <c r="AV50" i="1" s="1"/>
  <c r="AM638" i="1"/>
  <c r="AV638" i="1" s="1"/>
  <c r="AM385" i="1"/>
  <c r="AV385" i="1" s="1"/>
  <c r="AM255" i="1"/>
  <c r="AV255" i="1" s="1"/>
  <c r="AM471" i="1"/>
  <c r="AV471" i="1" s="1"/>
  <c r="AM180" i="1"/>
  <c r="AV180" i="1" s="1"/>
  <c r="AM362" i="1"/>
  <c r="AV362" i="1" s="1"/>
  <c r="AM696" i="1"/>
  <c r="AV696" i="1" s="1"/>
  <c r="AM210" i="1"/>
  <c r="AV210" i="1" s="1"/>
  <c r="AM378" i="1"/>
  <c r="AV378" i="1" s="1"/>
  <c r="AM343" i="1"/>
  <c r="AV343" i="1" s="1"/>
  <c r="AM398" i="1"/>
  <c r="AV398" i="1" s="1"/>
  <c r="AM795" i="1"/>
  <c r="AV795" i="1" s="1"/>
  <c r="AM271" i="1"/>
  <c r="AV271" i="1" s="1"/>
  <c r="AM217" i="1"/>
  <c r="AV217" i="1" s="1"/>
  <c r="AM15" i="1"/>
  <c r="AV15" i="1" s="1"/>
  <c r="AM246" i="1"/>
  <c r="AV246" i="1" s="1"/>
  <c r="AM280" i="1"/>
  <c r="AV280" i="1" s="1"/>
  <c r="AM468" i="1"/>
  <c r="AV468" i="1" s="1"/>
  <c r="AM125" i="1"/>
  <c r="AV125" i="1" s="1"/>
  <c r="AM803" i="1"/>
  <c r="AV803" i="1" s="1"/>
  <c r="AM143" i="1"/>
  <c r="AV143" i="1" s="1"/>
  <c r="AM363" i="1"/>
  <c r="AV363" i="1" s="1"/>
  <c r="AM553" i="1"/>
  <c r="AV553" i="1" s="1"/>
  <c r="AM615" i="1"/>
  <c r="AV615" i="1" s="1"/>
  <c r="AM660" i="1"/>
  <c r="AV660" i="1" s="1"/>
  <c r="AM437" i="1"/>
  <c r="AV437" i="1" s="1"/>
  <c r="AM48" i="1"/>
  <c r="AV48" i="1" s="1"/>
  <c r="AM301" i="1"/>
  <c r="AV301" i="1" s="1"/>
  <c r="AM251" i="1"/>
  <c r="AV251" i="1" s="1"/>
  <c r="AM241" i="1"/>
  <c r="AV241" i="1" s="1"/>
  <c r="AM139" i="1"/>
  <c r="AV139" i="1" s="1"/>
  <c r="AM367" i="1"/>
  <c r="AV367" i="1" s="1"/>
  <c r="AM27" i="1"/>
  <c r="AV27" i="1" s="1"/>
  <c r="AM422" i="1"/>
  <c r="AV422" i="1" s="1"/>
  <c r="AM142" i="1"/>
  <c r="AV142" i="1" s="1"/>
  <c r="AM743" i="1"/>
  <c r="AV743" i="1" s="1"/>
  <c r="AM478" i="1"/>
  <c r="AV478" i="1" s="1"/>
  <c r="AM347" i="1"/>
  <c r="AV347" i="1" s="1"/>
  <c r="AM130" i="1"/>
  <c r="AV130" i="1" s="1"/>
  <c r="AM730" i="1"/>
  <c r="AV730" i="1" s="1"/>
  <c r="AM580" i="1"/>
  <c r="AV580" i="1" s="1"/>
  <c r="AM56" i="1"/>
  <c r="AV56" i="1" s="1"/>
  <c r="AM552" i="1"/>
  <c r="AV552" i="1" s="1"/>
  <c r="AM518" i="1"/>
  <c r="AV518" i="1" s="1"/>
  <c r="AM731" i="1"/>
  <c r="AV731" i="1" s="1"/>
  <c r="AM368" i="1"/>
  <c r="AV368" i="1" s="1"/>
  <c r="AM708" i="1"/>
  <c r="AV708" i="1" s="1"/>
  <c r="AM678" i="1"/>
  <c r="AV678" i="1" s="1"/>
  <c r="AM774" i="1"/>
  <c r="AV774" i="1" s="1"/>
  <c r="AM273" i="1"/>
  <c r="AV273" i="1" s="1"/>
  <c r="AM542" i="1"/>
  <c r="AV542" i="1" s="1"/>
  <c r="AM267" i="1"/>
  <c r="AV267" i="1" s="1"/>
  <c r="AM364" i="1"/>
  <c r="AV364" i="1" s="1"/>
  <c r="AM330" i="1"/>
  <c r="AV330" i="1" s="1"/>
  <c r="AM261" i="1"/>
  <c r="AV261" i="1" s="1"/>
  <c r="AM230" i="1"/>
  <c r="AV230" i="1" s="1"/>
  <c r="AM265" i="1"/>
  <c r="AV265" i="1" s="1"/>
  <c r="AM106" i="1"/>
  <c r="AV106" i="1" s="1"/>
  <c r="AM305" i="1"/>
  <c r="AV305" i="1" s="1"/>
  <c r="AM605" i="1"/>
  <c r="AV605" i="1" s="1"/>
  <c r="AM523" i="1"/>
  <c r="AV523" i="1" s="1"/>
  <c r="AM459" i="1"/>
  <c r="AV459" i="1" s="1"/>
  <c r="AM231" i="1"/>
  <c r="AV231" i="1" s="1"/>
  <c r="AM201" i="1"/>
  <c r="AV201" i="1" s="1"/>
  <c r="AM751" i="1"/>
  <c r="AV751" i="1" s="1"/>
  <c r="AM193" i="1"/>
  <c r="AV193" i="1" s="1"/>
  <c r="AM711" i="1"/>
  <c r="AV711" i="1" s="1"/>
  <c r="AM28" i="1"/>
  <c r="AV28" i="1" s="1"/>
  <c r="AM445" i="1"/>
  <c r="AV445" i="1" s="1"/>
  <c r="AM763" i="1"/>
  <c r="AV763" i="1" s="1"/>
  <c r="AM218" i="1"/>
  <c r="AV218" i="1" s="1"/>
  <c r="AM671" i="1"/>
  <c r="AV671" i="1" s="1"/>
  <c r="AM483" i="1"/>
  <c r="AV483" i="1" s="1"/>
  <c r="AM472" i="1"/>
  <c r="AV472" i="1" s="1"/>
  <c r="AM223" i="1"/>
  <c r="AV223" i="1" s="1"/>
  <c r="AM67" i="1"/>
  <c r="AV67" i="1" s="1"/>
  <c r="AM365" i="1"/>
  <c r="AV365" i="1" s="1"/>
  <c r="AM283" i="1"/>
  <c r="AV283" i="1" s="1"/>
  <c r="AM735" i="1"/>
  <c r="AV735" i="1" s="1"/>
  <c r="AM355" i="1"/>
  <c r="AV355" i="1" s="1"/>
  <c r="AM651" i="1"/>
  <c r="AV651" i="1" s="1"/>
  <c r="AM10" i="1"/>
  <c r="AV10" i="1" s="1"/>
  <c r="AM60" i="1"/>
  <c r="AV60" i="1" s="1"/>
  <c r="AM324" i="1"/>
  <c r="AV324" i="1" s="1"/>
  <c r="AM426" i="1"/>
  <c r="AV426" i="1" s="1"/>
  <c r="AM502" i="1"/>
  <c r="AV502" i="1" s="1"/>
  <c r="AM62" i="1"/>
  <c r="AV62" i="1" s="1"/>
  <c r="AM339" i="1"/>
  <c r="AV339" i="1" s="1"/>
  <c r="AM203" i="1"/>
  <c r="AV203" i="1" s="1"/>
  <c r="AM274" i="1"/>
  <c r="AV274" i="1" s="1"/>
  <c r="AM732" i="1"/>
  <c r="AV732" i="1" s="1"/>
  <c r="AM392" i="1"/>
  <c r="AV392" i="1" s="1"/>
  <c r="AM4" i="1"/>
  <c r="AV4" i="1" s="1"/>
  <c r="AM253" i="1"/>
  <c r="AV253" i="1" s="1"/>
  <c r="AM680" i="1"/>
  <c r="AV680" i="1" s="1"/>
  <c r="AM772" i="1"/>
  <c r="AV772" i="1" s="1"/>
  <c r="AM702" i="1"/>
  <c r="AV702" i="1" s="1"/>
  <c r="AM412" i="1"/>
  <c r="AV412" i="1" s="1"/>
  <c r="AM247" i="1"/>
  <c r="AV247" i="1" s="1"/>
  <c r="AM31" i="1"/>
  <c r="AV31" i="1" s="1"/>
  <c r="AM779" i="1"/>
  <c r="AV779" i="1" s="1"/>
  <c r="AM369" i="1"/>
  <c r="AV369" i="1" s="1"/>
  <c r="AM26" i="1"/>
  <c r="AV26" i="1" s="1"/>
  <c r="AM673" i="1"/>
  <c r="AV673" i="1" s="1"/>
  <c r="AM738" i="1"/>
  <c r="AV738" i="1" s="1"/>
  <c r="AM493" i="1"/>
  <c r="AV493" i="1" s="1"/>
  <c r="AM748" i="1"/>
  <c r="AV748" i="1" s="1"/>
  <c r="AM17" i="1"/>
  <c r="AV17" i="1" s="1"/>
  <c r="AM479" i="1"/>
  <c r="AV479" i="1" s="1"/>
  <c r="AM185" i="1"/>
  <c r="AV185" i="1" s="1"/>
  <c r="AM105" i="1"/>
  <c r="AV105" i="1" s="1"/>
  <c r="AM55" i="1"/>
  <c r="AV55" i="1" s="1"/>
  <c r="AM107" i="1"/>
  <c r="AV107" i="1" s="1"/>
  <c r="AM199" i="1"/>
  <c r="AV199" i="1" s="1"/>
  <c r="AM571" i="1"/>
  <c r="AV571" i="1" s="1"/>
  <c r="AM698" i="1"/>
  <c r="AV698" i="1" s="1"/>
  <c r="AM423" i="1"/>
  <c r="AV423" i="1" s="1"/>
  <c r="AM494" i="1"/>
  <c r="AV494" i="1" s="1"/>
  <c r="AM35" i="1"/>
  <c r="AV35" i="1" s="1"/>
  <c r="AM86" i="1"/>
  <c r="AV86" i="1" s="1"/>
  <c r="AM226" i="1"/>
  <c r="AV226" i="1" s="1"/>
  <c r="AM206" i="1"/>
  <c r="AV206" i="1" s="1"/>
  <c r="AM770" i="1"/>
  <c r="AV770" i="1" s="1"/>
  <c r="AM61" i="1"/>
  <c r="AV61" i="1" s="1"/>
  <c r="AM464" i="1"/>
  <c r="AV464" i="1" s="1"/>
  <c r="AM550" i="1"/>
  <c r="AV550" i="1" s="1"/>
  <c r="AM359" i="1"/>
  <c r="AV359" i="1" s="1"/>
  <c r="AM312" i="1"/>
  <c r="AV312" i="1" s="1"/>
  <c r="AM470" i="1"/>
  <c r="AV470" i="1" s="1"/>
  <c r="AM791" i="1"/>
  <c r="AV791" i="1" s="1"/>
  <c r="AM692" i="1"/>
  <c r="AV692" i="1" s="1"/>
  <c r="AM91" i="1"/>
  <c r="AV91" i="1" s="1"/>
  <c r="AM768" i="1"/>
  <c r="AV768" i="1" s="1"/>
  <c r="AM760" i="1"/>
  <c r="AV760" i="1" s="1"/>
  <c r="AM813" i="1"/>
  <c r="AV813" i="1" s="1"/>
  <c r="AM506" i="1"/>
  <c r="AV506" i="1" s="1"/>
  <c r="AM728" i="1"/>
  <c r="AV728" i="1" s="1"/>
  <c r="AM814" i="1"/>
  <c r="AV814" i="1" s="1"/>
  <c r="AM764" i="1"/>
  <c r="AV764" i="1" s="1"/>
  <c r="AM753" i="1"/>
  <c r="AV753" i="1" s="1"/>
  <c r="AM514" i="1"/>
  <c r="AV514" i="1" s="1"/>
  <c r="AM703" i="1"/>
  <c r="AV703" i="1" s="1"/>
  <c r="AM150" i="1"/>
  <c r="AV150" i="1" s="1"/>
  <c r="AM777" i="1"/>
  <c r="AV777" i="1" s="1"/>
  <c r="AM32" i="1"/>
  <c r="AV32" i="1" s="1"/>
  <c r="AM543" i="1"/>
  <c r="AV543" i="1" s="1"/>
  <c r="AM187" i="1"/>
  <c r="AV187" i="1" s="1"/>
  <c r="AM329" i="1"/>
  <c r="AV329" i="1" s="1"/>
  <c r="AM96" i="1"/>
  <c r="AV96" i="1" s="1"/>
  <c r="AM294" i="1"/>
  <c r="AV294" i="1" s="1"/>
  <c r="AM761" i="1"/>
  <c r="AV761" i="1" s="1"/>
  <c r="AM354" i="1"/>
  <c r="AV354" i="1" s="1"/>
  <c r="AM645" i="1"/>
  <c r="AV645" i="1" s="1"/>
  <c r="AM118" i="1"/>
  <c r="AV118" i="1" s="1"/>
  <c r="AM162" i="1"/>
  <c r="AV162" i="1" s="1"/>
  <c r="AM248" i="1"/>
  <c r="AV248" i="1" s="1"/>
  <c r="AM589" i="1"/>
  <c r="AV589" i="1" s="1"/>
  <c r="AM601" i="1"/>
  <c r="AV601" i="1" s="1"/>
  <c r="AM591" i="1"/>
  <c r="AV591" i="1" s="1"/>
  <c r="AM582" i="1"/>
  <c r="AV582" i="1" s="1"/>
  <c r="AM357" i="1"/>
  <c r="AV357" i="1" s="1"/>
  <c r="AM408" i="1"/>
  <c r="AV408" i="1" s="1"/>
  <c r="AM220" i="1"/>
  <c r="AV220" i="1" s="1"/>
  <c r="AM465" i="1"/>
  <c r="AV465" i="1" s="1"/>
  <c r="AM688" i="1"/>
  <c r="AV688" i="1" s="1"/>
  <c r="AM20" i="1"/>
  <c r="AV20" i="1" s="1"/>
  <c r="AM554" i="1"/>
  <c r="AV554" i="1" s="1"/>
  <c r="AM194" i="1"/>
  <c r="AV194" i="1" s="1"/>
  <c r="AM399" i="1"/>
  <c r="AV399" i="1" s="1"/>
  <c r="AM652" i="1"/>
  <c r="AV652" i="1" s="1"/>
  <c r="AM695" i="1"/>
  <c r="AV695" i="1" s="1"/>
  <c r="AM551" i="1"/>
  <c r="AV551" i="1" s="1"/>
  <c r="AM113" i="1"/>
  <c r="AV113" i="1" s="1"/>
  <c r="AM684" i="1"/>
  <c r="AV684" i="1" s="1"/>
  <c r="AM583" i="1"/>
  <c r="AV583" i="1" s="1"/>
  <c r="AM815" i="1"/>
  <c r="AV815" i="1" s="1"/>
  <c r="AM239" i="1"/>
  <c r="AV239" i="1" s="1"/>
  <c r="AM816" i="1"/>
  <c r="AV816" i="1" s="1"/>
  <c r="AM817" i="1"/>
  <c r="AV817" i="1" s="1"/>
  <c r="AM818" i="1"/>
  <c r="AV818" i="1" s="1"/>
  <c r="AM819" i="1"/>
  <c r="AV819" i="1" s="1"/>
  <c r="AM820" i="1"/>
  <c r="AV820" i="1" s="1"/>
  <c r="AM166" i="1"/>
  <c r="AV166" i="1" s="1"/>
  <c r="AM99" i="1"/>
  <c r="AV99" i="1" s="1"/>
  <c r="AM82" i="1"/>
  <c r="AV82" i="1" s="1"/>
  <c r="AM786" i="1"/>
  <c r="AV786" i="1" s="1"/>
  <c r="AM555" i="1"/>
  <c r="AV555" i="1" s="1"/>
  <c r="AM516" i="1"/>
  <c r="AV516" i="1" s="1"/>
  <c r="AM212" i="1"/>
  <c r="AV212" i="1" s="1"/>
  <c r="AM92" i="1"/>
  <c r="AV92" i="1" s="1"/>
  <c r="AM446" i="1"/>
  <c r="AV446" i="1" s="1"/>
  <c r="AM821" i="1"/>
  <c r="AV821" i="1" s="1"/>
  <c r="AM505" i="1"/>
  <c r="AV505" i="1" s="1"/>
  <c r="AM758" i="1"/>
  <c r="AV758" i="1" s="1"/>
  <c r="AM302" i="1"/>
  <c r="AV302" i="1" s="1"/>
  <c r="AM567" i="1"/>
  <c r="AV567" i="1" s="1"/>
  <c r="AM237" i="1"/>
  <c r="AV237" i="1" s="1"/>
  <c r="AM144" i="1"/>
  <c r="AV144" i="1" s="1"/>
  <c r="AM655" i="1"/>
  <c r="AV655" i="1" s="1"/>
  <c r="AM178" i="1"/>
  <c r="AV178" i="1" s="1"/>
  <c r="AM151" i="1"/>
  <c r="AV151" i="1" s="1"/>
  <c r="AM618" i="1"/>
  <c r="AV618" i="1" s="1"/>
  <c r="AM351" i="1"/>
  <c r="AV351" i="1" s="1"/>
  <c r="AM51" i="1"/>
  <c r="AV51" i="1" s="1"/>
  <c r="AM57" i="1"/>
  <c r="AV57" i="1" s="1"/>
  <c r="AM822" i="1"/>
  <c r="AV822" i="1" s="1"/>
  <c r="AM295" i="1"/>
  <c r="AV295" i="1" s="1"/>
  <c r="AM394" i="1"/>
  <c r="AV394" i="1" s="1"/>
  <c r="AM323" i="1"/>
  <c r="AV323" i="1" s="1"/>
  <c r="AM418" i="1"/>
  <c r="AV418" i="1" s="1"/>
  <c r="AM628" i="1"/>
  <c r="AV628" i="1" s="1"/>
  <c r="AM490" i="1"/>
  <c r="AV490" i="1" s="1"/>
  <c r="AM697" i="1"/>
  <c r="AV697" i="1" s="1"/>
  <c r="AM823" i="1"/>
  <c r="AV823" i="1" s="1"/>
  <c r="AM824" i="1"/>
  <c r="AV824" i="1" s="1"/>
  <c r="AM154" i="1"/>
  <c r="AV154" i="1" s="1"/>
  <c r="AM825" i="1"/>
  <c r="AV825" i="1" s="1"/>
  <c r="AM44" i="1"/>
  <c r="AV44" i="1" s="1"/>
  <c r="AM440" i="1"/>
  <c r="AV440" i="1" s="1"/>
  <c r="AM71" i="1"/>
  <c r="AV71" i="1" s="1"/>
  <c r="AM561" i="1"/>
  <c r="AV561" i="1" s="1"/>
  <c r="AM648" i="1"/>
  <c r="AV648" i="1" s="1"/>
  <c r="AM314" i="1"/>
  <c r="AV314" i="1" s="1"/>
  <c r="AM432" i="1"/>
  <c r="AV432" i="1" s="1"/>
  <c r="AM481" i="1"/>
  <c r="AV481" i="1" s="1"/>
  <c r="AM370" i="1"/>
  <c r="AV370" i="1" s="1"/>
  <c r="AM712" i="1"/>
  <c r="AV712" i="1" s="1"/>
  <c r="AM430" i="1"/>
  <c r="AV430" i="1" s="1"/>
  <c r="AM827" i="1"/>
  <c r="AV827" i="1" s="1"/>
  <c r="AM771" i="1"/>
  <c r="AV771" i="1" s="1"/>
  <c r="AM828" i="1"/>
  <c r="AV828" i="1" s="1"/>
  <c r="AM607" i="1"/>
  <c r="AV607" i="1" s="1"/>
  <c r="AM704" i="1"/>
  <c r="AV704" i="1" s="1"/>
  <c r="AM168" i="1"/>
  <c r="AV168" i="1" s="1"/>
  <c r="AM381" i="1"/>
  <c r="AV381" i="1" s="1"/>
  <c r="AM590" i="1"/>
  <c r="AV590" i="1" s="1"/>
  <c r="AM612" i="1"/>
  <c r="AV612" i="1" s="1"/>
  <c r="AM829" i="1"/>
  <c r="AV829" i="1" s="1"/>
  <c r="AM784" i="1"/>
  <c r="AV784" i="1" s="1"/>
  <c r="AM395" i="1"/>
  <c r="AV395" i="1" s="1"/>
  <c r="AM420" i="1"/>
  <c r="AV420" i="1" s="1"/>
  <c r="AM89" i="1"/>
  <c r="AV89" i="1" s="1"/>
  <c r="AM830" i="1"/>
  <c r="AV830" i="1" s="1"/>
  <c r="AM126" i="1"/>
  <c r="AV126" i="1" s="1"/>
  <c r="AM63" i="1"/>
  <c r="AV63" i="1" s="1"/>
  <c r="AM95" i="1"/>
  <c r="AV95" i="1" s="1"/>
  <c r="AM619" i="1"/>
  <c r="AV619" i="1" s="1"/>
  <c r="AM530" i="1"/>
  <c r="AV530" i="1" s="1"/>
  <c r="AM303" i="1"/>
  <c r="AV303" i="1" s="1"/>
  <c r="AM114" i="1"/>
  <c r="AV114" i="1" s="1"/>
  <c r="AM694" i="1"/>
  <c r="AV694" i="1" s="1"/>
  <c r="AM331" i="1"/>
  <c r="AV331" i="1" s="1"/>
  <c r="AM832" i="1"/>
  <c r="AV832" i="1" s="1"/>
  <c r="AM281" i="1"/>
  <c r="AV281" i="1" s="1"/>
  <c r="AM723" i="1"/>
  <c r="AV723" i="1" s="1"/>
  <c r="AM80" i="1"/>
  <c r="AV80" i="1" s="1"/>
  <c r="AM158" i="1"/>
  <c r="AV158" i="1" s="1"/>
  <c r="AM224" i="1"/>
  <c r="AV224" i="1" s="1"/>
  <c r="AM639" i="1"/>
  <c r="AV639" i="1" s="1"/>
  <c r="AM733" i="1"/>
  <c r="AV733" i="1" s="1"/>
  <c r="AM155" i="1"/>
  <c r="AV155" i="1" s="1"/>
  <c r="AM520" i="1"/>
  <c r="AV520" i="1" s="1"/>
  <c r="AM234" i="1"/>
  <c r="AV234" i="1" s="1"/>
  <c r="AM679" i="1"/>
  <c r="AV679" i="1" s="1"/>
  <c r="AM649" i="1"/>
  <c r="AV649" i="1" s="1"/>
  <c r="AM604" i="1"/>
  <c r="AV604" i="1" s="1"/>
  <c r="AM366" i="1"/>
  <c r="AV366" i="1" s="1"/>
  <c r="AM460" i="1"/>
  <c r="AV460" i="1" s="1"/>
  <c r="AM373" i="1"/>
  <c r="AV373" i="1" s="1"/>
  <c r="AM138" i="1"/>
  <c r="AV138" i="1" s="1"/>
  <c r="AM613" i="1"/>
  <c r="AV613" i="1" s="1"/>
  <c r="AM620" i="1"/>
  <c r="AV620" i="1" s="1"/>
  <c r="AM221" i="1"/>
  <c r="AV221" i="1" s="1"/>
  <c r="AM189" i="1"/>
  <c r="AV189" i="1" s="1"/>
  <c r="AM148" i="1"/>
  <c r="AV148" i="1" s="1"/>
  <c r="AM507" i="1"/>
  <c r="AV507" i="1" s="1"/>
  <c r="AM672" i="1"/>
  <c r="AV672" i="1" s="1"/>
  <c r="AM637" i="1"/>
  <c r="AV637" i="1" s="1"/>
  <c r="AM833" i="1"/>
  <c r="AV833" i="1" s="1"/>
  <c r="AM236" i="1"/>
  <c r="AV236" i="1" s="1"/>
  <c r="AM146" i="1"/>
  <c r="AV146" i="1" s="1"/>
  <c r="AM834" i="1"/>
  <c r="AV834" i="1" s="1"/>
  <c r="AM616" i="1"/>
  <c r="AV616" i="1" s="1"/>
  <c r="AM785" i="1"/>
  <c r="AV785" i="1" s="1"/>
  <c r="AM233" i="1"/>
  <c r="AV233" i="1" s="1"/>
  <c r="AM65" i="1"/>
  <c r="AV65" i="1" s="1"/>
  <c r="AM746" i="1"/>
  <c r="AV746" i="1" s="1"/>
  <c r="AM145" i="1"/>
  <c r="AV145" i="1" s="1"/>
  <c r="AM288" i="1"/>
  <c r="AV288" i="1" s="1"/>
  <c r="AM134" i="1"/>
  <c r="AV134" i="1" s="1"/>
  <c r="AM835" i="1"/>
  <c r="AV835" i="1" s="1"/>
  <c r="AM379" i="1"/>
  <c r="AV379" i="1" s="1"/>
  <c r="AM77" i="1"/>
  <c r="AV77" i="1" s="1"/>
  <c r="AM699" i="1"/>
  <c r="AV699" i="1" s="1"/>
  <c r="AM836" i="1"/>
  <c r="AV836" i="1" s="1"/>
  <c r="AM689" i="1"/>
  <c r="AV689" i="1" s="1"/>
  <c r="AM257" i="1"/>
  <c r="AV257" i="1" s="1"/>
  <c r="AM614" i="1"/>
  <c r="AV614" i="1" s="1"/>
  <c r="AM594" i="1"/>
  <c r="AV594" i="1" s="1"/>
  <c r="AM837" i="1"/>
  <c r="AV837" i="1" s="1"/>
  <c r="AM401" i="1"/>
  <c r="AV401" i="1" s="1"/>
  <c r="AM609" i="1"/>
  <c r="AV609" i="1" s="1"/>
  <c r="AM641" i="1"/>
  <c r="AV641" i="1" s="1"/>
  <c r="AM315" i="1"/>
  <c r="AV315" i="1" s="1"/>
  <c r="AM804" i="1"/>
  <c r="AV804" i="1" s="1"/>
  <c r="AM100" i="1"/>
  <c r="AV100" i="1" s="1"/>
  <c r="AM282" i="1"/>
  <c r="AV282" i="1" s="1"/>
  <c r="AM407" i="1"/>
  <c r="AV407" i="1" s="1"/>
  <c r="AM508" i="1"/>
  <c r="AV508" i="1" s="1"/>
  <c r="AM18" i="1"/>
  <c r="AV18" i="1" s="1"/>
  <c r="AM756" i="1"/>
  <c r="AV756" i="1" s="1"/>
  <c r="AM693" i="1"/>
  <c r="AV693" i="1" s="1"/>
  <c r="AM535" i="1"/>
  <c r="AV535" i="1" s="1"/>
  <c r="AM93" i="1"/>
  <c r="AV93" i="1" s="1"/>
  <c r="AM317" i="1"/>
  <c r="AV317" i="1" s="1"/>
  <c r="AM690" i="1"/>
  <c r="AV690" i="1" s="1"/>
  <c r="AM396" i="1"/>
  <c r="AV396" i="1" s="1"/>
  <c r="AM45" i="1"/>
  <c r="AV45" i="1" s="1"/>
  <c r="AM775" i="1"/>
  <c r="AV775" i="1" s="1"/>
  <c r="AM9" i="1"/>
  <c r="AV9" i="1" s="1"/>
  <c r="AM603" i="1"/>
  <c r="AV603" i="1" s="1"/>
  <c r="AM724" i="1"/>
  <c r="AV724" i="1" s="1"/>
  <c r="AM510" i="1"/>
  <c r="AV510" i="1" s="1"/>
  <c r="AM427" i="1"/>
  <c r="AV427" i="1" s="1"/>
  <c r="AM163" i="1"/>
  <c r="AV163" i="1" s="1"/>
  <c r="AM653" i="1"/>
  <c r="AV653" i="1" s="1"/>
  <c r="AM456" i="1"/>
  <c r="AV456" i="1" s="1"/>
  <c r="AM757" i="1"/>
  <c r="AV757" i="1" s="1"/>
  <c r="AM289" i="1"/>
  <c r="AV289" i="1" s="1"/>
  <c r="AM211" i="1"/>
  <c r="AV211" i="1" s="1"/>
  <c r="AM556" i="1"/>
  <c r="AV556" i="1" s="1"/>
  <c r="AM290" i="1"/>
  <c r="AV290" i="1" s="1"/>
  <c r="AM664" i="1"/>
  <c r="AV664" i="1" s="1"/>
  <c r="AM839" i="1"/>
  <c r="AV839" i="1" s="1"/>
  <c r="AM207" i="1"/>
  <c r="AV207" i="1" s="1"/>
  <c r="AM450" i="1"/>
  <c r="AV450" i="1" s="1"/>
  <c r="AM97" i="1"/>
  <c r="AV97" i="1" s="1"/>
  <c r="AM663" i="1"/>
  <c r="AV663" i="1" s="1"/>
  <c r="AM461" i="1"/>
  <c r="AV461" i="1" s="1"/>
  <c r="AM840" i="1"/>
  <c r="AV840" i="1" s="1"/>
  <c r="AM22" i="1"/>
  <c r="AV22" i="1" s="1"/>
  <c r="AM725" i="1"/>
  <c r="AV725" i="1" s="1"/>
  <c r="AM806" i="1"/>
  <c r="AV806" i="1" s="1"/>
  <c r="AM519" i="1"/>
  <c r="AV519" i="1" s="1"/>
  <c r="AM431" i="1"/>
  <c r="AV431" i="1" s="1"/>
  <c r="AM429" i="1"/>
  <c r="AV429" i="1" s="1"/>
  <c r="AM826" i="1"/>
  <c r="AV826" i="1" s="1"/>
  <c r="AM602" i="1"/>
  <c r="AV602" i="1" s="1"/>
  <c r="AM841" i="1"/>
  <c r="AV841" i="1" s="1"/>
  <c r="AM127" i="1"/>
  <c r="AV127" i="1" s="1"/>
  <c r="AM766" i="1"/>
  <c r="AV766" i="1" s="1"/>
  <c r="AM524" i="1"/>
  <c r="AV524" i="1" s="1"/>
  <c r="AM656" i="1"/>
  <c r="AV656" i="1" s="1"/>
  <c r="AM98" i="1"/>
  <c r="AV98" i="1" s="1"/>
  <c r="AM646" i="1"/>
  <c r="AV646" i="1" s="1"/>
  <c r="AM808" i="1"/>
  <c r="AV808" i="1" s="1"/>
  <c r="AM715" i="1"/>
  <c r="AV715" i="1" s="1"/>
  <c r="AM165" i="1"/>
  <c r="AV165" i="1" s="1"/>
  <c r="AM123" i="1"/>
  <c r="AV123" i="1" s="1"/>
  <c r="AM374" i="1"/>
  <c r="AV374" i="1" s="1"/>
  <c r="AM501" i="1"/>
  <c r="AV501" i="1" s="1"/>
  <c r="AM842" i="1"/>
  <c r="AV842" i="1" s="1"/>
  <c r="AM291" i="1"/>
  <c r="AV291" i="1" s="1"/>
  <c r="AM121" i="1"/>
  <c r="AV121" i="1" s="1"/>
  <c r="AM196" i="1"/>
  <c r="AV196" i="1" s="1"/>
  <c r="AM577" i="1"/>
  <c r="AV577" i="1" s="1"/>
  <c r="AM632" i="1"/>
  <c r="AV632" i="1" s="1"/>
  <c r="AM249" i="1"/>
  <c r="AV249" i="1" s="1"/>
  <c r="AM831" i="1"/>
  <c r="AV831" i="1" s="1"/>
  <c r="AM625" i="1"/>
  <c r="AV625" i="1" s="1"/>
  <c r="AM533" i="1"/>
  <c r="AV533" i="1" s="1"/>
  <c r="AM103" i="1"/>
  <c r="AV103" i="1" s="1"/>
  <c r="AM843" i="1"/>
  <c r="AV843" i="1" s="1"/>
  <c r="AM33" i="1"/>
  <c r="AV33" i="1" s="1"/>
  <c r="AM844" i="1"/>
  <c r="AV844" i="1" s="1"/>
  <c r="AM515" i="1"/>
  <c r="AV515" i="1" s="1"/>
  <c r="AM164" i="1"/>
  <c r="AV164" i="1" s="1"/>
  <c r="AM441" i="1"/>
  <c r="AV441" i="1" s="1"/>
  <c r="AM498" i="1"/>
  <c r="AV498" i="1" s="1"/>
  <c r="AM135" i="1"/>
  <c r="AV135" i="1" s="1"/>
  <c r="AM736" i="1"/>
  <c r="AV736" i="1" s="1"/>
  <c r="AM23" i="1"/>
  <c r="AV23" i="1" s="1"/>
  <c r="AM721" i="1"/>
  <c r="AV721" i="1" s="1"/>
  <c r="AM297" i="1"/>
  <c r="AV297" i="1" s="1"/>
  <c r="AM845" i="1"/>
  <c r="AV845" i="1" s="1"/>
  <c r="AM442" i="1"/>
  <c r="AV442" i="1" s="1"/>
  <c r="AM846" i="1"/>
  <c r="AV846" i="1" s="1"/>
  <c r="AM313" i="1"/>
  <c r="AV313" i="1" s="1"/>
  <c r="AM773" i="1"/>
  <c r="AV773" i="1" s="1"/>
  <c r="AM544" i="1"/>
  <c r="AV544" i="1" s="1"/>
  <c r="AM847" i="1"/>
  <c r="AV847" i="1" s="1"/>
  <c r="AM534" i="1"/>
  <c r="AV534" i="1" s="1"/>
  <c r="AM413" i="1"/>
  <c r="AV413" i="1" s="1"/>
  <c r="AM848" i="1"/>
  <c r="AV848" i="1" s="1"/>
  <c r="AM326" i="1"/>
  <c r="AV326" i="1" s="1"/>
  <c r="AM227" i="1"/>
  <c r="AV227" i="1" s="1"/>
  <c r="AM584" i="1"/>
  <c r="AV584" i="1" s="1"/>
  <c r="AM541" i="1"/>
  <c r="AV541" i="1" s="1"/>
  <c r="AM521" i="1"/>
  <c r="AV521" i="1" s="1"/>
  <c r="AM299" i="1"/>
  <c r="AV299" i="1" s="1"/>
  <c r="AM52" i="1"/>
  <c r="AV52" i="1" s="1"/>
  <c r="AM849" i="1"/>
  <c r="AV849" i="1" s="1"/>
  <c r="AM850" i="1"/>
  <c r="AV850" i="1" s="1"/>
  <c r="AM801" i="1"/>
  <c r="AV801" i="1" s="1"/>
  <c r="AM573" i="1"/>
  <c r="AV573" i="1" s="1"/>
  <c r="AM209" i="1"/>
  <c r="AV209" i="1" s="1"/>
  <c r="AM64" i="1"/>
  <c r="AV64" i="1" s="1"/>
  <c r="AM592" i="1"/>
  <c r="AV592" i="1" s="1"/>
  <c r="AM659" i="1"/>
  <c r="AV659" i="1" s="1"/>
  <c r="AM39" i="1"/>
  <c r="AV39" i="1" s="1"/>
  <c r="AM335" i="1"/>
  <c r="AV335" i="1" s="1"/>
  <c r="AM447" i="1"/>
  <c r="AV447" i="1" s="1"/>
  <c r="AM122" i="1"/>
  <c r="AV122" i="1" s="1"/>
  <c r="AM719" i="1"/>
  <c r="AV719" i="1" s="1"/>
  <c r="AM306" i="1"/>
  <c r="AV306" i="1" s="1"/>
  <c r="AM765" i="1"/>
  <c r="AV765" i="1" s="1"/>
  <c r="AM716" i="1"/>
  <c r="AV716" i="1" s="1"/>
  <c r="AM851" i="1"/>
  <c r="AV851" i="1" s="1"/>
  <c r="AM197" i="1"/>
  <c r="AV197" i="1" s="1"/>
  <c r="AM811" i="1"/>
  <c r="AV811" i="1" s="1"/>
  <c r="AM108" i="1"/>
  <c r="AV108" i="1" s="1"/>
  <c r="AM159" i="1"/>
  <c r="AV159" i="1" s="1"/>
  <c r="AM527" i="1"/>
  <c r="AV527" i="1" s="1"/>
  <c r="AM547" i="1"/>
  <c r="AV547" i="1" s="1"/>
  <c r="AM245" i="1"/>
  <c r="AV245" i="1" s="1"/>
  <c r="AM69" i="1"/>
  <c r="AV69" i="1" s="1"/>
  <c r="AM124" i="1"/>
  <c r="AV124" i="1" s="1"/>
  <c r="AM53" i="1"/>
  <c r="AV53" i="1" s="1"/>
  <c r="AM852" i="1"/>
  <c r="AV852" i="1" s="1"/>
  <c r="AM780" i="1"/>
  <c r="AV780" i="1" s="1"/>
  <c r="AM853" i="1"/>
  <c r="AV853" i="1" s="1"/>
  <c r="AM854" i="1"/>
  <c r="AV854" i="1" s="1"/>
  <c r="AM491" i="1"/>
  <c r="AV491" i="1" s="1"/>
  <c r="AM537" i="1"/>
  <c r="AV537" i="1" s="1"/>
  <c r="AM34" i="1"/>
  <c r="AV34" i="1" s="1"/>
  <c r="AM3" i="1"/>
  <c r="AV3" i="1" s="1"/>
  <c r="AM287" i="1"/>
  <c r="AV287" i="1" s="1"/>
  <c r="AM444" i="1"/>
  <c r="AV444" i="1" s="1"/>
  <c r="AM16" i="1"/>
  <c r="AV16" i="1" s="1"/>
  <c r="AM260" i="1"/>
  <c r="AV260" i="1" s="1"/>
  <c r="AM58" i="1"/>
  <c r="AV58" i="1" s="1"/>
  <c r="AM84" i="1"/>
  <c r="AV84" i="1" s="1"/>
  <c r="AM380" i="1"/>
  <c r="AV380" i="1" s="1"/>
  <c r="AM190" i="1"/>
  <c r="AV190" i="1" s="1"/>
  <c r="AM434" i="1"/>
  <c r="AV434" i="1" s="1"/>
  <c r="AM238" i="1"/>
  <c r="AV238" i="1" s="1"/>
  <c r="AM855" i="1"/>
  <c r="AV855" i="1" s="1"/>
  <c r="AM308" i="1"/>
  <c r="AV308" i="1" s="1"/>
  <c r="AM75" i="1"/>
  <c r="AV75" i="1" s="1"/>
  <c r="AM438" i="1"/>
  <c r="AV438" i="1" s="1"/>
  <c r="AM624" i="1"/>
  <c r="AV624" i="1" s="1"/>
  <c r="AM856" i="1"/>
  <c r="AV856" i="1" s="1"/>
  <c r="AM424" i="1"/>
  <c r="AV424" i="1" s="1"/>
  <c r="AM428" i="1"/>
  <c r="AV428" i="1" s="1"/>
  <c r="AM458" i="1"/>
  <c r="AV458" i="1" s="1"/>
  <c r="AM642" i="1"/>
  <c r="AV642" i="1" s="1"/>
  <c r="AM635" i="1"/>
  <c r="AV635" i="1" s="1"/>
  <c r="AM352" i="1"/>
  <c r="AV352" i="1" s="1"/>
  <c r="AM49" i="1"/>
  <c r="AV49" i="1" s="1"/>
  <c r="AM319" i="1"/>
  <c r="AV319" i="1" s="1"/>
  <c r="AM587" i="1"/>
  <c r="AV587" i="1" s="1"/>
  <c r="AM657" i="1"/>
  <c r="AV657" i="1" s="1"/>
  <c r="AM499" i="1"/>
  <c r="AV499" i="1" s="1"/>
  <c r="AM382" i="1"/>
  <c r="AV382" i="1" s="1"/>
  <c r="AM307" i="1"/>
  <c r="AV307" i="1" s="1"/>
  <c r="AM662" i="1"/>
  <c r="AV662" i="1" s="1"/>
  <c r="AM298" i="1"/>
  <c r="AV298" i="1" s="1"/>
  <c r="AM754" i="1"/>
  <c r="AV754" i="1" s="1"/>
  <c r="AM421" i="1"/>
  <c r="AV421" i="1" s="1"/>
  <c r="AM857" i="1"/>
  <c r="AV857" i="1" s="1"/>
  <c r="AM276" i="1"/>
  <c r="AV276" i="1" s="1"/>
  <c r="AM469" i="1"/>
  <c r="AV469" i="1" s="1"/>
  <c r="AM327" i="1"/>
  <c r="AV327" i="1" s="1"/>
  <c r="AM497" i="1"/>
  <c r="AV497" i="1" s="1"/>
  <c r="AM375" i="1"/>
  <c r="AV375" i="1" s="1"/>
  <c r="AM415" i="1"/>
  <c r="AV415" i="1" s="1"/>
  <c r="AM578" i="1"/>
  <c r="AV578" i="1" s="1"/>
  <c r="AM115" i="1"/>
  <c r="AV115" i="1" s="1"/>
  <c r="AM595" i="1"/>
  <c r="AV595" i="1" s="1"/>
  <c r="AM858" i="1"/>
  <c r="AV858" i="1" s="1"/>
  <c r="AM859" i="1"/>
  <c r="AV859" i="1" s="1"/>
  <c r="AM480" i="1"/>
  <c r="AV480" i="1" s="1"/>
  <c r="AM654" i="1"/>
  <c r="AV654" i="1" s="1"/>
  <c r="AM383" i="1"/>
  <c r="AV383" i="1" s="1"/>
  <c r="AM802" i="1"/>
  <c r="AV802" i="1" s="1"/>
  <c r="AM860" i="1"/>
  <c r="AV860" i="1" s="1"/>
  <c r="AM606" i="1"/>
  <c r="AV606" i="1" s="1"/>
  <c r="AM588" i="1"/>
  <c r="AV588" i="1" s="1"/>
  <c r="AM661" i="1"/>
  <c r="AV661" i="1" s="1"/>
  <c r="AM243" i="1"/>
  <c r="AV243" i="1" s="1"/>
  <c r="AM548" i="1"/>
  <c r="AV548" i="1" s="1"/>
  <c r="AM861" i="1"/>
  <c r="AV861" i="1" s="1"/>
  <c r="AM119" i="1"/>
  <c r="AV119" i="1" s="1"/>
  <c r="AM393" i="1"/>
  <c r="AV393" i="1" s="1"/>
  <c r="AM862" i="1"/>
  <c r="AV862" i="1" s="1"/>
  <c r="AM681" i="1"/>
  <c r="AV681" i="1" s="1"/>
  <c r="AM782" i="1"/>
  <c r="AV782" i="1" s="1"/>
  <c r="AM340" i="1"/>
  <c r="AV340" i="1" s="1"/>
  <c r="AM46" i="1"/>
  <c r="AV46" i="1" s="1"/>
  <c r="AM863" i="1"/>
  <c r="AV863" i="1" s="1"/>
  <c r="AM263" i="1"/>
  <c r="AV263" i="1" s="1"/>
  <c r="AM788" i="1"/>
  <c r="AV788" i="1" s="1"/>
  <c r="AM293" i="1"/>
  <c r="AV293" i="1" s="1"/>
  <c r="AM864" i="1"/>
  <c r="AV864" i="1" s="1"/>
  <c r="AM172" i="1"/>
  <c r="AV172" i="1" s="1"/>
  <c r="AM568" i="1"/>
  <c r="AV568" i="1" s="1"/>
  <c r="AM24" i="1"/>
  <c r="AV24" i="1" s="1"/>
  <c r="AM325" i="1"/>
  <c r="AV325" i="1" s="1"/>
  <c r="AM565" i="1"/>
  <c r="AV565" i="1" s="1"/>
  <c r="AM78" i="1"/>
  <c r="AV78" i="1" s="1"/>
  <c r="AM665" i="1"/>
  <c r="AV665" i="1" s="1"/>
  <c r="AM865" i="1"/>
  <c r="AV865" i="1" s="1"/>
  <c r="AM242" i="1"/>
  <c r="AV242" i="1" s="1"/>
  <c r="AM466" i="1"/>
  <c r="AV466" i="1" s="1"/>
  <c r="AM866" i="1"/>
  <c r="AV866" i="1" s="1"/>
  <c r="AM722" i="1"/>
  <c r="AV722" i="1" s="1"/>
  <c r="AM169" i="1"/>
  <c r="AV169" i="1" s="1"/>
  <c r="AM181" i="1"/>
  <c r="AV181" i="1" s="1"/>
  <c r="AM838" i="1"/>
  <c r="AV838" i="1" s="1"/>
  <c r="AM266" i="1"/>
  <c r="AV266" i="1" s="1"/>
  <c r="AM79" i="1"/>
  <c r="AV79" i="1" s="1"/>
  <c r="AM463" i="1"/>
  <c r="AV463" i="1" s="1"/>
  <c r="AM867" i="1"/>
  <c r="AV867" i="1" s="1"/>
  <c r="AM349" i="1"/>
  <c r="AV349" i="1" s="1"/>
  <c r="AM482" i="1"/>
  <c r="AV482" i="1" s="1"/>
  <c r="AM222" i="1"/>
  <c r="AV222" i="1" s="1"/>
  <c r="AM157" i="1"/>
  <c r="AV157" i="1" s="1"/>
  <c r="AM750" i="1"/>
  <c r="AV750" i="1" s="1"/>
  <c r="AM781" i="1"/>
  <c r="AV781" i="1" s="1"/>
  <c r="AM13" i="1"/>
  <c r="AV13" i="1" s="1"/>
  <c r="AM674" i="1"/>
  <c r="AV674" i="1" s="1"/>
  <c r="AM160" i="1"/>
  <c r="AV160" i="1" s="1"/>
  <c r="AM195" i="1"/>
  <c r="AV195" i="1" s="1"/>
  <c r="AM348" i="1"/>
  <c r="AV348" i="1" s="1"/>
  <c r="AM709" i="1"/>
  <c r="AV709" i="1" s="1"/>
  <c r="AM277" i="1"/>
  <c r="AV277" i="1" s="1"/>
  <c r="AM47" i="1"/>
  <c r="AV47" i="1" s="1"/>
  <c r="AM19" i="1"/>
  <c r="AV19" i="1" s="1"/>
  <c r="AM713" i="1"/>
  <c r="AV713" i="1" s="1"/>
  <c r="AM729" i="1"/>
  <c r="AV729" i="1" s="1"/>
  <c r="AM871" i="1"/>
  <c r="AV871" i="1" s="1"/>
  <c r="AM36" i="1"/>
  <c r="AV36" i="1" s="1"/>
  <c r="AM868" i="1"/>
  <c r="AV868" i="1" s="1"/>
  <c r="AM70" i="1"/>
  <c r="AV70" i="1" s="1"/>
  <c r="AM538" i="1"/>
  <c r="AV538" i="1" s="1"/>
  <c r="AM66" i="1"/>
  <c r="AV66" i="1" s="1"/>
  <c r="AM869" i="1"/>
  <c r="AV869" i="1" s="1"/>
  <c r="AM72" i="1"/>
  <c r="AV72" i="1" s="1"/>
  <c r="AM213" i="1"/>
  <c r="AV213" i="1" s="1"/>
  <c r="AM529" i="1"/>
  <c r="AV529" i="1" s="1"/>
  <c r="AM714" i="1"/>
  <c r="AV714" i="1" s="1"/>
  <c r="AM353" i="1"/>
  <c r="AV353" i="1" s="1"/>
  <c r="AM81" i="1"/>
  <c r="AV81" i="1" s="1"/>
  <c r="AM129" i="1"/>
  <c r="AV129" i="1" s="1"/>
  <c r="AM643" i="1"/>
  <c r="AV643" i="1" s="1"/>
  <c r="AM574" i="1"/>
  <c r="AV574" i="1" s="1"/>
  <c r="AM691" i="1"/>
  <c r="AV691" i="1" s="1"/>
  <c r="AM539" i="1"/>
  <c r="AV539" i="1" s="1"/>
  <c r="AM403" i="1"/>
  <c r="AV403" i="1" s="1"/>
  <c r="AM182" i="1"/>
  <c r="AV182" i="1" s="1"/>
  <c r="AM73" i="1"/>
  <c r="AV73" i="1" s="1"/>
  <c r="AM87" i="1"/>
  <c r="AV87" i="1" s="1"/>
  <c r="AM870" i="1"/>
  <c r="AV870" i="1" s="1"/>
  <c r="AM322" i="1"/>
  <c r="AV322" i="1" s="1"/>
  <c r="AM800" i="1"/>
  <c r="AV800" i="1" s="1"/>
  <c r="AM132" i="1"/>
  <c r="AV132" i="1" s="1"/>
  <c r="AM666" i="1"/>
  <c r="AV666" i="1" s="1"/>
  <c r="AM495" i="1"/>
  <c r="AV495" i="1" s="1"/>
  <c r="AM286" i="1"/>
  <c r="AV286" i="1" s="1"/>
  <c r="AM528" i="1"/>
  <c r="AV528" i="1" s="1"/>
  <c r="AM29" i="1"/>
  <c r="AV29" i="1" s="1"/>
  <c r="AM360" i="1"/>
  <c r="AV360" i="1" s="1"/>
  <c r="AM522" i="1"/>
  <c r="AV522" i="1" s="1"/>
  <c r="AM484" i="1"/>
  <c r="AV484" i="1" s="1"/>
  <c r="AM669" i="1"/>
  <c r="AV669" i="1" s="1"/>
  <c r="AM512" i="1"/>
  <c r="AV512" i="1" s="1"/>
  <c r="AM503" i="1"/>
  <c r="AV503" i="1" s="1"/>
  <c r="AM214" i="1"/>
  <c r="AV214" i="1" s="1"/>
  <c r="AM443" i="1"/>
  <c r="AV443" i="1" s="1"/>
  <c r="AM173" i="1"/>
  <c r="AV173" i="1" s="1"/>
  <c r="AM667" i="1"/>
  <c r="AV667" i="1" s="1"/>
  <c r="AM562" i="1"/>
  <c r="AV562" i="1" s="1"/>
  <c r="AM337" i="1"/>
  <c r="AV337" i="1" s="1"/>
  <c r="AM59" i="1"/>
  <c r="AV59" i="1" s="1"/>
  <c r="AM336" i="1"/>
  <c r="AV336" i="1" s="1"/>
  <c r="AM284" i="1"/>
  <c r="AV284" i="1" s="1"/>
  <c r="AM872" i="1"/>
  <c r="AV872" i="1" s="1"/>
  <c r="AM256" i="1"/>
  <c r="AV256" i="1" s="1"/>
  <c r="AM873" i="1"/>
  <c r="AV873" i="1" s="1"/>
  <c r="AM285" i="1"/>
  <c r="AV285" i="1" s="1"/>
  <c r="AM390" i="1"/>
  <c r="AV390" i="1" s="1"/>
  <c r="AM467" i="1"/>
  <c r="AV467" i="1" s="1"/>
  <c r="AM272" i="1"/>
  <c r="AV272" i="1" s="1"/>
  <c r="AM874" i="1"/>
  <c r="AV874" i="1" s="1"/>
  <c r="AM875" i="1"/>
  <c r="AV875" i="1" s="1"/>
  <c r="AM621" i="1"/>
  <c r="AV621" i="1" s="1"/>
  <c r="AM876" i="1"/>
  <c r="AV876" i="1" s="1"/>
  <c r="AM789" i="1"/>
  <c r="AV789" i="1" s="1"/>
  <c r="AM794" i="1"/>
  <c r="AV794" i="1" s="1"/>
  <c r="AM131" i="1"/>
  <c r="AV131" i="1" s="1"/>
  <c r="AM133" i="1"/>
  <c r="AV133" i="1" s="1"/>
  <c r="AM909" i="1"/>
  <c r="AV909" i="1" s="1"/>
  <c r="AM877" i="1"/>
  <c r="AV877" i="1" s="1"/>
  <c r="AM799" i="1"/>
  <c r="AV799" i="1" s="1"/>
  <c r="AM174" i="1"/>
  <c r="AV174" i="1" s="1"/>
  <c r="AM332" i="1"/>
  <c r="AV332" i="1" s="1"/>
  <c r="AM177" i="1"/>
  <c r="AV177" i="1" s="1"/>
  <c r="AM30" i="1"/>
  <c r="AV30" i="1" s="1"/>
  <c r="AM878" i="1"/>
  <c r="AV878" i="1" s="1"/>
  <c r="AM449" i="1"/>
  <c r="AV449" i="1" s="1"/>
  <c r="AM566" i="1"/>
  <c r="AV566" i="1" s="1"/>
  <c r="AM879" i="1"/>
  <c r="AV879" i="1" s="1"/>
  <c r="AM41" i="1"/>
  <c r="AV41" i="1" s="1"/>
  <c r="AM569" i="1"/>
  <c r="AV569" i="1" s="1"/>
  <c r="AM5" i="1"/>
  <c r="AV5" i="1" s="1"/>
  <c r="AM880" i="1"/>
  <c r="AV880" i="1" s="1"/>
  <c r="AM433" i="1"/>
  <c r="AV433" i="1" s="1"/>
  <c r="AM141" i="1"/>
  <c r="AV141" i="1" s="1"/>
  <c r="AM718" i="1"/>
  <c r="AV718" i="1" s="1"/>
  <c r="AM881" i="1"/>
  <c r="AV881" i="1" s="1"/>
  <c r="AM705" i="1"/>
  <c r="AV705" i="1" s="1"/>
  <c r="AM882" i="1"/>
  <c r="AV882" i="1" s="1"/>
  <c r="AM559" i="1"/>
  <c r="AV559" i="1" s="1"/>
  <c r="AM812" i="1"/>
  <c r="AV812" i="1" s="1"/>
  <c r="AM883" i="1"/>
  <c r="AV883" i="1" s="1"/>
  <c r="AM156" i="1"/>
  <c r="AV156" i="1" s="1"/>
  <c r="AM668" i="1"/>
  <c r="AV668" i="1" s="1"/>
  <c r="AM633" i="1"/>
  <c r="AV633" i="1" s="1"/>
  <c r="AM457" i="1"/>
  <c r="AV457" i="1" s="1"/>
  <c r="AM884" i="1"/>
  <c r="AV884" i="1" s="1"/>
  <c r="AM170" i="1"/>
  <c r="AV170" i="1" s="1"/>
  <c r="AM12" i="1"/>
  <c r="AV12" i="1" s="1"/>
  <c r="AM42" i="1"/>
  <c r="AV42" i="1" s="1"/>
  <c r="AM405" i="1"/>
  <c r="AV405" i="1" s="1"/>
  <c r="AM448" i="1"/>
  <c r="AV448" i="1" s="1"/>
  <c r="AM215" i="1"/>
  <c r="AV215" i="1" s="1"/>
  <c r="AM599" i="1"/>
  <c r="AV599" i="1" s="1"/>
  <c r="AM885" i="1"/>
  <c r="AV885" i="1" s="1"/>
  <c r="AM109" i="1"/>
  <c r="AV109" i="1" s="1"/>
  <c r="AM474" i="1"/>
  <c r="AV474" i="1" s="1"/>
  <c r="AM104" i="1"/>
  <c r="AV104" i="1" s="1"/>
  <c r="AM304" i="1"/>
  <c r="AV304" i="1" s="1"/>
  <c r="AM500" i="1"/>
  <c r="AV500" i="1" s="1"/>
  <c r="AM171" i="1"/>
  <c r="AV171" i="1" s="1"/>
  <c r="AM629" i="1"/>
  <c r="AV629" i="1" s="1"/>
  <c r="AM910" i="1"/>
  <c r="AV910" i="1" s="1"/>
  <c r="AM219" i="1"/>
  <c r="AV219" i="1" s="1"/>
  <c r="AM387" i="1"/>
  <c r="AV387" i="1" s="1"/>
  <c r="AM726" i="1"/>
  <c r="AV726" i="1" s="1"/>
  <c r="AM183" i="1"/>
  <c r="AV183" i="1" s="1"/>
  <c r="AM128" i="1"/>
  <c r="AV128" i="1" s="1"/>
  <c r="AM485" i="1"/>
  <c r="AV485" i="1" s="1"/>
  <c r="AM685" i="1"/>
  <c r="AV685" i="1" s="1"/>
  <c r="AM687" i="1"/>
  <c r="AV687" i="1" s="1"/>
  <c r="AM783" i="1"/>
  <c r="AV783" i="1" s="1"/>
  <c r="AM111" i="1"/>
  <c r="AV111" i="1" s="1"/>
  <c r="AM792" i="1"/>
  <c r="AV792" i="1" s="1"/>
  <c r="AM517" i="1"/>
  <c r="AV517" i="1" s="1"/>
  <c r="AM338" i="1"/>
  <c r="AV338" i="1" s="1"/>
  <c r="AM376" i="1"/>
  <c r="AV376" i="1" s="1"/>
  <c r="AM416" i="1"/>
  <c r="AV416" i="1" s="1"/>
  <c r="AM790" i="1"/>
  <c r="AV790" i="1" s="1"/>
  <c r="AM558" i="1"/>
  <c r="AV558" i="1" s="1"/>
  <c r="AM911" i="1"/>
  <c r="AV911" i="1" s="1"/>
  <c r="AM232" i="1"/>
  <c r="AV232" i="1" s="1"/>
  <c r="AM769" i="1"/>
  <c r="AV769" i="1" s="1"/>
  <c r="AM435" i="1"/>
  <c r="AV435" i="1" s="1"/>
  <c r="AM318" i="1"/>
  <c r="AV318" i="1" s="1"/>
  <c r="AM202" i="1"/>
  <c r="AV202" i="1" s="1"/>
  <c r="AM321" i="1"/>
  <c r="AV321" i="1" s="1"/>
  <c r="AM147" i="1"/>
  <c r="AV147" i="1" s="1"/>
  <c r="AM475" i="1"/>
  <c r="AV475" i="1" s="1"/>
  <c r="AM358" i="1"/>
  <c r="AV358" i="1" s="1"/>
  <c r="AM496" i="1"/>
  <c r="AV496" i="1" s="1"/>
  <c r="AM311" i="1"/>
  <c r="AV311" i="1" s="1"/>
  <c r="AM225" i="1"/>
  <c r="AV225" i="1" s="1"/>
  <c r="AM647" i="1"/>
  <c r="AV647" i="1" s="1"/>
  <c r="AM886" i="1"/>
  <c r="AV886" i="1" s="1"/>
  <c r="AM453" i="1"/>
  <c r="AV453" i="1" s="1"/>
  <c r="AM406" i="1"/>
  <c r="AV406" i="1" s="1"/>
  <c r="AM476" i="1"/>
  <c r="AV476" i="1" s="1"/>
  <c r="AM576" i="1"/>
  <c r="AV576" i="1" s="1"/>
  <c r="AM626" i="1"/>
  <c r="AV626" i="1" s="1"/>
  <c r="AM546" i="1"/>
  <c r="AV546" i="1" s="1"/>
  <c r="AM734" i="1"/>
  <c r="AV734" i="1" s="1"/>
  <c r="AM739" i="1"/>
  <c r="AV739" i="1" s="1"/>
  <c r="AM798" i="1"/>
  <c r="AV798" i="1" s="1"/>
  <c r="AM309" i="1"/>
  <c r="AV309" i="1" s="1"/>
  <c r="AM912" i="1"/>
  <c r="AV912" i="1" s="1"/>
  <c r="AM244" i="1"/>
  <c r="AV244" i="1" s="1"/>
  <c r="AM640" i="1"/>
  <c r="AV640" i="1" s="1"/>
  <c r="AM341" i="1"/>
  <c r="AV341" i="1" s="1"/>
  <c r="AM636" i="1"/>
  <c r="AV636" i="1" s="1"/>
  <c r="AM333" i="1"/>
  <c r="AV333" i="1" s="1"/>
  <c r="AM593" i="1"/>
  <c r="AV593" i="1" s="1"/>
  <c r="AM14" i="1"/>
  <c r="AV14" i="1" s="1"/>
  <c r="AM350" i="1"/>
  <c r="AV350" i="1" s="1"/>
  <c r="AM6" i="1"/>
  <c r="AV6" i="1" s="1"/>
  <c r="AM913" i="1"/>
  <c r="AV913" i="1" s="1"/>
  <c r="AM887" i="1"/>
  <c r="AV887" i="1" s="1"/>
  <c r="AM101" i="1"/>
  <c r="AV101" i="1" s="1"/>
  <c r="AM391" i="1"/>
  <c r="AV391" i="1" s="1"/>
  <c r="AM216" i="1"/>
  <c r="AV216" i="1" s="1"/>
  <c r="AM292" i="1"/>
  <c r="AV292" i="1" s="1"/>
  <c r="AM278" i="1"/>
  <c r="AV278" i="1" s="1"/>
  <c r="AM404" i="1"/>
  <c r="AV404" i="1" s="1"/>
  <c r="AM54" i="1"/>
  <c r="AV54" i="1" s="1"/>
  <c r="AM509" i="1"/>
  <c r="AV509" i="1" s="1"/>
  <c r="AM400" i="1"/>
  <c r="AV400" i="1" s="1"/>
  <c r="AM120" i="1"/>
  <c r="AV120" i="1" s="1"/>
  <c r="AM888" i="1"/>
  <c r="AV888" i="1" s="1"/>
  <c r="AM889" i="1"/>
  <c r="AV889" i="1" s="1"/>
  <c r="AM809" i="1"/>
  <c r="AV809" i="1" s="1"/>
  <c r="AM727" i="1"/>
  <c r="AV727" i="1" s="1"/>
  <c r="AM361" i="1"/>
  <c r="AV361" i="1" s="1"/>
  <c r="AM436" i="1"/>
  <c r="AV436" i="1" s="1"/>
  <c r="AM149" i="1"/>
  <c r="AV149" i="1" s="1"/>
  <c r="AM184" i="1"/>
  <c r="AV184" i="1" s="1"/>
  <c r="AM102" i="1"/>
  <c r="AV102" i="1" s="1"/>
  <c r="AM486" i="1"/>
  <c r="AV486" i="1" s="1"/>
  <c r="AM682" i="1"/>
  <c r="AV682" i="1" s="1"/>
  <c r="AM110" i="1"/>
  <c r="AV110" i="1" s="1"/>
  <c r="AM279" i="1"/>
  <c r="AV279" i="1" s="1"/>
  <c r="AM563" i="1"/>
  <c r="AV563" i="1" s="1"/>
  <c r="AM686" i="1"/>
  <c r="AV686" i="1" s="1"/>
  <c r="AM890" i="1"/>
  <c r="AV890" i="1" s="1"/>
  <c r="AM701" i="1"/>
  <c r="AV701" i="1" s="1"/>
  <c r="AM152" i="1"/>
  <c r="AV152" i="1" s="1"/>
  <c r="AM250" i="1"/>
  <c r="AV250" i="1" s="1"/>
  <c r="AM296" i="1"/>
  <c r="AV296" i="1" s="1"/>
  <c r="AM741" i="1"/>
  <c r="AV741" i="1" s="1"/>
  <c r="AM2" i="1"/>
  <c r="AV2" i="1" s="1"/>
  <c r="AM737" i="1"/>
  <c r="AV737" i="1" s="1"/>
  <c r="AM575" i="1"/>
  <c r="AV575" i="1" s="1"/>
  <c r="AM658" i="1"/>
  <c r="AV658" i="1" s="1"/>
  <c r="AM320" i="1"/>
  <c r="AV320" i="1" s="1"/>
  <c r="AM153" i="1"/>
  <c r="AV153" i="1" s="1"/>
  <c r="AM557" i="1"/>
  <c r="AV557" i="1" s="1"/>
  <c r="AM371" i="1"/>
  <c r="AV371" i="1" s="1"/>
  <c r="AM891" i="1"/>
  <c r="AV891" i="1" s="1"/>
  <c r="AM240" i="1"/>
  <c r="AV240" i="1" s="1"/>
  <c r="AM892" i="1"/>
  <c r="AV892" i="1" s="1"/>
  <c r="AM511" i="1"/>
  <c r="AV511" i="1" s="1"/>
  <c r="AM710" i="1"/>
  <c r="AV710" i="1" s="1"/>
  <c r="AM136" i="1"/>
  <c r="AV136" i="1" s="1"/>
  <c r="AM631" i="1"/>
  <c r="AV631" i="1" s="1"/>
  <c r="AM40" i="1"/>
  <c r="AV40" i="1" s="1"/>
  <c r="AM893" i="1"/>
  <c r="AV893" i="1" s="1"/>
  <c r="AM894" i="1"/>
  <c r="AV894" i="1" s="1"/>
  <c r="AM268" i="1"/>
  <c r="AV268" i="1" s="1"/>
  <c r="AM37" i="1"/>
  <c r="AV37" i="1" s="1"/>
  <c r="AM540" i="1"/>
  <c r="AV540" i="1" s="1"/>
  <c r="AM200" i="1"/>
  <c r="AV200" i="1" s="1"/>
  <c r="AM570" i="1"/>
  <c r="AV570" i="1" s="1"/>
  <c r="AM175" i="1"/>
  <c r="AV175" i="1" s="1"/>
  <c r="AM630" i="1"/>
  <c r="AV630" i="1" s="1"/>
  <c r="AM316" i="1"/>
  <c r="AV316" i="1" s="1"/>
  <c r="AM264" i="1"/>
  <c r="AV264" i="1" s="1"/>
  <c r="AM531" i="1"/>
  <c r="AV531" i="1" s="1"/>
  <c r="AM186" i="1"/>
  <c r="AV186" i="1" s="1"/>
  <c r="AM334" i="1"/>
  <c r="AV334" i="1" s="1"/>
  <c r="AM622" i="1"/>
  <c r="AV622" i="1" s="1"/>
  <c r="AM179" i="1"/>
  <c r="AV179" i="1" s="1"/>
  <c r="AM644" i="1"/>
  <c r="AV644" i="1" s="1"/>
  <c r="AM262" i="1"/>
  <c r="AV262" i="1" s="1"/>
  <c r="AM895" i="1"/>
  <c r="AV895" i="1" s="1"/>
  <c r="AM140" i="1"/>
  <c r="AV140" i="1" s="1"/>
  <c r="AM670" i="1"/>
  <c r="AV670" i="1" s="1"/>
  <c r="AM344" i="1"/>
  <c r="AV344" i="1" s="1"/>
  <c r="AM83" i="1"/>
  <c r="AV83" i="1" s="1"/>
  <c r="AM793" i="1"/>
  <c r="AV793" i="1" s="1"/>
  <c r="AM504" i="1"/>
  <c r="AV504" i="1" s="1"/>
  <c r="AM409" i="1"/>
  <c r="AV409" i="1" s="1"/>
  <c r="AM762" i="1"/>
  <c r="AV762" i="1" s="1"/>
  <c r="AM564" i="1"/>
  <c r="AV564" i="1" s="1"/>
  <c r="AM377" i="1"/>
  <c r="AV377" i="1" s="1"/>
  <c r="AM492" i="1"/>
  <c r="AV492" i="1" s="1"/>
  <c r="AM747" i="1"/>
  <c r="AV747" i="1" s="1"/>
  <c r="AM650" i="1"/>
  <c r="AV650" i="1" s="1"/>
  <c r="AM88" i="1"/>
  <c r="AV88" i="1" s="1"/>
  <c r="AM411" i="1"/>
  <c r="AV411" i="1" s="1"/>
  <c r="AM208" i="1"/>
  <c r="AV208" i="1" s="1"/>
  <c r="AM623" i="1"/>
  <c r="AV623" i="1" s="1"/>
  <c r="AM706" i="1"/>
  <c r="AV706" i="1" s="1"/>
  <c r="AM7" i="1"/>
  <c r="AV7" i="1" s="1"/>
  <c r="AM896" i="1"/>
  <c r="AV896" i="1" s="1"/>
  <c r="AM560" i="1"/>
  <c r="AV560" i="1" s="1"/>
  <c r="AM328" i="1"/>
  <c r="AV328" i="1" s="1"/>
  <c r="AM897" i="1"/>
  <c r="AV897" i="1" s="1"/>
  <c r="AM487" i="1"/>
  <c r="AV487" i="1" s="1"/>
  <c r="AM235" i="1"/>
  <c r="AV235" i="1" s="1"/>
  <c r="AM410" i="1"/>
  <c r="AV410" i="1" s="1"/>
  <c r="AM439" i="1"/>
  <c r="AV439" i="1" s="1"/>
  <c r="AM545" i="1"/>
  <c r="AV545" i="1" s="1"/>
  <c r="AM581" i="1"/>
  <c r="AV581" i="1" s="1"/>
  <c r="AM717" i="1"/>
  <c r="AV717" i="1" s="1"/>
  <c r="AM388" i="1"/>
  <c r="AV388" i="1" s="1"/>
  <c r="AM796" i="1"/>
  <c r="AV796" i="1" s="1"/>
  <c r="AM898" i="1"/>
  <c r="AV898" i="1" s="1"/>
  <c r="AM676" i="1"/>
  <c r="AV676" i="1" s="1"/>
  <c r="AM525" i="1"/>
  <c r="AV525" i="1" s="1"/>
  <c r="AM608" i="1"/>
  <c r="AV608" i="1" s="1"/>
  <c r="AM191" i="1"/>
  <c r="AV191" i="1" s="1"/>
  <c r="AM356" i="1"/>
  <c r="AV356" i="1" s="1"/>
  <c r="AM899" i="1"/>
  <c r="AV899" i="1" s="1"/>
  <c r="AM417" i="1"/>
  <c r="AV417" i="1" s="1"/>
  <c r="AM776" i="1"/>
  <c r="AV776" i="1" s="1"/>
  <c r="AM526" i="1"/>
  <c r="AV526" i="1" s="1"/>
  <c r="AM900" i="1"/>
  <c r="AV900" i="1" s="1"/>
  <c r="AM767" i="1"/>
  <c r="AV767" i="1" s="1"/>
  <c r="AM488" i="1"/>
  <c r="AV488" i="1" s="1"/>
  <c r="AM116" i="1"/>
  <c r="AV116" i="1" s="1"/>
  <c r="AM683" i="1"/>
  <c r="AV683" i="1" s="1"/>
  <c r="AM454" i="1"/>
  <c r="AV454" i="1" s="1"/>
  <c r="AM76" i="1"/>
  <c r="AV76" i="1" s="1"/>
  <c r="AM137" i="1"/>
  <c r="AV137" i="1" s="1"/>
  <c r="AM600" i="1"/>
  <c r="AV600" i="1" s="1"/>
  <c r="AM610" i="1"/>
  <c r="AV610" i="1" s="1"/>
  <c r="AM579" i="1"/>
  <c r="AV579" i="1" s="1"/>
  <c r="AM228" i="1"/>
  <c r="AV228" i="1" s="1"/>
  <c r="AM112" i="1"/>
  <c r="AV112" i="1" s="1"/>
  <c r="AM117" i="1"/>
  <c r="AV117" i="1" s="1"/>
  <c r="AM596" i="1"/>
  <c r="AV596" i="1" s="1"/>
  <c r="AM901" i="1"/>
  <c r="AV901" i="1" s="1"/>
  <c r="AM258" i="1"/>
  <c r="AV258" i="1" s="1"/>
  <c r="AM204" i="1"/>
  <c r="AV204" i="1" s="1"/>
  <c r="AM192" i="1"/>
  <c r="AV192" i="1" s="1"/>
  <c r="AM43" i="1"/>
  <c r="AV43" i="1" s="1"/>
  <c r="AM902" i="1"/>
  <c r="AV902" i="1" s="1"/>
  <c r="AM38" i="1"/>
  <c r="AV38" i="1" s="1"/>
  <c r="AM532" i="1"/>
  <c r="AV532" i="1" s="1"/>
  <c r="AM549" i="1"/>
  <c r="AV549" i="1" s="1"/>
  <c r="AM634" i="1"/>
  <c r="AV634" i="1" s="1"/>
  <c r="AM749" i="1"/>
  <c r="AV749" i="1" s="1"/>
  <c r="AM489" i="1"/>
  <c r="AV489" i="1" s="1"/>
  <c r="AM903" i="1"/>
  <c r="AV903" i="1" s="1"/>
  <c r="AM384" i="1"/>
  <c r="AV384" i="1" s="1"/>
  <c r="AM572" i="1"/>
  <c r="AV572" i="1" s="1"/>
  <c r="AM617" i="1"/>
  <c r="AV617" i="1" s="1"/>
  <c r="AM627" i="1"/>
  <c r="AV627" i="1" s="1"/>
  <c r="AM904" i="1"/>
  <c r="AV904" i="1" s="1"/>
  <c r="AM11" i="1"/>
  <c r="AV11" i="1" s="1"/>
  <c r="AM473" i="1"/>
  <c r="AV473" i="1" s="1"/>
  <c r="AM677" i="1"/>
  <c r="AV677" i="1" s="1"/>
  <c r="AM275" i="1"/>
  <c r="AV275" i="1" s="1"/>
  <c r="AM905" i="1"/>
  <c r="AV905" i="1" s="1"/>
  <c r="AM740" i="1"/>
  <c r="AV740" i="1" s="1"/>
  <c r="AM25" i="1"/>
  <c r="AV25" i="1" s="1"/>
  <c r="AM742" i="1"/>
  <c r="AV742" i="1" s="1"/>
  <c r="AM90" i="1"/>
  <c r="AV90" i="1" s="1"/>
  <c r="AM397" i="1"/>
  <c r="AV397" i="1" s="1"/>
  <c r="AM477" i="1"/>
  <c r="AV477" i="1" s="1"/>
  <c r="AM586" i="1"/>
  <c r="AV586" i="1" s="1"/>
  <c r="AM451" i="1"/>
  <c r="AV451" i="1" s="1"/>
  <c r="AM8" i="1"/>
  <c r="AV8" i="1" s="1"/>
  <c r="AM585" i="1"/>
  <c r="AV585" i="1" s="1"/>
  <c r="AM205" i="1"/>
  <c r="AV205" i="1" s="1"/>
  <c r="AM707" i="1"/>
  <c r="AV707" i="1" s="1"/>
  <c r="AM536" i="1"/>
  <c r="AV536" i="1" s="1"/>
  <c r="AM167" i="1"/>
  <c r="AV167" i="1" s="1"/>
  <c r="AM342" i="1"/>
  <c r="AV342" i="1" s="1"/>
  <c r="AM810" i="1"/>
  <c r="AV810" i="1" s="1"/>
  <c r="AM198" i="1"/>
  <c r="AV198" i="1" s="1"/>
  <c r="AM74" i="1"/>
  <c r="AV74" i="1" s="1"/>
  <c r="AM372" i="1"/>
  <c r="AV372" i="1" s="1"/>
  <c r="AM906" i="1"/>
  <c r="AV906" i="1" s="1"/>
  <c r="AM907" i="1"/>
  <c r="AV907" i="1" s="1"/>
  <c r="AM188" i="1"/>
  <c r="AV188" i="1" s="1"/>
  <c r="AM611" i="1"/>
  <c r="AV611" i="1" s="1"/>
  <c r="AM402" i="1"/>
  <c r="AV402" i="1" s="1"/>
  <c r="AM700" i="1"/>
  <c r="AV700" i="1" s="1"/>
  <c r="AM807" i="1"/>
  <c r="AV807" i="1" s="1"/>
  <c r="AM759" i="1"/>
  <c r="AV759" i="1" s="1"/>
  <c r="AM787" i="1"/>
  <c r="AV787" i="1" s="1"/>
  <c r="AM755" i="1"/>
  <c r="AV755" i="1" s="1"/>
  <c r="AM414" i="1"/>
  <c r="AV414" i="1" s="1"/>
  <c r="AM908" i="1"/>
  <c r="AV908" i="1" s="1"/>
  <c r="AM68" i="1"/>
  <c r="AV68" i="1" s="1"/>
  <c r="AM94" i="1"/>
  <c r="AV94" i="1" s="1"/>
  <c r="AM21" i="1"/>
  <c r="AV21" i="1" s="1"/>
  <c r="AM805" i="1"/>
  <c r="AV805" i="1" s="1"/>
  <c r="AM252" i="1"/>
  <c r="AV252" i="1" s="1"/>
  <c r="AC300" i="1"/>
  <c r="AC270" i="1"/>
  <c r="AC389" i="1"/>
  <c r="AC744" i="1"/>
  <c r="AC176" i="1"/>
  <c r="AC597" i="1"/>
  <c r="AC513" i="1"/>
  <c r="AC161" i="1"/>
  <c r="AC752" i="1"/>
  <c r="AC598" i="1"/>
  <c r="AC254" i="1"/>
  <c r="AC419" i="1"/>
  <c r="AC797" i="1"/>
  <c r="AC425" i="1"/>
  <c r="AC310" i="1"/>
  <c r="AC269" i="1"/>
  <c r="AC229" i="1"/>
  <c r="AC675" i="1"/>
  <c r="AC259" i="1"/>
  <c r="AC455" i="1"/>
  <c r="AC462" i="1"/>
  <c r="AC452" i="1"/>
  <c r="AC745" i="1"/>
  <c r="AC85" i="1"/>
  <c r="AC345" i="1"/>
  <c r="AC386" i="1"/>
  <c r="AC778" i="1"/>
  <c r="AC346" i="1"/>
  <c r="AC720" i="1"/>
  <c r="AC50" i="1"/>
  <c r="AC638" i="1"/>
  <c r="AC385" i="1"/>
  <c r="AC255" i="1"/>
  <c r="AC180" i="1"/>
  <c r="AC362" i="1"/>
  <c r="AC696" i="1"/>
  <c r="AC210" i="1"/>
  <c r="AC378" i="1"/>
  <c r="AC343" i="1"/>
  <c r="AC398" i="1"/>
  <c r="AC795" i="1"/>
  <c r="AC271" i="1"/>
  <c r="AC217" i="1"/>
  <c r="AC15" i="1"/>
  <c r="AC246" i="1"/>
  <c r="AC280" i="1"/>
  <c r="AC468" i="1"/>
  <c r="AC125" i="1"/>
  <c r="AC803" i="1"/>
  <c r="AC143" i="1"/>
  <c r="AC363" i="1"/>
  <c r="AC553" i="1"/>
  <c r="AC615" i="1"/>
  <c r="AC660" i="1"/>
  <c r="AC437" i="1"/>
  <c r="AC48" i="1"/>
  <c r="AC251" i="1"/>
  <c r="AC241" i="1"/>
  <c r="AC139" i="1"/>
  <c r="AC367" i="1"/>
  <c r="AC27" i="1"/>
  <c r="AC422" i="1"/>
  <c r="AC142" i="1"/>
  <c r="AC743" i="1"/>
  <c r="AC478" i="1"/>
  <c r="AC347" i="1"/>
  <c r="AC130" i="1"/>
  <c r="AC730" i="1"/>
  <c r="AC580" i="1"/>
  <c r="AC56" i="1"/>
  <c r="AC552" i="1"/>
  <c r="AC518" i="1"/>
  <c r="AC731" i="1"/>
  <c r="AC368" i="1"/>
  <c r="AC708" i="1"/>
  <c r="AC678" i="1"/>
  <c r="AC774" i="1"/>
  <c r="AC273" i="1"/>
  <c r="AC542" i="1"/>
  <c r="AC267" i="1"/>
  <c r="AC364" i="1"/>
  <c r="AC330" i="1"/>
  <c r="AC261" i="1"/>
  <c r="AC230" i="1"/>
  <c r="AC265" i="1"/>
  <c r="AC106" i="1"/>
  <c r="AC305" i="1"/>
  <c r="AC605" i="1"/>
  <c r="AC523" i="1"/>
  <c r="AC459" i="1"/>
  <c r="AC231" i="1"/>
  <c r="AC201" i="1"/>
  <c r="AC751" i="1"/>
  <c r="AC193" i="1"/>
  <c r="AC711" i="1"/>
  <c r="AC445" i="1"/>
  <c r="AC763" i="1"/>
  <c r="AC218" i="1"/>
  <c r="AC671" i="1"/>
  <c r="AC483" i="1"/>
  <c r="AC472" i="1"/>
  <c r="AC223" i="1"/>
  <c r="AC67" i="1"/>
  <c r="AC365" i="1"/>
  <c r="AC283" i="1"/>
  <c r="AC735" i="1"/>
  <c r="AC355" i="1"/>
  <c r="AC651" i="1"/>
  <c r="AC10" i="1"/>
  <c r="AC60" i="1"/>
  <c r="AC324" i="1"/>
  <c r="AC426" i="1"/>
  <c r="AC502" i="1"/>
  <c r="AC62" i="1"/>
  <c r="AC339" i="1"/>
  <c r="AC203" i="1"/>
  <c r="AC274" i="1"/>
  <c r="AC732" i="1"/>
  <c r="AC392" i="1"/>
  <c r="AC4" i="1"/>
  <c r="AC253" i="1"/>
  <c r="AC680" i="1"/>
  <c r="AC772" i="1"/>
  <c r="AC702" i="1"/>
  <c r="AC412" i="1"/>
  <c r="AC247" i="1"/>
  <c r="AC31" i="1"/>
  <c r="AC779" i="1"/>
  <c r="AC369" i="1"/>
  <c r="AC26" i="1"/>
  <c r="AC738" i="1"/>
  <c r="AC493" i="1"/>
  <c r="AC748" i="1"/>
  <c r="AC17" i="1"/>
  <c r="AC479" i="1"/>
  <c r="AC185" i="1"/>
  <c r="AC105" i="1"/>
  <c r="AC55" i="1"/>
  <c r="AC107" i="1"/>
  <c r="AC199" i="1"/>
  <c r="AC571" i="1"/>
  <c r="AC698" i="1"/>
  <c r="AC423" i="1"/>
  <c r="AC35" i="1"/>
  <c r="AC86" i="1"/>
  <c r="AC226" i="1"/>
  <c r="AC206" i="1"/>
  <c r="AC770" i="1"/>
  <c r="AC61" i="1"/>
  <c r="AC464" i="1"/>
  <c r="AC550" i="1"/>
  <c r="AC359" i="1"/>
  <c r="AC312" i="1"/>
  <c r="AC470" i="1"/>
  <c r="AC791" i="1"/>
  <c r="AC692" i="1"/>
  <c r="AC91" i="1"/>
  <c r="AC760" i="1"/>
  <c r="AC813" i="1"/>
  <c r="AC506" i="1"/>
  <c r="AC728" i="1"/>
  <c r="AC814" i="1"/>
  <c r="AC764" i="1"/>
  <c r="AC753" i="1"/>
  <c r="AC514" i="1"/>
  <c r="AC703" i="1"/>
  <c r="AC150" i="1"/>
  <c r="AC777" i="1"/>
  <c r="AC32" i="1"/>
  <c r="AC543" i="1"/>
  <c r="AC187" i="1"/>
  <c r="AC329" i="1"/>
  <c r="AC96" i="1"/>
  <c r="AC294" i="1"/>
  <c r="AC761" i="1"/>
  <c r="AC354" i="1"/>
  <c r="AC645" i="1"/>
  <c r="AC118" i="1"/>
  <c r="AC162" i="1"/>
  <c r="AC248" i="1"/>
  <c r="AC589" i="1"/>
  <c r="AC601" i="1"/>
  <c r="AC591" i="1"/>
  <c r="AC582" i="1"/>
  <c r="AC357" i="1"/>
  <c r="AC408" i="1"/>
  <c r="AC220" i="1"/>
  <c r="AC465" i="1"/>
  <c r="AC688" i="1"/>
  <c r="AC20" i="1"/>
  <c r="AC554" i="1"/>
  <c r="AC194" i="1"/>
  <c r="AC652" i="1"/>
  <c r="AC695" i="1"/>
  <c r="AC551" i="1"/>
  <c r="AC113" i="1"/>
  <c r="AC684" i="1"/>
  <c r="AC583" i="1"/>
  <c r="AC815" i="1"/>
  <c r="AC239" i="1"/>
  <c r="AC816" i="1"/>
  <c r="AC817" i="1"/>
  <c r="AC818" i="1"/>
  <c r="AC819" i="1"/>
  <c r="AC820" i="1"/>
  <c r="AC166" i="1"/>
  <c r="AC99" i="1"/>
  <c r="AC82" i="1"/>
  <c r="AC786" i="1"/>
  <c r="AC555" i="1"/>
  <c r="AC516" i="1"/>
  <c r="AC212" i="1"/>
  <c r="AC92" i="1"/>
  <c r="AC446" i="1"/>
  <c r="AC821" i="1"/>
  <c r="AC505" i="1"/>
  <c r="AC758" i="1"/>
  <c r="AC302" i="1"/>
  <c r="AC567" i="1"/>
  <c r="AC237" i="1"/>
  <c r="AC144" i="1"/>
  <c r="AC655" i="1"/>
  <c r="AC178" i="1"/>
  <c r="AC151" i="1"/>
  <c r="AC618" i="1"/>
  <c r="AC51" i="1"/>
  <c r="AC57" i="1"/>
  <c r="AC822" i="1"/>
  <c r="AC295" i="1"/>
  <c r="AC394" i="1"/>
  <c r="AC323" i="1"/>
  <c r="AC418" i="1"/>
  <c r="AC628" i="1"/>
  <c r="AC490" i="1"/>
  <c r="AC697" i="1"/>
  <c r="AC823" i="1"/>
  <c r="AC824" i="1"/>
  <c r="AC154" i="1"/>
  <c r="AC825" i="1"/>
  <c r="AC44" i="1"/>
  <c r="AC440" i="1"/>
  <c r="AC71" i="1"/>
  <c r="AC561" i="1"/>
  <c r="AC648" i="1"/>
  <c r="AC314" i="1"/>
  <c r="AC432" i="1"/>
  <c r="AC481" i="1"/>
  <c r="AC370" i="1"/>
  <c r="AC712" i="1"/>
  <c r="AC430" i="1"/>
  <c r="AC827" i="1"/>
  <c r="AC771" i="1"/>
  <c r="AC828" i="1"/>
  <c r="AC607" i="1"/>
  <c r="AC704" i="1"/>
  <c r="AC168" i="1"/>
  <c r="AC381" i="1"/>
  <c r="AC590" i="1"/>
  <c r="AC612" i="1"/>
  <c r="AC829" i="1"/>
  <c r="AC784" i="1"/>
  <c r="AC395" i="1"/>
  <c r="AC420" i="1"/>
  <c r="AC89" i="1"/>
  <c r="AC830" i="1"/>
  <c r="AC126" i="1"/>
  <c r="AC63" i="1"/>
  <c r="AC95" i="1"/>
  <c r="AC619" i="1"/>
  <c r="AC530" i="1"/>
  <c r="AC303" i="1"/>
  <c r="AC114" i="1"/>
  <c r="AC694" i="1"/>
  <c r="AC331" i="1"/>
  <c r="AC832" i="1"/>
  <c r="AC281" i="1"/>
  <c r="AC723" i="1"/>
  <c r="AC80" i="1"/>
  <c r="AC158" i="1"/>
  <c r="AC224" i="1"/>
  <c r="AC639" i="1"/>
  <c r="AC733" i="1"/>
  <c r="AC155" i="1"/>
  <c r="AC520" i="1"/>
  <c r="AC234" i="1"/>
  <c r="AC679" i="1"/>
  <c r="AC649" i="1"/>
  <c r="AC604" i="1"/>
  <c r="AC366" i="1"/>
  <c r="AC460" i="1"/>
  <c r="AC373" i="1"/>
  <c r="AC138" i="1"/>
  <c r="AC613" i="1"/>
  <c r="AC620" i="1"/>
  <c r="AC221" i="1"/>
  <c r="AC189" i="1"/>
  <c r="AC148" i="1"/>
  <c r="AC507" i="1"/>
  <c r="AC672" i="1"/>
  <c r="AC637" i="1"/>
  <c r="AC833" i="1"/>
  <c r="AC236" i="1"/>
  <c r="AC146" i="1"/>
  <c r="AC834" i="1"/>
  <c r="AC616" i="1"/>
  <c r="AC785" i="1"/>
  <c r="AC233" i="1"/>
  <c r="AC65" i="1"/>
  <c r="AC746" i="1"/>
  <c r="AC145" i="1"/>
  <c r="AC288" i="1"/>
  <c r="AC134" i="1"/>
  <c r="AC835" i="1"/>
  <c r="AC379" i="1"/>
  <c r="AC77" i="1"/>
  <c r="AC699" i="1"/>
  <c r="AC836" i="1"/>
  <c r="AC689" i="1"/>
  <c r="AC257" i="1"/>
  <c r="AC614" i="1"/>
  <c r="AC594" i="1"/>
  <c r="AC837" i="1"/>
  <c r="AC401" i="1"/>
  <c r="AC609" i="1"/>
  <c r="AC641" i="1"/>
  <c r="AC315" i="1"/>
  <c r="AC804" i="1"/>
  <c r="AC100" i="1"/>
  <c r="AC282" i="1"/>
  <c r="AC407" i="1"/>
  <c r="AC508" i="1"/>
  <c r="AC18" i="1"/>
  <c r="AC756" i="1"/>
  <c r="AC693" i="1"/>
  <c r="AC535" i="1"/>
  <c r="AC93" i="1"/>
  <c r="AC317" i="1"/>
  <c r="AC690" i="1"/>
  <c r="AC396" i="1"/>
  <c r="AC45" i="1"/>
  <c r="AC775" i="1"/>
  <c r="AC9" i="1"/>
  <c r="AC603" i="1"/>
  <c r="AC724" i="1"/>
  <c r="AC510" i="1"/>
  <c r="AC427" i="1"/>
  <c r="AC163" i="1"/>
  <c r="AC653" i="1"/>
  <c r="AC456" i="1"/>
  <c r="AC757" i="1"/>
  <c r="AC289" i="1"/>
  <c r="AC211" i="1"/>
  <c r="AC556" i="1"/>
  <c r="AC290" i="1"/>
  <c r="AC664" i="1"/>
  <c r="AC839" i="1"/>
  <c r="AC207" i="1"/>
  <c r="AC450" i="1"/>
  <c r="AC97" i="1"/>
  <c r="AC663" i="1"/>
  <c r="AC461" i="1"/>
  <c r="AC840" i="1"/>
  <c r="AC22" i="1"/>
  <c r="AC725" i="1"/>
  <c r="AC806" i="1"/>
  <c r="AC519" i="1"/>
  <c r="AC431" i="1"/>
  <c r="AC429" i="1"/>
  <c r="AC826" i="1"/>
  <c r="AC602" i="1"/>
  <c r="AC841" i="1"/>
  <c r="AC127" i="1"/>
  <c r="AC766" i="1"/>
  <c r="AC524" i="1"/>
  <c r="AC656" i="1"/>
  <c r="AC98" i="1"/>
  <c r="AC646" i="1"/>
  <c r="AC808" i="1"/>
  <c r="AC715" i="1"/>
  <c r="AC165" i="1"/>
  <c r="AC123" i="1"/>
  <c r="AC374" i="1"/>
  <c r="AC501" i="1"/>
  <c r="AC842" i="1"/>
  <c r="AC291" i="1"/>
  <c r="AC121" i="1"/>
  <c r="AC196" i="1"/>
  <c r="AC577" i="1"/>
  <c r="AC632" i="1"/>
  <c r="AC249" i="1"/>
  <c r="AC831" i="1"/>
  <c r="AC625" i="1"/>
  <c r="AC533" i="1"/>
  <c r="AC843" i="1"/>
  <c r="AC33" i="1"/>
  <c r="AC515" i="1"/>
  <c r="AC164" i="1"/>
  <c r="AC441" i="1"/>
  <c r="AC498" i="1"/>
  <c r="AC135" i="1"/>
  <c r="AC736" i="1"/>
  <c r="AC23" i="1"/>
  <c r="AC721" i="1"/>
  <c r="AC297" i="1"/>
  <c r="AC845" i="1"/>
  <c r="AC442" i="1"/>
  <c r="AC846" i="1"/>
  <c r="AC313" i="1"/>
  <c r="AC773" i="1"/>
  <c r="AC544" i="1"/>
  <c r="AC847" i="1"/>
  <c r="AC534" i="1"/>
  <c r="AC413" i="1"/>
  <c r="AC848" i="1"/>
  <c r="AC326" i="1"/>
  <c r="AC227" i="1"/>
  <c r="AC584" i="1"/>
  <c r="AC541" i="1"/>
  <c r="AC521" i="1"/>
  <c r="AC299" i="1"/>
  <c r="AC52" i="1"/>
  <c r="AC849" i="1"/>
  <c r="AC850" i="1"/>
  <c r="AC801" i="1"/>
  <c r="AC573" i="1"/>
  <c r="AC209" i="1"/>
  <c r="AC64" i="1"/>
  <c r="AC592" i="1"/>
  <c r="AC659" i="1"/>
  <c r="AC39" i="1"/>
  <c r="AC335" i="1"/>
  <c r="AC447" i="1"/>
  <c r="AC122" i="1"/>
  <c r="AC719" i="1"/>
  <c r="AC306" i="1"/>
  <c r="AC765" i="1"/>
  <c r="AC716" i="1"/>
  <c r="AC851" i="1"/>
  <c r="AC197" i="1"/>
  <c r="AC811" i="1"/>
  <c r="AC108" i="1"/>
  <c r="AC159" i="1"/>
  <c r="AC527" i="1"/>
  <c r="AC547" i="1"/>
  <c r="AC245" i="1"/>
  <c r="AC69" i="1"/>
  <c r="AC124" i="1"/>
  <c r="AC53" i="1"/>
  <c r="AC852" i="1"/>
  <c r="AC780" i="1"/>
  <c r="AC853" i="1"/>
  <c r="AC854" i="1"/>
  <c r="AC491" i="1"/>
  <c r="AC537" i="1"/>
  <c r="AC34" i="1"/>
  <c r="AC3" i="1"/>
  <c r="AC287" i="1"/>
  <c r="AC444" i="1"/>
  <c r="AC16" i="1"/>
  <c r="AC260" i="1"/>
  <c r="AC58" i="1"/>
  <c r="AC84" i="1"/>
  <c r="AC380" i="1"/>
  <c r="AC190" i="1"/>
  <c r="AC434" i="1"/>
  <c r="AC238" i="1"/>
  <c r="AC855" i="1"/>
  <c r="AC308" i="1"/>
  <c r="AC75" i="1"/>
  <c r="AC624" i="1"/>
  <c r="AC856" i="1"/>
  <c r="AC424" i="1"/>
  <c r="AC428" i="1"/>
  <c r="AC458" i="1"/>
  <c r="AC642" i="1"/>
  <c r="AC635" i="1"/>
  <c r="AC352" i="1"/>
  <c r="AC49" i="1"/>
  <c r="AC319" i="1"/>
  <c r="AC587" i="1"/>
  <c r="AC657" i="1"/>
  <c r="AC499" i="1"/>
  <c r="AC382" i="1"/>
  <c r="AC307" i="1"/>
  <c r="AC662" i="1"/>
  <c r="AC298" i="1"/>
  <c r="AC754" i="1"/>
  <c r="AC421" i="1"/>
  <c r="AC857" i="1"/>
  <c r="AC276" i="1"/>
  <c r="AC469" i="1"/>
  <c r="AC327" i="1"/>
  <c r="AC497" i="1"/>
  <c r="AC375" i="1"/>
  <c r="AC415" i="1"/>
  <c r="AC578" i="1"/>
  <c r="AC115" i="1"/>
  <c r="AC595" i="1"/>
  <c r="AC858" i="1"/>
  <c r="AC859" i="1"/>
  <c r="AC480" i="1"/>
  <c r="AC654" i="1"/>
  <c r="AC383" i="1"/>
  <c r="AC802" i="1"/>
  <c r="AC860" i="1"/>
  <c r="AC606" i="1"/>
  <c r="AC588" i="1"/>
  <c r="AC661" i="1"/>
  <c r="AC243" i="1"/>
  <c r="AC548" i="1"/>
  <c r="AC861" i="1"/>
  <c r="AC119" i="1"/>
  <c r="AC393" i="1"/>
  <c r="AC862" i="1"/>
  <c r="AC681" i="1"/>
  <c r="AC782" i="1"/>
  <c r="AC340" i="1"/>
  <c r="AC46" i="1"/>
  <c r="AC863" i="1"/>
  <c r="AC788" i="1"/>
  <c r="AC293" i="1"/>
  <c r="AC864" i="1"/>
  <c r="AC172" i="1"/>
  <c r="AC568" i="1"/>
  <c r="AC24" i="1"/>
  <c r="AC325" i="1"/>
  <c r="AC565" i="1"/>
  <c r="AC78" i="1"/>
  <c r="AC665" i="1"/>
  <c r="AC865" i="1"/>
  <c r="AC242" i="1"/>
  <c r="AC466" i="1"/>
  <c r="AC866" i="1"/>
  <c r="AC722" i="1"/>
  <c r="AC169" i="1"/>
  <c r="AC181" i="1"/>
  <c r="AC838" i="1"/>
  <c r="AC266" i="1"/>
  <c r="AC79" i="1"/>
  <c r="AC463" i="1"/>
  <c r="AC867" i="1"/>
  <c r="AC349" i="1"/>
  <c r="AC482" i="1"/>
  <c r="AC222" i="1"/>
  <c r="AC157" i="1"/>
  <c r="AC750" i="1"/>
  <c r="AC781" i="1"/>
  <c r="AC13" i="1"/>
  <c r="AC674" i="1"/>
  <c r="AC160" i="1"/>
  <c r="AC195" i="1"/>
  <c r="AC348" i="1"/>
  <c r="AC709" i="1"/>
  <c r="AC277" i="1"/>
  <c r="AC47" i="1"/>
  <c r="AC19" i="1"/>
  <c r="AC713" i="1"/>
  <c r="AC729" i="1"/>
  <c r="AC36" i="1"/>
  <c r="AC868" i="1"/>
  <c r="AC70" i="1"/>
  <c r="AC538" i="1"/>
  <c r="AC66" i="1"/>
  <c r="AC869" i="1"/>
  <c r="AC72" i="1"/>
  <c r="AC213" i="1"/>
  <c r="AC529" i="1"/>
  <c r="AC714" i="1"/>
  <c r="AC353" i="1"/>
  <c r="AC81" i="1"/>
  <c r="AC129" i="1"/>
  <c r="AC643" i="1"/>
  <c r="AC574" i="1"/>
  <c r="AC691" i="1"/>
  <c r="AC539" i="1"/>
  <c r="AC403" i="1"/>
  <c r="AC182" i="1"/>
  <c r="AC73" i="1"/>
  <c r="AC87" i="1"/>
  <c r="AC870" i="1"/>
  <c r="AC322" i="1"/>
  <c r="AC800" i="1"/>
  <c r="AC132" i="1"/>
  <c r="AC666" i="1"/>
  <c r="AC495" i="1"/>
  <c r="AC286" i="1"/>
  <c r="AC528" i="1"/>
  <c r="AC29" i="1"/>
  <c r="AC360" i="1"/>
  <c r="AC522" i="1"/>
  <c r="AC484" i="1"/>
  <c r="AC669" i="1"/>
  <c r="AC512" i="1"/>
  <c r="AC503" i="1"/>
  <c r="AC214" i="1"/>
  <c r="AC443" i="1"/>
  <c r="AC173" i="1"/>
  <c r="AC667" i="1"/>
  <c r="AC562" i="1"/>
  <c r="AC337" i="1"/>
  <c r="AC59" i="1"/>
  <c r="AC336" i="1"/>
  <c r="AC284" i="1"/>
  <c r="AC872" i="1"/>
  <c r="AC256" i="1"/>
  <c r="AC873" i="1"/>
  <c r="AC285" i="1"/>
  <c r="AC390" i="1"/>
  <c r="AC467" i="1"/>
  <c r="AC272" i="1"/>
  <c r="AC874" i="1"/>
  <c r="AC875" i="1"/>
  <c r="AC621" i="1"/>
  <c r="AC876" i="1"/>
  <c r="AC789" i="1"/>
  <c r="AC794" i="1"/>
  <c r="AC131" i="1"/>
  <c r="AC133" i="1"/>
  <c r="AC909" i="1"/>
  <c r="AC877" i="1"/>
  <c r="AC799" i="1"/>
  <c r="AC174" i="1"/>
  <c r="AC332" i="1"/>
  <c r="AC177" i="1"/>
  <c r="AC30" i="1"/>
  <c r="AC878" i="1"/>
  <c r="AC449" i="1"/>
  <c r="AC566" i="1"/>
  <c r="AC879" i="1"/>
  <c r="AC41" i="1"/>
  <c r="AC569" i="1"/>
  <c r="AC5" i="1"/>
  <c r="AC880" i="1"/>
  <c r="AC433" i="1"/>
  <c r="AC141" i="1"/>
  <c r="AC718" i="1"/>
  <c r="AC881" i="1"/>
  <c r="AC705" i="1"/>
  <c r="AC882" i="1"/>
  <c r="AC559" i="1"/>
  <c r="AC812" i="1"/>
  <c r="AC883" i="1"/>
  <c r="AC156" i="1"/>
  <c r="AC668" i="1"/>
  <c r="AC633" i="1"/>
  <c r="AC457" i="1"/>
  <c r="AC884" i="1"/>
  <c r="AC170" i="1"/>
  <c r="AC12" i="1"/>
  <c r="AC42" i="1"/>
  <c r="AC405" i="1"/>
  <c r="AC448" i="1"/>
  <c r="AC215" i="1"/>
  <c r="AC599" i="1"/>
  <c r="AC885" i="1"/>
  <c r="AC109" i="1"/>
  <c r="AC474" i="1"/>
  <c r="AC104" i="1"/>
  <c r="AC304" i="1"/>
  <c r="AC500" i="1"/>
  <c r="AC171" i="1"/>
  <c r="AC629" i="1"/>
  <c r="AC910" i="1"/>
  <c r="AC219" i="1"/>
  <c r="AC387" i="1"/>
  <c r="AC726" i="1"/>
  <c r="AC183" i="1"/>
  <c r="AC128" i="1"/>
  <c r="AC485" i="1"/>
  <c r="AC685" i="1"/>
  <c r="AC687" i="1"/>
  <c r="AC783" i="1"/>
  <c r="AC111" i="1"/>
  <c r="AC792" i="1"/>
  <c r="AC517" i="1"/>
  <c r="AC338" i="1"/>
  <c r="AC376" i="1"/>
  <c r="AC416" i="1"/>
  <c r="AC790" i="1"/>
  <c r="AC558" i="1"/>
  <c r="AC911" i="1"/>
  <c r="AC232" i="1"/>
  <c r="AC435" i="1"/>
  <c r="AC318" i="1"/>
  <c r="AC202" i="1"/>
  <c r="AC321" i="1"/>
  <c r="AC147" i="1"/>
  <c r="AC475" i="1"/>
  <c r="AC358" i="1"/>
  <c r="AC311" i="1"/>
  <c r="AC225" i="1"/>
  <c r="AC647" i="1"/>
  <c r="AC886" i="1"/>
  <c r="AC453" i="1"/>
  <c r="AC406" i="1"/>
  <c r="AC476" i="1"/>
  <c r="AC576" i="1"/>
  <c r="AC626" i="1"/>
  <c r="AC546" i="1"/>
  <c r="AC734" i="1"/>
  <c r="AC739" i="1"/>
  <c r="AC798" i="1"/>
  <c r="AC309" i="1"/>
  <c r="AC912" i="1"/>
  <c r="AC244" i="1"/>
  <c r="AC640" i="1"/>
  <c r="AC341" i="1"/>
  <c r="AC636" i="1"/>
  <c r="AC333" i="1"/>
  <c r="AC593" i="1"/>
  <c r="AC14" i="1"/>
  <c r="AC350" i="1"/>
  <c r="AC6" i="1"/>
  <c r="AC913" i="1"/>
  <c r="AC887" i="1"/>
  <c r="AC101" i="1"/>
  <c r="AC391" i="1"/>
  <c r="AC216" i="1"/>
  <c r="AC292" i="1"/>
  <c r="AC278" i="1"/>
  <c r="AC404" i="1"/>
  <c r="AC54" i="1"/>
  <c r="AC509" i="1"/>
  <c r="AC400" i="1"/>
  <c r="AC120" i="1"/>
  <c r="AC888" i="1"/>
  <c r="AC889" i="1"/>
  <c r="AC809" i="1"/>
  <c r="AC727" i="1"/>
  <c r="AC361" i="1"/>
  <c r="AC436" i="1"/>
  <c r="AC149" i="1"/>
  <c r="AC184" i="1"/>
  <c r="AC102" i="1"/>
  <c r="AC486" i="1"/>
  <c r="AC110" i="1"/>
  <c r="AC279" i="1"/>
  <c r="AC563" i="1"/>
  <c r="AC686" i="1"/>
  <c r="AC890" i="1"/>
  <c r="AC701" i="1"/>
  <c r="AC152" i="1"/>
  <c r="AC250" i="1"/>
  <c r="AC296" i="1"/>
  <c r="AC741" i="1"/>
  <c r="AC2" i="1"/>
  <c r="AC737" i="1"/>
  <c r="AC575" i="1"/>
  <c r="AC658" i="1"/>
  <c r="AC320" i="1"/>
  <c r="AC153" i="1"/>
  <c r="AC557" i="1"/>
  <c r="AC371" i="1"/>
  <c r="AC891" i="1"/>
  <c r="AC240" i="1"/>
  <c r="AC892" i="1"/>
  <c r="AC136" i="1"/>
  <c r="AC631" i="1"/>
  <c r="AC40" i="1"/>
  <c r="AC893" i="1"/>
  <c r="AC894" i="1"/>
  <c r="AC268" i="1"/>
  <c r="AC37" i="1"/>
  <c r="AC540" i="1"/>
  <c r="AC200" i="1"/>
  <c r="AC570" i="1"/>
  <c r="AC175" i="1"/>
  <c r="AC316" i="1"/>
  <c r="AC264" i="1"/>
  <c r="AC531" i="1"/>
  <c r="AC186" i="1"/>
  <c r="AC334" i="1"/>
  <c r="AC622" i="1"/>
  <c r="AC179" i="1"/>
  <c r="AC644" i="1"/>
  <c r="AC262" i="1"/>
  <c r="AC895" i="1"/>
  <c r="AC140" i="1"/>
  <c r="AC670" i="1"/>
  <c r="AC83" i="1"/>
  <c r="AC793" i="1"/>
  <c r="AC504" i="1"/>
  <c r="AC409" i="1"/>
  <c r="AC762" i="1"/>
  <c r="AC564" i="1"/>
  <c r="AC377" i="1"/>
  <c r="AC492" i="1"/>
  <c r="AC747" i="1"/>
  <c r="AC650" i="1"/>
  <c r="AC88" i="1"/>
  <c r="AC411" i="1"/>
  <c r="AC208" i="1"/>
  <c r="AC623" i="1"/>
  <c r="AC706" i="1"/>
  <c r="AC7" i="1"/>
  <c r="AC896" i="1"/>
  <c r="AC560" i="1"/>
  <c r="AC328" i="1"/>
  <c r="AC897" i="1"/>
  <c r="AC487" i="1"/>
  <c r="AC235" i="1"/>
  <c r="AC410" i="1"/>
  <c r="AC439" i="1"/>
  <c r="AC545" i="1"/>
  <c r="AC581" i="1"/>
  <c r="AC717" i="1"/>
  <c r="AC388" i="1"/>
  <c r="AC796" i="1"/>
  <c r="AC898" i="1"/>
  <c r="AC676" i="1"/>
  <c r="AC525" i="1"/>
  <c r="AC608" i="1"/>
  <c r="AC191" i="1"/>
  <c r="AC356" i="1"/>
  <c r="AC899" i="1"/>
  <c r="AC417" i="1"/>
  <c r="AC776" i="1"/>
  <c r="AC526" i="1"/>
  <c r="AC900" i="1"/>
  <c r="AC767" i="1"/>
  <c r="AC488" i="1"/>
  <c r="AC116" i="1"/>
  <c r="AC683" i="1"/>
  <c r="AC454" i="1"/>
  <c r="AC76" i="1"/>
  <c r="AC137" i="1"/>
  <c r="AC600" i="1"/>
  <c r="AC610" i="1"/>
  <c r="AC579" i="1"/>
  <c r="AC228" i="1"/>
  <c r="AC112" i="1"/>
  <c r="AC117" i="1"/>
  <c r="AC596" i="1"/>
  <c r="AC901" i="1"/>
  <c r="AC258" i="1"/>
  <c r="AC204" i="1"/>
  <c r="AC192" i="1"/>
  <c r="AC43" i="1"/>
  <c r="AC902" i="1"/>
  <c r="AC38" i="1"/>
  <c r="AC532" i="1"/>
  <c r="AC549" i="1"/>
  <c r="AC634" i="1"/>
  <c r="AC749" i="1"/>
  <c r="AC489" i="1"/>
  <c r="AC903" i="1"/>
  <c r="AC384" i="1"/>
  <c r="AC572" i="1"/>
  <c r="AC617" i="1"/>
  <c r="AC627" i="1"/>
  <c r="AC904" i="1"/>
  <c r="AC11" i="1"/>
  <c r="AC473" i="1"/>
  <c r="AC677" i="1"/>
  <c r="AC275" i="1"/>
  <c r="AC905" i="1"/>
  <c r="AC740" i="1"/>
  <c r="AC25" i="1"/>
  <c r="AC742" i="1"/>
  <c r="AC90" i="1"/>
  <c r="AC397" i="1"/>
  <c r="AC477" i="1"/>
  <c r="AC586" i="1"/>
  <c r="AC451" i="1"/>
  <c r="AC8" i="1"/>
  <c r="AC585" i="1"/>
  <c r="AC205" i="1"/>
  <c r="AC707" i="1"/>
  <c r="AC536" i="1"/>
  <c r="AC167" i="1"/>
  <c r="AC342" i="1"/>
  <c r="AC810" i="1"/>
  <c r="AC198" i="1"/>
  <c r="AC74" i="1"/>
  <c r="AC372" i="1"/>
  <c r="AC906" i="1"/>
  <c r="AC907" i="1"/>
  <c r="AC188" i="1"/>
  <c r="AC611" i="1"/>
  <c r="AC402" i="1"/>
  <c r="AC700" i="1"/>
  <c r="AC807" i="1"/>
  <c r="AC759" i="1"/>
  <c r="AC787" i="1"/>
  <c r="AC755" i="1"/>
  <c r="AC414" i="1"/>
  <c r="AC68" i="1"/>
  <c r="AC94" i="1"/>
  <c r="AC21" i="1"/>
  <c r="AC805" i="1"/>
  <c r="AC252" i="1"/>
  <c r="Z300" i="1"/>
  <c r="Z270" i="1"/>
  <c r="Z389" i="1"/>
  <c r="Z744" i="1"/>
  <c r="Z176" i="1"/>
  <c r="Z597" i="1"/>
  <c r="Z513" i="1"/>
  <c r="Z161" i="1"/>
  <c r="Z752" i="1"/>
  <c r="Z598" i="1"/>
  <c r="Z254" i="1"/>
  <c r="Z419" i="1"/>
  <c r="Z797" i="1"/>
  <c r="Z425" i="1"/>
  <c r="Z310" i="1"/>
  <c r="Z269" i="1"/>
  <c r="Z229" i="1"/>
  <c r="Z675" i="1"/>
  <c r="Z259" i="1"/>
  <c r="Z455" i="1"/>
  <c r="Z462" i="1"/>
  <c r="Z452" i="1"/>
  <c r="Z745" i="1"/>
  <c r="Z85" i="1"/>
  <c r="Z345" i="1"/>
  <c r="Z386" i="1"/>
  <c r="Z778" i="1"/>
  <c r="Z346" i="1"/>
  <c r="Z720" i="1"/>
  <c r="Z50" i="1"/>
  <c r="Z638" i="1"/>
  <c r="Z385" i="1"/>
  <c r="Z255" i="1"/>
  <c r="Z471" i="1"/>
  <c r="Z180" i="1"/>
  <c r="Z362" i="1"/>
  <c r="Z696" i="1"/>
  <c r="Z210" i="1"/>
  <c r="Z378" i="1"/>
  <c r="Z343" i="1"/>
  <c r="Z398" i="1"/>
  <c r="Z795" i="1"/>
  <c r="Z271" i="1"/>
  <c r="Z217" i="1"/>
  <c r="Z15" i="1"/>
  <c r="Z246" i="1"/>
  <c r="Z280" i="1"/>
  <c r="Z468" i="1"/>
  <c r="Z125" i="1"/>
  <c r="Z803" i="1"/>
  <c r="Z143" i="1"/>
  <c r="Z363" i="1"/>
  <c r="Z553" i="1"/>
  <c r="Z615" i="1"/>
  <c r="Z660" i="1"/>
  <c r="Z437" i="1"/>
  <c r="Z48" i="1"/>
  <c r="Z301" i="1"/>
  <c r="Z251" i="1"/>
  <c r="Z241" i="1"/>
  <c r="Z139" i="1"/>
  <c r="Z367" i="1"/>
  <c r="Z27" i="1"/>
  <c r="Z422" i="1"/>
  <c r="Z142" i="1"/>
  <c r="Z743" i="1"/>
  <c r="Z478" i="1"/>
  <c r="Z347" i="1"/>
  <c r="Z130" i="1"/>
  <c r="Z730" i="1"/>
  <c r="Z580" i="1"/>
  <c r="Z56" i="1"/>
  <c r="Z552" i="1"/>
  <c r="Z518" i="1"/>
  <c r="Z731" i="1"/>
  <c r="Z368" i="1"/>
  <c r="Z708" i="1"/>
  <c r="Z678" i="1"/>
  <c r="Z774" i="1"/>
  <c r="Z273" i="1"/>
  <c r="Z542" i="1"/>
  <c r="Z267" i="1"/>
  <c r="Z364" i="1"/>
  <c r="Z330" i="1"/>
  <c r="Z261" i="1"/>
  <c r="Z230" i="1"/>
  <c r="Z265" i="1"/>
  <c r="Z106" i="1"/>
  <c r="Z305" i="1"/>
  <c r="Z605" i="1"/>
  <c r="Z523" i="1"/>
  <c r="Z459" i="1"/>
  <c r="Z231" i="1"/>
  <c r="Z201" i="1"/>
  <c r="Z751" i="1"/>
  <c r="Z193" i="1"/>
  <c r="Z711" i="1"/>
  <c r="Z28" i="1"/>
  <c r="Z445" i="1"/>
  <c r="Z763" i="1"/>
  <c r="Z218" i="1"/>
  <c r="Z671" i="1"/>
  <c r="Z483" i="1"/>
  <c r="Z472" i="1"/>
  <c r="Z223" i="1"/>
  <c r="Z67" i="1"/>
  <c r="Z365" i="1"/>
  <c r="Z283" i="1"/>
  <c r="Z735" i="1"/>
  <c r="Z355" i="1"/>
  <c r="Z651" i="1"/>
  <c r="Z10" i="1"/>
  <c r="Z60" i="1"/>
  <c r="Z324" i="1"/>
  <c r="Z426" i="1"/>
  <c r="Z502" i="1"/>
  <c r="Z62" i="1"/>
  <c r="Z339" i="1"/>
  <c r="Z203" i="1"/>
  <c r="Z274" i="1"/>
  <c r="Z732" i="1"/>
  <c r="Z392" i="1"/>
  <c r="Z4" i="1"/>
  <c r="Z253" i="1"/>
  <c r="Z680" i="1"/>
  <c r="Z772" i="1"/>
  <c r="Z702" i="1"/>
  <c r="Z412" i="1"/>
  <c r="Z247" i="1"/>
  <c r="Z31" i="1"/>
  <c r="Z779" i="1"/>
  <c r="Z369" i="1"/>
  <c r="Z26" i="1"/>
  <c r="Z673" i="1"/>
  <c r="Z738" i="1"/>
  <c r="Z493" i="1"/>
  <c r="Z748" i="1"/>
  <c r="Z17" i="1"/>
  <c r="Z479" i="1"/>
  <c r="Z185" i="1"/>
  <c r="Z105" i="1"/>
  <c r="Z55" i="1"/>
  <c r="Z107" i="1"/>
  <c r="Z199" i="1"/>
  <c r="Z571" i="1"/>
  <c r="Z698" i="1"/>
  <c r="Z423" i="1"/>
  <c r="Z494" i="1"/>
  <c r="Z35" i="1"/>
  <c r="Z86" i="1"/>
  <c r="Z226" i="1"/>
  <c r="Z206" i="1"/>
  <c r="Z770" i="1"/>
  <c r="Z61" i="1"/>
  <c r="Z464" i="1"/>
  <c r="Z550" i="1"/>
  <c r="Z359" i="1"/>
  <c r="Z312" i="1"/>
  <c r="Z470" i="1"/>
  <c r="Z791" i="1"/>
  <c r="Z692" i="1"/>
  <c r="Z91" i="1"/>
  <c r="Z768" i="1"/>
  <c r="Z760" i="1"/>
  <c r="Z813" i="1"/>
  <c r="Z506" i="1"/>
  <c r="Z728" i="1"/>
  <c r="Z814" i="1"/>
  <c r="Z764" i="1"/>
  <c r="Z753" i="1"/>
  <c r="Z514" i="1"/>
  <c r="Z703" i="1"/>
  <c r="Z150" i="1"/>
  <c r="Z777" i="1"/>
  <c r="Z32" i="1"/>
  <c r="Z543" i="1"/>
  <c r="Z187" i="1"/>
  <c r="Z329" i="1"/>
  <c r="Z96" i="1"/>
  <c r="Z294" i="1"/>
  <c r="Z761" i="1"/>
  <c r="Z354" i="1"/>
  <c r="Z645" i="1"/>
  <c r="Z118" i="1"/>
  <c r="Z162" i="1"/>
  <c r="Z248" i="1"/>
  <c r="Z589" i="1"/>
  <c r="Z601" i="1"/>
  <c r="Z591" i="1"/>
  <c r="Z582" i="1"/>
  <c r="Z357" i="1"/>
  <c r="Z408" i="1"/>
  <c r="Z220" i="1"/>
  <c r="Z465" i="1"/>
  <c r="Z688" i="1"/>
  <c r="Z20" i="1"/>
  <c r="Z554" i="1"/>
  <c r="Z194" i="1"/>
  <c r="Z399" i="1"/>
  <c r="Z652" i="1"/>
  <c r="Z695" i="1"/>
  <c r="Z551" i="1"/>
  <c r="Z113" i="1"/>
  <c r="Z684" i="1"/>
  <c r="Z583" i="1"/>
  <c r="Z815" i="1"/>
  <c r="Z239" i="1"/>
  <c r="Z816" i="1"/>
  <c r="Z817" i="1"/>
  <c r="Z818" i="1"/>
  <c r="Z819" i="1"/>
  <c r="Z820" i="1"/>
  <c r="Z166" i="1"/>
  <c r="Z99" i="1"/>
  <c r="Z82" i="1"/>
  <c r="Z786" i="1"/>
  <c r="Z555" i="1"/>
  <c r="Z516" i="1"/>
  <c r="Z212" i="1"/>
  <c r="Z92" i="1"/>
  <c r="Z446" i="1"/>
  <c r="Z821" i="1"/>
  <c r="Z505" i="1"/>
  <c r="Z758" i="1"/>
  <c r="Z302" i="1"/>
  <c r="Z567" i="1"/>
  <c r="Z237" i="1"/>
  <c r="Z144" i="1"/>
  <c r="Z655" i="1"/>
  <c r="Z178" i="1"/>
  <c r="Z151" i="1"/>
  <c r="Z618" i="1"/>
  <c r="Z351" i="1"/>
  <c r="Z51" i="1"/>
  <c r="Z57" i="1"/>
  <c r="Z822" i="1"/>
  <c r="Z295" i="1"/>
  <c r="Z394" i="1"/>
  <c r="Z323" i="1"/>
  <c r="Z418" i="1"/>
  <c r="Z628" i="1"/>
  <c r="Z490" i="1"/>
  <c r="Z697" i="1"/>
  <c r="Z823" i="1"/>
  <c r="Z824" i="1"/>
  <c r="Z154" i="1"/>
  <c r="Z825" i="1"/>
  <c r="Z44" i="1"/>
  <c r="Z440" i="1"/>
  <c r="Z71" i="1"/>
  <c r="Z561" i="1"/>
  <c r="Z648" i="1"/>
  <c r="Z314" i="1"/>
  <c r="Z432" i="1"/>
  <c r="Z481" i="1"/>
  <c r="Z370" i="1"/>
  <c r="Z712" i="1"/>
  <c r="Z430" i="1"/>
  <c r="Z827" i="1"/>
  <c r="Z771" i="1"/>
  <c r="Z828" i="1"/>
  <c r="Z607" i="1"/>
  <c r="Z704" i="1"/>
  <c r="Z168" i="1"/>
  <c r="Z381" i="1"/>
  <c r="Z590" i="1"/>
  <c r="Z612" i="1"/>
  <c r="Z829" i="1"/>
  <c r="Z784" i="1"/>
  <c r="Z395" i="1"/>
  <c r="Z420" i="1"/>
  <c r="Z89" i="1"/>
  <c r="Z830" i="1"/>
  <c r="Z126" i="1"/>
  <c r="Z63" i="1"/>
  <c r="Z95" i="1"/>
  <c r="Z619" i="1"/>
  <c r="Z530" i="1"/>
  <c r="Z303" i="1"/>
  <c r="Z114" i="1"/>
  <c r="Z694" i="1"/>
  <c r="Z331" i="1"/>
  <c r="Z832" i="1"/>
  <c r="Z281" i="1"/>
  <c r="Z723" i="1"/>
  <c r="Z80" i="1"/>
  <c r="Z158" i="1"/>
  <c r="Z224" i="1"/>
  <c r="Z639" i="1"/>
  <c r="Z733" i="1"/>
  <c r="Z155" i="1"/>
  <c r="Z520" i="1"/>
  <c r="Z234" i="1"/>
  <c r="Z679" i="1"/>
  <c r="Z649" i="1"/>
  <c r="Z604" i="1"/>
  <c r="Z366" i="1"/>
  <c r="Z460" i="1"/>
  <c r="Z373" i="1"/>
  <c r="Z138" i="1"/>
  <c r="Z613" i="1"/>
  <c r="Z620" i="1"/>
  <c r="Z221" i="1"/>
  <c r="Z189" i="1"/>
  <c r="Z148" i="1"/>
  <c r="Z507" i="1"/>
  <c r="Z672" i="1"/>
  <c r="Z637" i="1"/>
  <c r="Z833" i="1"/>
  <c r="Z236" i="1"/>
  <c r="Z146" i="1"/>
  <c r="Z834" i="1"/>
  <c r="Z616" i="1"/>
  <c r="Z785" i="1"/>
  <c r="Z233" i="1"/>
  <c r="Z65" i="1"/>
  <c r="Z746" i="1"/>
  <c r="Z145" i="1"/>
  <c r="Z288" i="1"/>
  <c r="Z134" i="1"/>
  <c r="Z835" i="1"/>
  <c r="Z379" i="1"/>
  <c r="Z77" i="1"/>
  <c r="Z699" i="1"/>
  <c r="Z836" i="1"/>
  <c r="Z689" i="1"/>
  <c r="Z257" i="1"/>
  <c r="Z614" i="1"/>
  <c r="Z594" i="1"/>
  <c r="Z837" i="1"/>
  <c r="Z401" i="1"/>
  <c r="Z609" i="1"/>
  <c r="Z641" i="1"/>
  <c r="Z315" i="1"/>
  <c r="Z804" i="1"/>
  <c r="Z100" i="1"/>
  <c r="Z282" i="1"/>
  <c r="Z407" i="1"/>
  <c r="Z508" i="1"/>
  <c r="Z18" i="1"/>
  <c r="Z756" i="1"/>
  <c r="Z693" i="1"/>
  <c r="Z535" i="1"/>
  <c r="Z93" i="1"/>
  <c r="Z317" i="1"/>
  <c r="Z690" i="1"/>
  <c r="Z396" i="1"/>
  <c r="Z45" i="1"/>
  <c r="Z775" i="1"/>
  <c r="Z9" i="1"/>
  <c r="Z603" i="1"/>
  <c r="Z724" i="1"/>
  <c r="Z510" i="1"/>
  <c r="Z427" i="1"/>
  <c r="Z163" i="1"/>
  <c r="Z653" i="1"/>
  <c r="Z456" i="1"/>
  <c r="Z757" i="1"/>
  <c r="Z289" i="1"/>
  <c r="Z211" i="1"/>
  <c r="Z556" i="1"/>
  <c r="Z290" i="1"/>
  <c r="Z664" i="1"/>
  <c r="Z839" i="1"/>
  <c r="Z207" i="1"/>
  <c r="Z450" i="1"/>
  <c r="Z97" i="1"/>
  <c r="Z663" i="1"/>
  <c r="Z461" i="1"/>
  <c r="Z840" i="1"/>
  <c r="Z22" i="1"/>
  <c r="Z725" i="1"/>
  <c r="Z806" i="1"/>
  <c r="Z519" i="1"/>
  <c r="Z431" i="1"/>
  <c r="Z429" i="1"/>
  <c r="Z826" i="1"/>
  <c r="Z602" i="1"/>
  <c r="Z841" i="1"/>
  <c r="Z127" i="1"/>
  <c r="Z766" i="1"/>
  <c r="Z524" i="1"/>
  <c r="Z656" i="1"/>
  <c r="Z98" i="1"/>
  <c r="Z646" i="1"/>
  <c r="Z808" i="1"/>
  <c r="Z715" i="1"/>
  <c r="Z165" i="1"/>
  <c r="Z123" i="1"/>
  <c r="Z374" i="1"/>
  <c r="Z501" i="1"/>
  <c r="Z842" i="1"/>
  <c r="Z291" i="1"/>
  <c r="Z121" i="1"/>
  <c r="Z196" i="1"/>
  <c r="Z577" i="1"/>
  <c r="Z632" i="1"/>
  <c r="Z249" i="1"/>
  <c r="Z831" i="1"/>
  <c r="Z625" i="1"/>
  <c r="Z533" i="1"/>
  <c r="Z103" i="1"/>
  <c r="Z843" i="1"/>
  <c r="Z33" i="1"/>
  <c r="Z844" i="1"/>
  <c r="Z515" i="1"/>
  <c r="Z164" i="1"/>
  <c r="Z441" i="1"/>
  <c r="Z498" i="1"/>
  <c r="Z135" i="1"/>
  <c r="Z736" i="1"/>
  <c r="Z23" i="1"/>
  <c r="Z721" i="1"/>
  <c r="Z297" i="1"/>
  <c r="Z845" i="1"/>
  <c r="Z442" i="1"/>
  <c r="Z846" i="1"/>
  <c r="Z313" i="1"/>
  <c r="Z773" i="1"/>
  <c r="Z544" i="1"/>
  <c r="Z847" i="1"/>
  <c r="Z534" i="1"/>
  <c r="Z413" i="1"/>
  <c r="Z848" i="1"/>
  <c r="Z326" i="1"/>
  <c r="Z227" i="1"/>
  <c r="Z584" i="1"/>
  <c r="Z541" i="1"/>
  <c r="Z521" i="1"/>
  <c r="Z299" i="1"/>
  <c r="Z52" i="1"/>
  <c r="Z849" i="1"/>
  <c r="Z850" i="1"/>
  <c r="Z801" i="1"/>
  <c r="Z573" i="1"/>
  <c r="Z209" i="1"/>
  <c r="Z64" i="1"/>
  <c r="Z592" i="1"/>
  <c r="Z659" i="1"/>
  <c r="Z39" i="1"/>
  <c r="Z335" i="1"/>
  <c r="Z447" i="1"/>
  <c r="Z122" i="1"/>
  <c r="Z719" i="1"/>
  <c r="Z306" i="1"/>
  <c r="Z765" i="1"/>
  <c r="Z716" i="1"/>
  <c r="Z851" i="1"/>
  <c r="Z197" i="1"/>
  <c r="Z811" i="1"/>
  <c r="Z108" i="1"/>
  <c r="Z159" i="1"/>
  <c r="Z527" i="1"/>
  <c r="Z547" i="1"/>
  <c r="Z245" i="1"/>
  <c r="Z69" i="1"/>
  <c r="Z124" i="1"/>
  <c r="Z53" i="1"/>
  <c r="Z852" i="1"/>
  <c r="Z780" i="1"/>
  <c r="Z853" i="1"/>
  <c r="Z854" i="1"/>
  <c r="Z491" i="1"/>
  <c r="Z537" i="1"/>
  <c r="Z34" i="1"/>
  <c r="Z3" i="1"/>
  <c r="Z287" i="1"/>
  <c r="Z444" i="1"/>
  <c r="Z16" i="1"/>
  <c r="Z260" i="1"/>
  <c r="Z58" i="1"/>
  <c r="Z84" i="1"/>
  <c r="Z380" i="1"/>
  <c r="Z190" i="1"/>
  <c r="Z434" i="1"/>
  <c r="Z238" i="1"/>
  <c r="Z855" i="1"/>
  <c r="Z308" i="1"/>
  <c r="Z75" i="1"/>
  <c r="Z438" i="1"/>
  <c r="Z624" i="1"/>
  <c r="Z856" i="1"/>
  <c r="Z424" i="1"/>
  <c r="Z428" i="1"/>
  <c r="Z458" i="1"/>
  <c r="Z642" i="1"/>
  <c r="Z635" i="1"/>
  <c r="Z352" i="1"/>
  <c r="Z49" i="1"/>
  <c r="Z319" i="1"/>
  <c r="Z587" i="1"/>
  <c r="Z657" i="1"/>
  <c r="Z499" i="1"/>
  <c r="Z382" i="1"/>
  <c r="Z307" i="1"/>
  <c r="Z662" i="1"/>
  <c r="Z298" i="1"/>
  <c r="Z754" i="1"/>
  <c r="Z421" i="1"/>
  <c r="Z857" i="1"/>
  <c r="Z276" i="1"/>
  <c r="Z469" i="1"/>
  <c r="Z327" i="1"/>
  <c r="Z497" i="1"/>
  <c r="Z375" i="1"/>
  <c r="Z415" i="1"/>
  <c r="Z578" i="1"/>
  <c r="Z115" i="1"/>
  <c r="Z595" i="1"/>
  <c r="Z858" i="1"/>
  <c r="Z859" i="1"/>
  <c r="Z480" i="1"/>
  <c r="Z654" i="1"/>
  <c r="Z383" i="1"/>
  <c r="Z802" i="1"/>
  <c r="Z860" i="1"/>
  <c r="Z606" i="1"/>
  <c r="Z588" i="1"/>
  <c r="Z661" i="1"/>
  <c r="Z243" i="1"/>
  <c r="Z548" i="1"/>
  <c r="Z861" i="1"/>
  <c r="Z119" i="1"/>
  <c r="Z393" i="1"/>
  <c r="Z862" i="1"/>
  <c r="Z681" i="1"/>
  <c r="Z782" i="1"/>
  <c r="Z340" i="1"/>
  <c r="Z46" i="1"/>
  <c r="Z863" i="1"/>
  <c r="Z263" i="1"/>
  <c r="Z788" i="1"/>
  <c r="Z293" i="1"/>
  <c r="Z864" i="1"/>
  <c r="Z172" i="1"/>
  <c r="Z568" i="1"/>
  <c r="Z24" i="1"/>
  <c r="Z325" i="1"/>
  <c r="Z565" i="1"/>
  <c r="Z78" i="1"/>
  <c r="Z665" i="1"/>
  <c r="Z865" i="1"/>
  <c r="Z242" i="1"/>
  <c r="Z466" i="1"/>
  <c r="Z866" i="1"/>
  <c r="Z722" i="1"/>
  <c r="Z169" i="1"/>
  <c r="Z181" i="1"/>
  <c r="Z838" i="1"/>
  <c r="Z266" i="1"/>
  <c r="Z79" i="1"/>
  <c r="Z463" i="1"/>
  <c r="Z867" i="1"/>
  <c r="Z349" i="1"/>
  <c r="Z482" i="1"/>
  <c r="Z222" i="1"/>
  <c r="Z157" i="1"/>
  <c r="Z750" i="1"/>
  <c r="Z781" i="1"/>
  <c r="Z13" i="1"/>
  <c r="Z674" i="1"/>
  <c r="Z160" i="1"/>
  <c r="Z195" i="1"/>
  <c r="Z348" i="1"/>
  <c r="Z709" i="1"/>
  <c r="Z277" i="1"/>
  <c r="Z47" i="1"/>
  <c r="Z19" i="1"/>
  <c r="Z713" i="1"/>
  <c r="Z729" i="1"/>
  <c r="Z871" i="1"/>
  <c r="Z36" i="1"/>
  <c r="Z868" i="1"/>
  <c r="Z70" i="1"/>
  <c r="Z538" i="1"/>
  <c r="Z66" i="1"/>
  <c r="Z869" i="1"/>
  <c r="Z72" i="1"/>
  <c r="Z213" i="1"/>
  <c r="Z529" i="1"/>
  <c r="Z714" i="1"/>
  <c r="Z353" i="1"/>
  <c r="Z81" i="1"/>
  <c r="Z129" i="1"/>
  <c r="Z643" i="1"/>
  <c r="Z574" i="1"/>
  <c r="Z691" i="1"/>
  <c r="Z539" i="1"/>
  <c r="Z403" i="1"/>
  <c r="Z182" i="1"/>
  <c r="Z73" i="1"/>
  <c r="Z87" i="1"/>
  <c r="Z870" i="1"/>
  <c r="Z322" i="1"/>
  <c r="Z800" i="1"/>
  <c r="Z132" i="1"/>
  <c r="Z666" i="1"/>
  <c r="Z495" i="1"/>
  <c r="Z286" i="1"/>
  <c r="Z528" i="1"/>
  <c r="Z29" i="1"/>
  <c r="Z360" i="1"/>
  <c r="Z522" i="1"/>
  <c r="Z484" i="1"/>
  <c r="Z669" i="1"/>
  <c r="Z512" i="1"/>
  <c r="Z503" i="1"/>
  <c r="Z214" i="1"/>
  <c r="Z443" i="1"/>
  <c r="Z173" i="1"/>
  <c r="Z667" i="1"/>
  <c r="Z562" i="1"/>
  <c r="Z337" i="1"/>
  <c r="Z59" i="1"/>
  <c r="Z336" i="1"/>
  <c r="Z284" i="1"/>
  <c r="Z872" i="1"/>
  <c r="Z256" i="1"/>
  <c r="Z873" i="1"/>
  <c r="Z285" i="1"/>
  <c r="Z390" i="1"/>
  <c r="Z467" i="1"/>
  <c r="Z272" i="1"/>
  <c r="Z874" i="1"/>
  <c r="Z875" i="1"/>
  <c r="Z621" i="1"/>
  <c r="Z876" i="1"/>
  <c r="Z789" i="1"/>
  <c r="Z794" i="1"/>
  <c r="Z131" i="1"/>
  <c r="Z133" i="1"/>
  <c r="Z909" i="1"/>
  <c r="Z877" i="1"/>
  <c r="Z799" i="1"/>
  <c r="Z174" i="1"/>
  <c r="Z332" i="1"/>
  <c r="Z177" i="1"/>
  <c r="Z30" i="1"/>
  <c r="Z878" i="1"/>
  <c r="Z449" i="1"/>
  <c r="Z566" i="1"/>
  <c r="Z879" i="1"/>
  <c r="Z41" i="1"/>
  <c r="Z569" i="1"/>
  <c r="Z5" i="1"/>
  <c r="Z880" i="1"/>
  <c r="Z433" i="1"/>
  <c r="Z141" i="1"/>
  <c r="Z718" i="1"/>
  <c r="Z881" i="1"/>
  <c r="Z705" i="1"/>
  <c r="Z882" i="1"/>
  <c r="Z559" i="1"/>
  <c r="Z812" i="1"/>
  <c r="Z883" i="1"/>
  <c r="Z156" i="1"/>
  <c r="Z668" i="1"/>
  <c r="Z633" i="1"/>
  <c r="Z457" i="1"/>
  <c r="Z884" i="1"/>
  <c r="Z170" i="1"/>
  <c r="Z12" i="1"/>
  <c r="Z42" i="1"/>
  <c r="Z405" i="1"/>
  <c r="Z448" i="1"/>
  <c r="Z215" i="1"/>
  <c r="Z599" i="1"/>
  <c r="Z885" i="1"/>
  <c r="Z109" i="1"/>
  <c r="Z474" i="1"/>
  <c r="Z104" i="1"/>
  <c r="Z304" i="1"/>
  <c r="Z500" i="1"/>
  <c r="Z171" i="1"/>
  <c r="Z629" i="1"/>
  <c r="Z910" i="1"/>
  <c r="Z219" i="1"/>
  <c r="Z387" i="1"/>
  <c r="Z726" i="1"/>
  <c r="Z183" i="1"/>
  <c r="Z128" i="1"/>
  <c r="Z485" i="1"/>
  <c r="Z685" i="1"/>
  <c r="Z687" i="1"/>
  <c r="Z783" i="1"/>
  <c r="Z111" i="1"/>
  <c r="Z792" i="1"/>
  <c r="Z517" i="1"/>
  <c r="Z338" i="1"/>
  <c r="Z376" i="1"/>
  <c r="Z416" i="1"/>
  <c r="Z790" i="1"/>
  <c r="Z558" i="1"/>
  <c r="Z911" i="1"/>
  <c r="Z232" i="1"/>
  <c r="Z769" i="1"/>
  <c r="Z435" i="1"/>
  <c r="Z318" i="1"/>
  <c r="Z202" i="1"/>
  <c r="Z321" i="1"/>
  <c r="Z147" i="1"/>
  <c r="Z475" i="1"/>
  <c r="Z358" i="1"/>
  <c r="Z496" i="1"/>
  <c r="Z311" i="1"/>
  <c r="Z225" i="1"/>
  <c r="Z647" i="1"/>
  <c r="Z886" i="1"/>
  <c r="Z453" i="1"/>
  <c r="Z406" i="1"/>
  <c r="Z476" i="1"/>
  <c r="Z576" i="1"/>
  <c r="Z626" i="1"/>
  <c r="Z546" i="1"/>
  <c r="Z734" i="1"/>
  <c r="Z739" i="1"/>
  <c r="Z798" i="1"/>
  <c r="Z309" i="1"/>
  <c r="Z912" i="1"/>
  <c r="Z244" i="1"/>
  <c r="Z640" i="1"/>
  <c r="Z341" i="1"/>
  <c r="Z636" i="1"/>
  <c r="Z333" i="1"/>
  <c r="Z593" i="1"/>
  <c r="Z14" i="1"/>
  <c r="Z350" i="1"/>
  <c r="Z6" i="1"/>
  <c r="Z913" i="1"/>
  <c r="Z887" i="1"/>
  <c r="Z101" i="1"/>
  <c r="Z391" i="1"/>
  <c r="Z216" i="1"/>
  <c r="Z292" i="1"/>
  <c r="Z278" i="1"/>
  <c r="Z404" i="1"/>
  <c r="Z54" i="1"/>
  <c r="Z509" i="1"/>
  <c r="Z400" i="1"/>
  <c r="Z120" i="1"/>
  <c r="Z888" i="1"/>
  <c r="Z889" i="1"/>
  <c r="Z809" i="1"/>
  <c r="Z727" i="1"/>
  <c r="Z361" i="1"/>
  <c r="Z436" i="1"/>
  <c r="Z149" i="1"/>
  <c r="Z184" i="1"/>
  <c r="Z102" i="1"/>
  <c r="Z486" i="1"/>
  <c r="Z682" i="1"/>
  <c r="Z110" i="1"/>
  <c r="Z279" i="1"/>
  <c r="Z563" i="1"/>
  <c r="Z686" i="1"/>
  <c r="Z890" i="1"/>
  <c r="Z701" i="1"/>
  <c r="Z152" i="1"/>
  <c r="Z250" i="1"/>
  <c r="Z296" i="1"/>
  <c r="Z741" i="1"/>
  <c r="Z2" i="1"/>
  <c r="Z737" i="1"/>
  <c r="Z575" i="1"/>
  <c r="Z658" i="1"/>
  <c r="Z320" i="1"/>
  <c r="Z153" i="1"/>
  <c r="Z557" i="1"/>
  <c r="Z371" i="1"/>
  <c r="Z891" i="1"/>
  <c r="Z240" i="1"/>
  <c r="Z892" i="1"/>
  <c r="Z511" i="1"/>
  <c r="Z710" i="1"/>
  <c r="Z136" i="1"/>
  <c r="Z631" i="1"/>
  <c r="Z40" i="1"/>
  <c r="Z893" i="1"/>
  <c r="Z894" i="1"/>
  <c r="Z268" i="1"/>
  <c r="Z37" i="1"/>
  <c r="Z540" i="1"/>
  <c r="Z200" i="1"/>
  <c r="Z570" i="1"/>
  <c r="Z175" i="1"/>
  <c r="Z630" i="1"/>
  <c r="Z316" i="1"/>
  <c r="Z264" i="1"/>
  <c r="Z531" i="1"/>
  <c r="Z186" i="1"/>
  <c r="Z334" i="1"/>
  <c r="Z622" i="1"/>
  <c r="Z179" i="1"/>
  <c r="Z644" i="1"/>
  <c r="Z262" i="1"/>
  <c r="Z895" i="1"/>
  <c r="Z140" i="1"/>
  <c r="Z670" i="1"/>
  <c r="Z344" i="1"/>
  <c r="Z83" i="1"/>
  <c r="Z793" i="1"/>
  <c r="Z504" i="1"/>
  <c r="Z409" i="1"/>
  <c r="Z762" i="1"/>
  <c r="Z564" i="1"/>
  <c r="Z377" i="1"/>
  <c r="Z492" i="1"/>
  <c r="Z747" i="1"/>
  <c r="Z650" i="1"/>
  <c r="Z88" i="1"/>
  <c r="Z411" i="1"/>
  <c r="Z208" i="1"/>
  <c r="Z623" i="1"/>
  <c r="Z706" i="1"/>
  <c r="Z7" i="1"/>
  <c r="Z896" i="1"/>
  <c r="Z560" i="1"/>
  <c r="Z328" i="1"/>
  <c r="Z897" i="1"/>
  <c r="Z487" i="1"/>
  <c r="Z235" i="1"/>
  <c r="Z410" i="1"/>
  <c r="Z439" i="1"/>
  <c r="Z545" i="1"/>
  <c r="Z581" i="1"/>
  <c r="Z717" i="1"/>
  <c r="Z388" i="1"/>
  <c r="Z796" i="1"/>
  <c r="Z898" i="1"/>
  <c r="Z676" i="1"/>
  <c r="Z525" i="1"/>
  <c r="Z608" i="1"/>
  <c r="Z191" i="1"/>
  <c r="Z356" i="1"/>
  <c r="Z899" i="1"/>
  <c r="Z417" i="1"/>
  <c r="Z776" i="1"/>
  <c r="Z526" i="1"/>
  <c r="Z900" i="1"/>
  <c r="Z767" i="1"/>
  <c r="Z488" i="1"/>
  <c r="Z116" i="1"/>
  <c r="Z683" i="1"/>
  <c r="Z454" i="1"/>
  <c r="Z76" i="1"/>
  <c r="Z137" i="1"/>
  <c r="Z600" i="1"/>
  <c r="Z610" i="1"/>
  <c r="Z579" i="1"/>
  <c r="Z228" i="1"/>
  <c r="Z112" i="1"/>
  <c r="Z117" i="1"/>
  <c r="Z596" i="1"/>
  <c r="Z901" i="1"/>
  <c r="Z258" i="1"/>
  <c r="Z204" i="1"/>
  <c r="Z192" i="1"/>
  <c r="Z43" i="1"/>
  <c r="Z902" i="1"/>
  <c r="Z38" i="1"/>
  <c r="Z532" i="1"/>
  <c r="Z549" i="1"/>
  <c r="Z634" i="1"/>
  <c r="Z749" i="1"/>
  <c r="Z489" i="1"/>
  <c r="Z903" i="1"/>
  <c r="Z384" i="1"/>
  <c r="Z572" i="1"/>
  <c r="Z617" i="1"/>
  <c r="Z627" i="1"/>
  <c r="Z904" i="1"/>
  <c r="Z11" i="1"/>
  <c r="Z473" i="1"/>
  <c r="Z677" i="1"/>
  <c r="Z275" i="1"/>
  <c r="Z905" i="1"/>
  <c r="Z740" i="1"/>
  <c r="Z25" i="1"/>
  <c r="Z742" i="1"/>
  <c r="Z90" i="1"/>
  <c r="Z397" i="1"/>
  <c r="Z477" i="1"/>
  <c r="Z586" i="1"/>
  <c r="Z451" i="1"/>
  <c r="Z8" i="1"/>
  <c r="Z585" i="1"/>
  <c r="Z205" i="1"/>
  <c r="Z707" i="1"/>
  <c r="Z536" i="1"/>
  <c r="Z167" i="1"/>
  <c r="Z342" i="1"/>
  <c r="Z810" i="1"/>
  <c r="Z198" i="1"/>
  <c r="Z74" i="1"/>
  <c r="Z372" i="1"/>
  <c r="Z906" i="1"/>
  <c r="Z907" i="1"/>
  <c r="Z188" i="1"/>
  <c r="Z611" i="1"/>
  <c r="Z402" i="1"/>
  <c r="Z700" i="1"/>
  <c r="Z807" i="1"/>
  <c r="Z759" i="1"/>
  <c r="Z787" i="1"/>
  <c r="Z755" i="1"/>
  <c r="Z414" i="1"/>
  <c r="Z908" i="1"/>
  <c r="Z68" i="1"/>
  <c r="Z94" i="1"/>
  <c r="Z21" i="1"/>
  <c r="Z805" i="1"/>
  <c r="Z252" i="1"/>
  <c r="X300" i="1"/>
  <c r="X270" i="1"/>
  <c r="X389" i="1"/>
  <c r="X744" i="1"/>
  <c r="X176" i="1"/>
  <c r="X597" i="1"/>
  <c r="X513" i="1"/>
  <c r="X161" i="1"/>
  <c r="X752" i="1"/>
  <c r="X598" i="1"/>
  <c r="X254" i="1"/>
  <c r="X419" i="1"/>
  <c r="X797" i="1"/>
  <c r="X425" i="1"/>
  <c r="X310" i="1"/>
  <c r="X269" i="1"/>
  <c r="X229" i="1"/>
  <c r="X675" i="1"/>
  <c r="X259" i="1"/>
  <c r="X455" i="1"/>
  <c r="X462" i="1"/>
  <c r="X452" i="1"/>
  <c r="X745" i="1"/>
  <c r="X85" i="1"/>
  <c r="X345" i="1"/>
  <c r="X386" i="1"/>
  <c r="X778" i="1"/>
  <c r="X346" i="1"/>
  <c r="X720" i="1"/>
  <c r="X50" i="1"/>
  <c r="X638" i="1"/>
  <c r="X385" i="1"/>
  <c r="X255" i="1"/>
  <c r="X471" i="1"/>
  <c r="X180" i="1"/>
  <c r="X362" i="1"/>
  <c r="X696" i="1"/>
  <c r="X210" i="1"/>
  <c r="X378" i="1"/>
  <c r="X343" i="1"/>
  <c r="X398" i="1"/>
  <c r="X795" i="1"/>
  <c r="X271" i="1"/>
  <c r="X217" i="1"/>
  <c r="X15" i="1"/>
  <c r="X246" i="1"/>
  <c r="X280" i="1"/>
  <c r="X468" i="1"/>
  <c r="X125" i="1"/>
  <c r="X803" i="1"/>
  <c r="X143" i="1"/>
  <c r="X363" i="1"/>
  <c r="X553" i="1"/>
  <c r="X615" i="1"/>
  <c r="X660" i="1"/>
  <c r="X437" i="1"/>
  <c r="X48" i="1"/>
  <c r="X301" i="1"/>
  <c r="X251" i="1"/>
  <c r="X241" i="1"/>
  <c r="X139" i="1"/>
  <c r="X367" i="1"/>
  <c r="X27" i="1"/>
  <c r="X422" i="1"/>
  <c r="X142" i="1"/>
  <c r="X743" i="1"/>
  <c r="X478" i="1"/>
  <c r="X347" i="1"/>
  <c r="X130" i="1"/>
  <c r="X730" i="1"/>
  <c r="X580" i="1"/>
  <c r="X56" i="1"/>
  <c r="X552" i="1"/>
  <c r="X518" i="1"/>
  <c r="X731" i="1"/>
  <c r="X368" i="1"/>
  <c r="X708" i="1"/>
  <c r="X678" i="1"/>
  <c r="X774" i="1"/>
  <c r="X273" i="1"/>
  <c r="X542" i="1"/>
  <c r="X267" i="1"/>
  <c r="X364" i="1"/>
  <c r="X330" i="1"/>
  <c r="X261" i="1"/>
  <c r="X230" i="1"/>
  <c r="X265" i="1"/>
  <c r="X106" i="1"/>
  <c r="X305" i="1"/>
  <c r="X605" i="1"/>
  <c r="X523" i="1"/>
  <c r="X459" i="1"/>
  <c r="X231" i="1"/>
  <c r="X201" i="1"/>
  <c r="X751" i="1"/>
  <c r="X193" i="1"/>
  <c r="X711" i="1"/>
  <c r="X28" i="1"/>
  <c r="X445" i="1"/>
  <c r="X763" i="1"/>
  <c r="X218" i="1"/>
  <c r="X671" i="1"/>
  <c r="X483" i="1"/>
  <c r="X472" i="1"/>
  <c r="X223" i="1"/>
  <c r="X67" i="1"/>
  <c r="X365" i="1"/>
  <c r="X283" i="1"/>
  <c r="X735" i="1"/>
  <c r="X355" i="1"/>
  <c r="X651" i="1"/>
  <c r="X10" i="1"/>
  <c r="X60" i="1"/>
  <c r="X324" i="1"/>
  <c r="X426" i="1"/>
  <c r="X502" i="1"/>
  <c r="X62" i="1"/>
  <c r="X339" i="1"/>
  <c r="X203" i="1"/>
  <c r="X274" i="1"/>
  <c r="X732" i="1"/>
  <c r="X392" i="1"/>
  <c r="X4" i="1"/>
  <c r="X253" i="1"/>
  <c r="X680" i="1"/>
  <c r="X772" i="1"/>
  <c r="X702" i="1"/>
  <c r="X412" i="1"/>
  <c r="X247" i="1"/>
  <c r="X31" i="1"/>
  <c r="X779" i="1"/>
  <c r="X369" i="1"/>
  <c r="X26" i="1"/>
  <c r="X673" i="1"/>
  <c r="X738" i="1"/>
  <c r="X493" i="1"/>
  <c r="X748" i="1"/>
  <c r="X17" i="1"/>
  <c r="X479" i="1"/>
  <c r="X185" i="1"/>
  <c r="X105" i="1"/>
  <c r="X55" i="1"/>
  <c r="X107" i="1"/>
  <c r="X199" i="1"/>
  <c r="X571" i="1"/>
  <c r="X698" i="1"/>
  <c r="X423" i="1"/>
  <c r="X494" i="1"/>
  <c r="X35" i="1"/>
  <c r="X86" i="1"/>
  <c r="X226" i="1"/>
  <c r="X206" i="1"/>
  <c r="X770" i="1"/>
  <c r="X61" i="1"/>
  <c r="X464" i="1"/>
  <c r="X550" i="1"/>
  <c r="X359" i="1"/>
  <c r="X312" i="1"/>
  <c r="X470" i="1"/>
  <c r="X791" i="1"/>
  <c r="X692" i="1"/>
  <c r="X91" i="1"/>
  <c r="X768" i="1"/>
  <c r="X760" i="1"/>
  <c r="X813" i="1"/>
  <c r="X506" i="1"/>
  <c r="X728" i="1"/>
  <c r="X814" i="1"/>
  <c r="X764" i="1"/>
  <c r="X753" i="1"/>
  <c r="X514" i="1"/>
  <c r="X703" i="1"/>
  <c r="X150" i="1"/>
  <c r="X777" i="1"/>
  <c r="X32" i="1"/>
  <c r="X543" i="1"/>
  <c r="X187" i="1"/>
  <c r="X329" i="1"/>
  <c r="X96" i="1"/>
  <c r="X294" i="1"/>
  <c r="X761" i="1"/>
  <c r="X354" i="1"/>
  <c r="X645" i="1"/>
  <c r="X118" i="1"/>
  <c r="X162" i="1"/>
  <c r="X248" i="1"/>
  <c r="X589" i="1"/>
  <c r="X601" i="1"/>
  <c r="X591" i="1"/>
  <c r="X582" i="1"/>
  <c r="X357" i="1"/>
  <c r="X408" i="1"/>
  <c r="X220" i="1"/>
  <c r="X465" i="1"/>
  <c r="X688" i="1"/>
  <c r="X20" i="1"/>
  <c r="X554" i="1"/>
  <c r="X194" i="1"/>
  <c r="X399" i="1"/>
  <c r="X652" i="1"/>
  <c r="X695" i="1"/>
  <c r="X551" i="1"/>
  <c r="X113" i="1"/>
  <c r="X684" i="1"/>
  <c r="X583" i="1"/>
  <c r="X815" i="1"/>
  <c r="X239" i="1"/>
  <c r="X816" i="1"/>
  <c r="X817" i="1"/>
  <c r="X818" i="1"/>
  <c r="X819" i="1"/>
  <c r="X820" i="1"/>
  <c r="X166" i="1"/>
  <c r="X99" i="1"/>
  <c r="X82" i="1"/>
  <c r="X786" i="1"/>
  <c r="X555" i="1"/>
  <c r="X516" i="1"/>
  <c r="X212" i="1"/>
  <c r="X92" i="1"/>
  <c r="X446" i="1"/>
  <c r="X821" i="1"/>
  <c r="X505" i="1"/>
  <c r="X758" i="1"/>
  <c r="X302" i="1"/>
  <c r="X567" i="1"/>
  <c r="X237" i="1"/>
  <c r="X144" i="1"/>
  <c r="X655" i="1"/>
  <c r="X178" i="1"/>
  <c r="X151" i="1"/>
  <c r="X618" i="1"/>
  <c r="X351" i="1"/>
  <c r="X51" i="1"/>
  <c r="X57" i="1"/>
  <c r="X822" i="1"/>
  <c r="X295" i="1"/>
  <c r="X394" i="1"/>
  <c r="X323" i="1"/>
  <c r="X418" i="1"/>
  <c r="X628" i="1"/>
  <c r="X490" i="1"/>
  <c r="X697" i="1"/>
  <c r="X823" i="1"/>
  <c r="X824" i="1"/>
  <c r="X154" i="1"/>
  <c r="X825" i="1"/>
  <c r="X44" i="1"/>
  <c r="X440" i="1"/>
  <c r="X71" i="1"/>
  <c r="X561" i="1"/>
  <c r="X648" i="1"/>
  <c r="X314" i="1"/>
  <c r="X432" i="1"/>
  <c r="X481" i="1"/>
  <c r="X370" i="1"/>
  <c r="X712" i="1"/>
  <c r="X430" i="1"/>
  <c r="X827" i="1"/>
  <c r="X771" i="1"/>
  <c r="X828" i="1"/>
  <c r="X607" i="1"/>
  <c r="X704" i="1"/>
  <c r="X168" i="1"/>
  <c r="X381" i="1"/>
  <c r="X590" i="1"/>
  <c r="X612" i="1"/>
  <c r="X829" i="1"/>
  <c r="X784" i="1"/>
  <c r="X395" i="1"/>
  <c r="X420" i="1"/>
  <c r="X89" i="1"/>
  <c r="X830" i="1"/>
  <c r="X126" i="1"/>
  <c r="X63" i="1"/>
  <c r="X95" i="1"/>
  <c r="X619" i="1"/>
  <c r="X530" i="1"/>
  <c r="X303" i="1"/>
  <c r="X114" i="1"/>
  <c r="X694" i="1"/>
  <c r="X331" i="1"/>
  <c r="X832" i="1"/>
  <c r="X281" i="1"/>
  <c r="X723" i="1"/>
  <c r="X80" i="1"/>
  <c r="X158" i="1"/>
  <c r="X224" i="1"/>
  <c r="X639" i="1"/>
  <c r="X733" i="1"/>
  <c r="X155" i="1"/>
  <c r="X520" i="1"/>
  <c r="X234" i="1"/>
  <c r="X679" i="1"/>
  <c r="X649" i="1"/>
  <c r="X604" i="1"/>
  <c r="X366" i="1"/>
  <c r="X460" i="1"/>
  <c r="X373" i="1"/>
  <c r="X138" i="1"/>
  <c r="X613" i="1"/>
  <c r="X620" i="1"/>
  <c r="X221" i="1"/>
  <c r="X189" i="1"/>
  <c r="X148" i="1"/>
  <c r="X507" i="1"/>
  <c r="X672" i="1"/>
  <c r="X637" i="1"/>
  <c r="X833" i="1"/>
  <c r="X236" i="1"/>
  <c r="X146" i="1"/>
  <c r="X834" i="1"/>
  <c r="X616" i="1"/>
  <c r="X785" i="1"/>
  <c r="X233" i="1"/>
  <c r="X65" i="1"/>
  <c r="X746" i="1"/>
  <c r="X145" i="1"/>
  <c r="X288" i="1"/>
  <c r="X134" i="1"/>
  <c r="X835" i="1"/>
  <c r="X379" i="1"/>
  <c r="X77" i="1"/>
  <c r="X699" i="1"/>
  <c r="X836" i="1"/>
  <c r="X689" i="1"/>
  <c r="X257" i="1"/>
  <c r="X614" i="1"/>
  <c r="X594" i="1"/>
  <c r="X837" i="1"/>
  <c r="X401" i="1"/>
  <c r="X609" i="1"/>
  <c r="X641" i="1"/>
  <c r="X315" i="1"/>
  <c r="X804" i="1"/>
  <c r="X100" i="1"/>
  <c r="X282" i="1"/>
  <c r="X407" i="1"/>
  <c r="X508" i="1"/>
  <c r="X18" i="1"/>
  <c r="X756" i="1"/>
  <c r="X693" i="1"/>
  <c r="X535" i="1"/>
  <c r="X93" i="1"/>
  <c r="X317" i="1"/>
  <c r="X690" i="1"/>
  <c r="X396" i="1"/>
  <c r="X45" i="1"/>
  <c r="X775" i="1"/>
  <c r="X9" i="1"/>
  <c r="X603" i="1"/>
  <c r="X724" i="1"/>
  <c r="X510" i="1"/>
  <c r="X427" i="1"/>
  <c r="X163" i="1"/>
  <c r="X653" i="1"/>
  <c r="X456" i="1"/>
  <c r="X757" i="1"/>
  <c r="X289" i="1"/>
  <c r="X211" i="1"/>
  <c r="X556" i="1"/>
  <c r="X290" i="1"/>
  <c r="X664" i="1"/>
  <c r="X839" i="1"/>
  <c r="X207" i="1"/>
  <c r="X450" i="1"/>
  <c r="X97" i="1"/>
  <c r="X663" i="1"/>
  <c r="X461" i="1"/>
  <c r="X840" i="1"/>
  <c r="X22" i="1"/>
  <c r="X725" i="1"/>
  <c r="X806" i="1"/>
  <c r="X519" i="1"/>
  <c r="X431" i="1"/>
  <c r="X429" i="1"/>
  <c r="X826" i="1"/>
  <c r="X602" i="1"/>
  <c r="X841" i="1"/>
  <c r="X127" i="1"/>
  <c r="X766" i="1"/>
  <c r="X524" i="1"/>
  <c r="X656" i="1"/>
  <c r="X98" i="1"/>
  <c r="X646" i="1"/>
  <c r="X808" i="1"/>
  <c r="X715" i="1"/>
  <c r="X165" i="1"/>
  <c r="X123" i="1"/>
  <c r="X374" i="1"/>
  <c r="X501" i="1"/>
  <c r="X842" i="1"/>
  <c r="X291" i="1"/>
  <c r="X121" i="1"/>
  <c r="X196" i="1"/>
  <c r="X577" i="1"/>
  <c r="X632" i="1"/>
  <c r="X249" i="1"/>
  <c r="X831" i="1"/>
  <c r="X625" i="1"/>
  <c r="X533" i="1"/>
  <c r="X103" i="1"/>
  <c r="X843" i="1"/>
  <c r="X33" i="1"/>
  <c r="X844" i="1"/>
  <c r="X515" i="1"/>
  <c r="X164" i="1"/>
  <c r="X441" i="1"/>
  <c r="X498" i="1"/>
  <c r="X135" i="1"/>
  <c r="X736" i="1"/>
  <c r="X23" i="1"/>
  <c r="X721" i="1"/>
  <c r="X297" i="1"/>
  <c r="X845" i="1"/>
  <c r="X442" i="1"/>
  <c r="X846" i="1"/>
  <c r="X313" i="1"/>
  <c r="X773" i="1"/>
  <c r="X544" i="1"/>
  <c r="X847" i="1"/>
  <c r="X534" i="1"/>
  <c r="X413" i="1"/>
  <c r="X848" i="1"/>
  <c r="X326" i="1"/>
  <c r="X227" i="1"/>
  <c r="X584" i="1"/>
  <c r="X541" i="1"/>
  <c r="X521" i="1"/>
  <c r="X299" i="1"/>
  <c r="X52" i="1"/>
  <c r="X849" i="1"/>
  <c r="X850" i="1"/>
  <c r="X801" i="1"/>
  <c r="X573" i="1"/>
  <c r="X209" i="1"/>
  <c r="X64" i="1"/>
  <c r="X592" i="1"/>
  <c r="X659" i="1"/>
  <c r="X39" i="1"/>
  <c r="X335" i="1"/>
  <c r="X447" i="1"/>
  <c r="X122" i="1"/>
  <c r="X719" i="1"/>
  <c r="X306" i="1"/>
  <c r="X765" i="1"/>
  <c r="X716" i="1"/>
  <c r="X851" i="1"/>
  <c r="X197" i="1"/>
  <c r="X811" i="1"/>
  <c r="X108" i="1"/>
  <c r="X159" i="1"/>
  <c r="X527" i="1"/>
  <c r="X547" i="1"/>
  <c r="X245" i="1"/>
  <c r="X69" i="1"/>
  <c r="X124" i="1"/>
  <c r="X53" i="1"/>
  <c r="X852" i="1"/>
  <c r="X780" i="1"/>
  <c r="X853" i="1"/>
  <c r="X854" i="1"/>
  <c r="X491" i="1"/>
  <c r="X537" i="1"/>
  <c r="X34" i="1"/>
  <c r="X3" i="1"/>
  <c r="X287" i="1"/>
  <c r="X444" i="1"/>
  <c r="X16" i="1"/>
  <c r="X260" i="1"/>
  <c r="X58" i="1"/>
  <c r="X84" i="1"/>
  <c r="X380" i="1"/>
  <c r="X190" i="1"/>
  <c r="X434" i="1"/>
  <c r="X238" i="1"/>
  <c r="X855" i="1"/>
  <c r="X308" i="1"/>
  <c r="X75" i="1"/>
  <c r="X438" i="1"/>
  <c r="X624" i="1"/>
  <c r="X856" i="1"/>
  <c r="X424" i="1"/>
  <c r="X428" i="1"/>
  <c r="X458" i="1"/>
  <c r="X642" i="1"/>
  <c r="X635" i="1"/>
  <c r="X352" i="1"/>
  <c r="X49" i="1"/>
  <c r="X319" i="1"/>
  <c r="X587" i="1"/>
  <c r="X657" i="1"/>
  <c r="X499" i="1"/>
  <c r="X382" i="1"/>
  <c r="X307" i="1"/>
  <c r="X662" i="1"/>
  <c r="X298" i="1"/>
  <c r="X754" i="1"/>
  <c r="X421" i="1"/>
  <c r="X857" i="1"/>
  <c r="X276" i="1"/>
  <c r="X469" i="1"/>
  <c r="X327" i="1"/>
  <c r="X497" i="1"/>
  <c r="X375" i="1"/>
  <c r="X415" i="1"/>
  <c r="X578" i="1"/>
  <c r="X115" i="1"/>
  <c r="X595" i="1"/>
  <c r="X858" i="1"/>
  <c r="X859" i="1"/>
  <c r="X480" i="1"/>
  <c r="X654" i="1"/>
  <c r="X383" i="1"/>
  <c r="X802" i="1"/>
  <c r="X860" i="1"/>
  <c r="X606" i="1"/>
  <c r="X588" i="1"/>
  <c r="X661" i="1"/>
  <c r="X243" i="1"/>
  <c r="X548" i="1"/>
  <c r="X861" i="1"/>
  <c r="X119" i="1"/>
  <c r="X393" i="1"/>
  <c r="X862" i="1"/>
  <c r="X681" i="1"/>
  <c r="X782" i="1"/>
  <c r="X340" i="1"/>
  <c r="X46" i="1"/>
  <c r="X863" i="1"/>
  <c r="X263" i="1"/>
  <c r="X788" i="1"/>
  <c r="X293" i="1"/>
  <c r="X864" i="1"/>
  <c r="X172" i="1"/>
  <c r="X568" i="1"/>
  <c r="X24" i="1"/>
  <c r="X325" i="1"/>
  <c r="X565" i="1"/>
  <c r="X78" i="1"/>
  <c r="X665" i="1"/>
  <c r="X865" i="1"/>
  <c r="X242" i="1"/>
  <c r="X466" i="1"/>
  <c r="X866" i="1"/>
  <c r="X722" i="1"/>
  <c r="X169" i="1"/>
  <c r="X181" i="1"/>
  <c r="X838" i="1"/>
  <c r="X266" i="1"/>
  <c r="X79" i="1"/>
  <c r="X463" i="1"/>
  <c r="X867" i="1"/>
  <c r="X349" i="1"/>
  <c r="X482" i="1"/>
  <c r="X222" i="1"/>
  <c r="X157" i="1"/>
  <c r="X750" i="1"/>
  <c r="X781" i="1"/>
  <c r="X13" i="1"/>
  <c r="X674" i="1"/>
  <c r="X160" i="1"/>
  <c r="X195" i="1"/>
  <c r="X348" i="1"/>
  <c r="X709" i="1"/>
  <c r="X277" i="1"/>
  <c r="X47" i="1"/>
  <c r="X19" i="1"/>
  <c r="X713" i="1"/>
  <c r="X729" i="1"/>
  <c r="X871" i="1"/>
  <c r="X36" i="1"/>
  <c r="X868" i="1"/>
  <c r="X70" i="1"/>
  <c r="X538" i="1"/>
  <c r="X66" i="1"/>
  <c r="X869" i="1"/>
  <c r="X72" i="1"/>
  <c r="X213" i="1"/>
  <c r="X529" i="1"/>
  <c r="X714" i="1"/>
  <c r="X353" i="1"/>
  <c r="X81" i="1"/>
  <c r="X129" i="1"/>
  <c r="X643" i="1"/>
  <c r="X574" i="1"/>
  <c r="X691" i="1"/>
  <c r="X539" i="1"/>
  <c r="X403" i="1"/>
  <c r="X182" i="1"/>
  <c r="X73" i="1"/>
  <c r="X87" i="1"/>
  <c r="X870" i="1"/>
  <c r="X322" i="1"/>
  <c r="X800" i="1"/>
  <c r="X132" i="1"/>
  <c r="X666" i="1"/>
  <c r="X495" i="1"/>
  <c r="X286" i="1"/>
  <c r="X528" i="1"/>
  <c r="X29" i="1"/>
  <c r="X360" i="1"/>
  <c r="X522" i="1"/>
  <c r="X484" i="1"/>
  <c r="X669" i="1"/>
  <c r="X512" i="1"/>
  <c r="X503" i="1"/>
  <c r="X214" i="1"/>
  <c r="X443" i="1"/>
  <c r="X173" i="1"/>
  <c r="X667" i="1"/>
  <c r="X562" i="1"/>
  <c r="X337" i="1"/>
  <c r="X59" i="1"/>
  <c r="X336" i="1"/>
  <c r="X284" i="1"/>
  <c r="X872" i="1"/>
  <c r="X256" i="1"/>
  <c r="X873" i="1"/>
  <c r="X285" i="1"/>
  <c r="X390" i="1"/>
  <c r="X467" i="1"/>
  <c r="X272" i="1"/>
  <c r="X874" i="1"/>
  <c r="X875" i="1"/>
  <c r="X621" i="1"/>
  <c r="X876" i="1"/>
  <c r="X789" i="1"/>
  <c r="X794" i="1"/>
  <c r="X131" i="1"/>
  <c r="X133" i="1"/>
  <c r="X909" i="1"/>
  <c r="X877" i="1"/>
  <c r="X799" i="1"/>
  <c r="X174" i="1"/>
  <c r="X332" i="1"/>
  <c r="X177" i="1"/>
  <c r="X30" i="1"/>
  <c r="X878" i="1"/>
  <c r="X449" i="1"/>
  <c r="X566" i="1"/>
  <c r="X879" i="1"/>
  <c r="X41" i="1"/>
  <c r="X569" i="1"/>
  <c r="X5" i="1"/>
  <c r="X880" i="1"/>
  <c r="X433" i="1"/>
  <c r="X141" i="1"/>
  <c r="X718" i="1"/>
  <c r="X881" i="1"/>
  <c r="X705" i="1"/>
  <c r="X882" i="1"/>
  <c r="X559" i="1"/>
  <c r="X812" i="1"/>
  <c r="X883" i="1"/>
  <c r="X156" i="1"/>
  <c r="X668" i="1"/>
  <c r="X633" i="1"/>
  <c r="X457" i="1"/>
  <c r="X884" i="1"/>
  <c r="X170" i="1"/>
  <c r="X12" i="1"/>
  <c r="X42" i="1"/>
  <c r="X405" i="1"/>
  <c r="X448" i="1"/>
  <c r="X215" i="1"/>
  <c r="X599" i="1"/>
  <c r="X885" i="1"/>
  <c r="X109" i="1"/>
  <c r="X474" i="1"/>
  <c r="X104" i="1"/>
  <c r="X304" i="1"/>
  <c r="X500" i="1"/>
  <c r="X171" i="1"/>
  <c r="X629" i="1"/>
  <c r="X910" i="1"/>
  <c r="X219" i="1"/>
  <c r="X387" i="1"/>
  <c r="X726" i="1"/>
  <c r="X183" i="1"/>
  <c r="X128" i="1"/>
  <c r="X485" i="1"/>
  <c r="X685" i="1"/>
  <c r="X687" i="1"/>
  <c r="X783" i="1"/>
  <c r="X111" i="1"/>
  <c r="X792" i="1"/>
  <c r="X517" i="1"/>
  <c r="X338" i="1"/>
  <c r="X376" i="1"/>
  <c r="X416" i="1"/>
  <c r="X790" i="1"/>
  <c r="X558" i="1"/>
  <c r="X911" i="1"/>
  <c r="X232" i="1"/>
  <c r="X769" i="1"/>
  <c r="X435" i="1"/>
  <c r="X318" i="1"/>
  <c r="X202" i="1"/>
  <c r="X321" i="1"/>
  <c r="X147" i="1"/>
  <c r="X475" i="1"/>
  <c r="X358" i="1"/>
  <c r="X496" i="1"/>
  <c r="X311" i="1"/>
  <c r="X225" i="1"/>
  <c r="X647" i="1"/>
  <c r="X886" i="1"/>
  <c r="X453" i="1"/>
  <c r="X406" i="1"/>
  <c r="X476" i="1"/>
  <c r="X576" i="1"/>
  <c r="X626" i="1"/>
  <c r="X546" i="1"/>
  <c r="X734" i="1"/>
  <c r="X739" i="1"/>
  <c r="X798" i="1"/>
  <c r="X309" i="1"/>
  <c r="X912" i="1"/>
  <c r="X244" i="1"/>
  <c r="X640" i="1"/>
  <c r="X341" i="1"/>
  <c r="X636" i="1"/>
  <c r="X333" i="1"/>
  <c r="X593" i="1"/>
  <c r="X14" i="1"/>
  <c r="X350" i="1"/>
  <c r="X6" i="1"/>
  <c r="X913" i="1"/>
  <c r="X887" i="1"/>
  <c r="X101" i="1"/>
  <c r="X391" i="1"/>
  <c r="X216" i="1"/>
  <c r="X292" i="1"/>
  <c r="X278" i="1"/>
  <c r="X404" i="1"/>
  <c r="X54" i="1"/>
  <c r="X509" i="1"/>
  <c r="X400" i="1"/>
  <c r="X120" i="1"/>
  <c r="X888" i="1"/>
  <c r="X889" i="1"/>
  <c r="X809" i="1"/>
  <c r="X727" i="1"/>
  <c r="X361" i="1"/>
  <c r="X436" i="1"/>
  <c r="X149" i="1"/>
  <c r="X184" i="1"/>
  <c r="X102" i="1"/>
  <c r="X486" i="1"/>
  <c r="X682" i="1"/>
  <c r="X110" i="1"/>
  <c r="X279" i="1"/>
  <c r="X563" i="1"/>
  <c r="X686" i="1"/>
  <c r="X890" i="1"/>
  <c r="X701" i="1"/>
  <c r="X152" i="1"/>
  <c r="X250" i="1"/>
  <c r="X296" i="1"/>
  <c r="X741" i="1"/>
  <c r="X2" i="1"/>
  <c r="X737" i="1"/>
  <c r="X575" i="1"/>
  <c r="X658" i="1"/>
  <c r="X320" i="1"/>
  <c r="X153" i="1"/>
  <c r="X557" i="1"/>
  <c r="X371" i="1"/>
  <c r="X891" i="1"/>
  <c r="X240" i="1"/>
  <c r="X892" i="1"/>
  <c r="X511" i="1"/>
  <c r="X710" i="1"/>
  <c r="X136" i="1"/>
  <c r="X631" i="1"/>
  <c r="X40" i="1"/>
  <c r="X893" i="1"/>
  <c r="X894" i="1"/>
  <c r="X268" i="1"/>
  <c r="X37" i="1"/>
  <c r="X540" i="1"/>
  <c r="X200" i="1"/>
  <c r="X570" i="1"/>
  <c r="X175" i="1"/>
  <c r="X630" i="1"/>
  <c r="X316" i="1"/>
  <c r="X264" i="1"/>
  <c r="X531" i="1"/>
  <c r="X186" i="1"/>
  <c r="X334" i="1"/>
  <c r="X622" i="1"/>
  <c r="X179" i="1"/>
  <c r="X644" i="1"/>
  <c r="X262" i="1"/>
  <c r="X895" i="1"/>
  <c r="X140" i="1"/>
  <c r="X670" i="1"/>
  <c r="X344" i="1"/>
  <c r="X83" i="1"/>
  <c r="X793" i="1"/>
  <c r="X504" i="1"/>
  <c r="X409" i="1"/>
  <c r="X762" i="1"/>
  <c r="X564" i="1"/>
  <c r="X377" i="1"/>
  <c r="X492" i="1"/>
  <c r="X747" i="1"/>
  <c r="X650" i="1"/>
  <c r="X88" i="1"/>
  <c r="X411" i="1"/>
  <c r="X208" i="1"/>
  <c r="X623" i="1"/>
  <c r="X706" i="1"/>
  <c r="X7" i="1"/>
  <c r="X896" i="1"/>
  <c r="X560" i="1"/>
  <c r="X328" i="1"/>
  <c r="X897" i="1"/>
  <c r="X487" i="1"/>
  <c r="X235" i="1"/>
  <c r="X410" i="1"/>
  <c r="X439" i="1"/>
  <c r="X545" i="1"/>
  <c r="X581" i="1"/>
  <c r="X717" i="1"/>
  <c r="X388" i="1"/>
  <c r="X796" i="1"/>
  <c r="X898" i="1"/>
  <c r="X676" i="1"/>
  <c r="X525" i="1"/>
  <c r="X608" i="1"/>
  <c r="X191" i="1"/>
  <c r="X356" i="1"/>
  <c r="X899" i="1"/>
  <c r="X417" i="1"/>
  <c r="X776" i="1"/>
  <c r="X526" i="1"/>
  <c r="X900" i="1"/>
  <c r="X767" i="1"/>
  <c r="X488" i="1"/>
  <c r="X116" i="1"/>
  <c r="X683" i="1"/>
  <c r="X454" i="1"/>
  <c r="X76" i="1"/>
  <c r="X137" i="1"/>
  <c r="X600" i="1"/>
  <c r="X610" i="1"/>
  <c r="X579" i="1"/>
  <c r="X228" i="1"/>
  <c r="X112" i="1"/>
  <c r="X117" i="1"/>
  <c r="X596" i="1"/>
  <c r="X901" i="1"/>
  <c r="X258" i="1"/>
  <c r="X204" i="1"/>
  <c r="X192" i="1"/>
  <c r="X43" i="1"/>
  <c r="X902" i="1"/>
  <c r="X38" i="1"/>
  <c r="X532" i="1"/>
  <c r="X549" i="1"/>
  <c r="X634" i="1"/>
  <c r="X749" i="1"/>
  <c r="X489" i="1"/>
  <c r="X903" i="1"/>
  <c r="X384" i="1"/>
  <c r="X572" i="1"/>
  <c r="X617" i="1"/>
  <c r="X627" i="1"/>
  <c r="X904" i="1"/>
  <c r="X11" i="1"/>
  <c r="X473" i="1"/>
  <c r="X677" i="1"/>
  <c r="X275" i="1"/>
  <c r="X905" i="1"/>
  <c r="X740" i="1"/>
  <c r="X25" i="1"/>
  <c r="X742" i="1"/>
  <c r="X90" i="1"/>
  <c r="X397" i="1"/>
  <c r="X477" i="1"/>
  <c r="X586" i="1"/>
  <c r="X451" i="1"/>
  <c r="X8" i="1"/>
  <c r="X585" i="1"/>
  <c r="X205" i="1"/>
  <c r="X707" i="1"/>
  <c r="X536" i="1"/>
  <c r="X167" i="1"/>
  <c r="X342" i="1"/>
  <c r="X810" i="1"/>
  <c r="X198" i="1"/>
  <c r="X74" i="1"/>
  <c r="X372" i="1"/>
  <c r="X906" i="1"/>
  <c r="X907" i="1"/>
  <c r="X188" i="1"/>
  <c r="X611" i="1"/>
  <c r="X402" i="1"/>
  <c r="X700" i="1"/>
  <c r="X807" i="1"/>
  <c r="X759" i="1"/>
  <c r="X787" i="1"/>
  <c r="X755" i="1"/>
  <c r="X414" i="1"/>
  <c r="X908" i="1"/>
  <c r="X68" i="1"/>
  <c r="X94" i="1"/>
  <c r="X21" i="1"/>
  <c r="X805" i="1"/>
  <c r="X252" i="1"/>
  <c r="V252" i="1"/>
  <c r="V300" i="1"/>
  <c r="V270" i="1"/>
  <c r="V389" i="1"/>
  <c r="V744" i="1"/>
  <c r="V176" i="1"/>
  <c r="V597" i="1"/>
  <c r="V513" i="1"/>
  <c r="V161" i="1"/>
  <c r="V752" i="1"/>
  <c r="V598" i="1"/>
  <c r="V254" i="1"/>
  <c r="V419" i="1"/>
  <c r="V797" i="1"/>
  <c r="V425" i="1"/>
  <c r="V310" i="1"/>
  <c r="V269" i="1"/>
  <c r="V229" i="1"/>
  <c r="V675" i="1"/>
  <c r="V259" i="1"/>
  <c r="V455" i="1"/>
  <c r="V462" i="1"/>
  <c r="V452" i="1"/>
  <c r="V745" i="1"/>
  <c r="V85" i="1"/>
  <c r="V345" i="1"/>
  <c r="V386" i="1"/>
  <c r="V778" i="1"/>
  <c r="V346" i="1"/>
  <c r="V720" i="1"/>
  <c r="V50" i="1"/>
  <c r="V638" i="1"/>
  <c r="V385" i="1"/>
  <c r="V255" i="1"/>
  <c r="V471" i="1"/>
  <c r="V180" i="1"/>
  <c r="V362" i="1"/>
  <c r="V696" i="1"/>
  <c r="V210" i="1"/>
  <c r="V378" i="1"/>
  <c r="V343" i="1"/>
  <c r="V398" i="1"/>
  <c r="V795" i="1"/>
  <c r="V271" i="1"/>
  <c r="V217" i="1"/>
  <c r="V15" i="1"/>
  <c r="V246" i="1"/>
  <c r="V280" i="1"/>
  <c r="V468" i="1"/>
  <c r="V125" i="1"/>
  <c r="V803" i="1"/>
  <c r="V143" i="1"/>
  <c r="V363" i="1"/>
  <c r="V553" i="1"/>
  <c r="V615" i="1"/>
  <c r="V660" i="1"/>
  <c r="V437" i="1"/>
  <c r="V48" i="1"/>
  <c r="V301" i="1"/>
  <c r="V251" i="1"/>
  <c r="V241" i="1"/>
  <c r="V139" i="1"/>
  <c r="V367" i="1"/>
  <c r="V27" i="1"/>
  <c r="V422" i="1"/>
  <c r="V142" i="1"/>
  <c r="V743" i="1"/>
  <c r="V478" i="1"/>
  <c r="V347" i="1"/>
  <c r="V130" i="1"/>
  <c r="V730" i="1"/>
  <c r="V580" i="1"/>
  <c r="V56" i="1"/>
  <c r="V552" i="1"/>
  <c r="V518" i="1"/>
  <c r="V731" i="1"/>
  <c r="V368" i="1"/>
  <c r="V708" i="1"/>
  <c r="V678" i="1"/>
  <c r="V774" i="1"/>
  <c r="V273" i="1"/>
  <c r="V542" i="1"/>
  <c r="V267" i="1"/>
  <c r="V364" i="1"/>
  <c r="V330" i="1"/>
  <c r="V261" i="1"/>
  <c r="V230" i="1"/>
  <c r="V265" i="1"/>
  <c r="V106" i="1"/>
  <c r="V305" i="1"/>
  <c r="V605" i="1"/>
  <c r="V523" i="1"/>
  <c r="V459" i="1"/>
  <c r="V231" i="1"/>
  <c r="V201" i="1"/>
  <c r="V751" i="1"/>
  <c r="V193" i="1"/>
  <c r="V711" i="1"/>
  <c r="V28" i="1"/>
  <c r="V445" i="1"/>
  <c r="V763" i="1"/>
  <c r="V218" i="1"/>
  <c r="V671" i="1"/>
  <c r="V483" i="1"/>
  <c r="V472" i="1"/>
  <c r="V223" i="1"/>
  <c r="V67" i="1"/>
  <c r="V365" i="1"/>
  <c r="V283" i="1"/>
  <c r="V735" i="1"/>
  <c r="V355" i="1"/>
  <c r="V651" i="1"/>
  <c r="V10" i="1"/>
  <c r="V60" i="1"/>
  <c r="V324" i="1"/>
  <c r="V426" i="1"/>
  <c r="V502" i="1"/>
  <c r="V62" i="1"/>
  <c r="V339" i="1"/>
  <c r="V203" i="1"/>
  <c r="V274" i="1"/>
  <c r="V732" i="1"/>
  <c r="V392" i="1"/>
  <c r="V4" i="1"/>
  <c r="V253" i="1"/>
  <c r="V680" i="1"/>
  <c r="V772" i="1"/>
  <c r="V702" i="1"/>
  <c r="V412" i="1"/>
  <c r="V247" i="1"/>
  <c r="V31" i="1"/>
  <c r="V779" i="1"/>
  <c r="V369" i="1"/>
  <c r="V26" i="1"/>
  <c r="V673" i="1"/>
  <c r="V738" i="1"/>
  <c r="V493" i="1"/>
  <c r="V748" i="1"/>
  <c r="V17" i="1"/>
  <c r="V479" i="1"/>
  <c r="V185" i="1"/>
  <c r="V105" i="1"/>
  <c r="V55" i="1"/>
  <c r="V107" i="1"/>
  <c r="V199" i="1"/>
  <c r="V571" i="1"/>
  <c r="V698" i="1"/>
  <c r="V423" i="1"/>
  <c r="V494" i="1"/>
  <c r="V35" i="1"/>
  <c r="V86" i="1"/>
  <c r="V226" i="1"/>
  <c r="V206" i="1"/>
  <c r="V770" i="1"/>
  <c r="V61" i="1"/>
  <c r="V464" i="1"/>
  <c r="V550" i="1"/>
  <c r="V359" i="1"/>
  <c r="V312" i="1"/>
  <c r="V470" i="1"/>
  <c r="V791" i="1"/>
  <c r="V692" i="1"/>
  <c r="V91" i="1"/>
  <c r="V768" i="1"/>
  <c r="V760" i="1"/>
  <c r="V813" i="1"/>
  <c r="V506" i="1"/>
  <c r="V728" i="1"/>
  <c r="V814" i="1"/>
  <c r="V764" i="1"/>
  <c r="V753" i="1"/>
  <c r="V514" i="1"/>
  <c r="V703" i="1"/>
  <c r="V150" i="1"/>
  <c r="V777" i="1"/>
  <c r="V32" i="1"/>
  <c r="V543" i="1"/>
  <c r="V187" i="1"/>
  <c r="V329" i="1"/>
  <c r="V96" i="1"/>
  <c r="V294" i="1"/>
  <c r="V761" i="1"/>
  <c r="V354" i="1"/>
  <c r="V645" i="1"/>
  <c r="V118" i="1"/>
  <c r="V162" i="1"/>
  <c r="V248" i="1"/>
  <c r="V589" i="1"/>
  <c r="V601" i="1"/>
  <c r="V591" i="1"/>
  <c r="V582" i="1"/>
  <c r="V357" i="1"/>
  <c r="V408" i="1"/>
  <c r="V220" i="1"/>
  <c r="V465" i="1"/>
  <c r="V688" i="1"/>
  <c r="V20" i="1"/>
  <c r="V554" i="1"/>
  <c r="V194" i="1"/>
  <c r="V399" i="1"/>
  <c r="V652" i="1"/>
  <c r="V695" i="1"/>
  <c r="V551" i="1"/>
  <c r="V113" i="1"/>
  <c r="V684" i="1"/>
  <c r="V583" i="1"/>
  <c r="V815" i="1"/>
  <c r="V239" i="1"/>
  <c r="V816" i="1"/>
  <c r="V817" i="1"/>
  <c r="V818" i="1"/>
  <c r="V819" i="1"/>
  <c r="V820" i="1"/>
  <c r="V166" i="1"/>
  <c r="V99" i="1"/>
  <c r="V82" i="1"/>
  <c r="V786" i="1"/>
  <c r="V555" i="1"/>
  <c r="V516" i="1"/>
  <c r="V212" i="1"/>
  <c r="V92" i="1"/>
  <c r="V446" i="1"/>
  <c r="V821" i="1"/>
  <c r="V505" i="1"/>
  <c r="V758" i="1"/>
  <c r="V302" i="1"/>
  <c r="V567" i="1"/>
  <c r="V237" i="1"/>
  <c r="V144" i="1"/>
  <c r="V655" i="1"/>
  <c r="V178" i="1"/>
  <c r="V151" i="1"/>
  <c r="V618" i="1"/>
  <c r="V351" i="1"/>
  <c r="V51" i="1"/>
  <c r="V57" i="1"/>
  <c r="V822" i="1"/>
  <c r="V295" i="1"/>
  <c r="V394" i="1"/>
  <c r="V323" i="1"/>
  <c r="V418" i="1"/>
  <c r="V628" i="1"/>
  <c r="V490" i="1"/>
  <c r="V697" i="1"/>
  <c r="V823" i="1"/>
  <c r="V824" i="1"/>
  <c r="V154" i="1"/>
  <c r="V825" i="1"/>
  <c r="V44" i="1"/>
  <c r="V440" i="1"/>
  <c r="V71" i="1"/>
  <c r="V561" i="1"/>
  <c r="V648" i="1"/>
  <c r="V314" i="1"/>
  <c r="V432" i="1"/>
  <c r="V481" i="1"/>
  <c r="V370" i="1"/>
  <c r="V712" i="1"/>
  <c r="V430" i="1"/>
  <c r="V827" i="1"/>
  <c r="V771" i="1"/>
  <c r="V828" i="1"/>
  <c r="V607" i="1"/>
  <c r="V704" i="1"/>
  <c r="V168" i="1"/>
  <c r="V381" i="1"/>
  <c r="V590" i="1"/>
  <c r="V612" i="1"/>
  <c r="V829" i="1"/>
  <c r="V784" i="1"/>
  <c r="V395" i="1"/>
  <c r="V420" i="1"/>
  <c r="V89" i="1"/>
  <c r="V830" i="1"/>
  <c r="V126" i="1"/>
  <c r="V63" i="1"/>
  <c r="V95" i="1"/>
  <c r="V619" i="1"/>
  <c r="V530" i="1"/>
  <c r="V303" i="1"/>
  <c r="V114" i="1"/>
  <c r="V694" i="1"/>
  <c r="V331" i="1"/>
  <c r="V832" i="1"/>
  <c r="V281" i="1"/>
  <c r="V723" i="1"/>
  <c r="V80" i="1"/>
  <c r="V158" i="1"/>
  <c r="V224" i="1"/>
  <c r="V639" i="1"/>
  <c r="V733" i="1"/>
  <c r="V155" i="1"/>
  <c r="V520" i="1"/>
  <c r="V234" i="1"/>
  <c r="V679" i="1"/>
  <c r="V649" i="1"/>
  <c r="V604" i="1"/>
  <c r="V366" i="1"/>
  <c r="V460" i="1"/>
  <c r="V373" i="1"/>
  <c r="V138" i="1"/>
  <c r="V613" i="1"/>
  <c r="V620" i="1"/>
  <c r="V221" i="1"/>
  <c r="V189" i="1"/>
  <c r="V148" i="1"/>
  <c r="V507" i="1"/>
  <c r="V672" i="1"/>
  <c r="V637" i="1"/>
  <c r="V833" i="1"/>
  <c r="V236" i="1"/>
  <c r="V146" i="1"/>
  <c r="V834" i="1"/>
  <c r="V616" i="1"/>
  <c r="V785" i="1"/>
  <c r="V233" i="1"/>
  <c r="V65" i="1"/>
  <c r="V746" i="1"/>
  <c r="V145" i="1"/>
  <c r="V288" i="1"/>
  <c r="V134" i="1"/>
  <c r="V835" i="1"/>
  <c r="V379" i="1"/>
  <c r="V77" i="1"/>
  <c r="V699" i="1"/>
  <c r="V836" i="1"/>
  <c r="V689" i="1"/>
  <c r="V257" i="1"/>
  <c r="V614" i="1"/>
  <c r="V594" i="1"/>
  <c r="V837" i="1"/>
  <c r="V401" i="1"/>
  <c r="V609" i="1"/>
  <c r="V641" i="1"/>
  <c r="V315" i="1"/>
  <c r="V804" i="1"/>
  <c r="V100" i="1"/>
  <c r="V282" i="1"/>
  <c r="V407" i="1"/>
  <c r="V508" i="1"/>
  <c r="V18" i="1"/>
  <c r="V756" i="1"/>
  <c r="V693" i="1"/>
  <c r="V535" i="1"/>
  <c r="V93" i="1"/>
  <c r="V317" i="1"/>
  <c r="V690" i="1"/>
  <c r="V396" i="1"/>
  <c r="V45" i="1"/>
  <c r="V775" i="1"/>
  <c r="V9" i="1"/>
  <c r="V603" i="1"/>
  <c r="V724" i="1"/>
  <c r="V510" i="1"/>
  <c r="V427" i="1"/>
  <c r="V163" i="1"/>
  <c r="V653" i="1"/>
  <c r="V456" i="1"/>
  <c r="V757" i="1"/>
  <c r="V289" i="1"/>
  <c r="V211" i="1"/>
  <c r="V556" i="1"/>
  <c r="V290" i="1"/>
  <c r="V664" i="1"/>
  <c r="V839" i="1"/>
  <c r="V207" i="1"/>
  <c r="V450" i="1"/>
  <c r="V97" i="1"/>
  <c r="V663" i="1"/>
  <c r="V461" i="1"/>
  <c r="V840" i="1"/>
  <c r="V22" i="1"/>
  <c r="V725" i="1"/>
  <c r="V806" i="1"/>
  <c r="V519" i="1"/>
  <c r="V431" i="1"/>
  <c r="V429" i="1"/>
  <c r="V826" i="1"/>
  <c r="V602" i="1"/>
  <c r="V841" i="1"/>
  <c r="V127" i="1"/>
  <c r="V766" i="1"/>
  <c r="V524" i="1"/>
  <c r="V656" i="1"/>
  <c r="V98" i="1"/>
  <c r="V646" i="1"/>
  <c r="V808" i="1"/>
  <c r="V715" i="1"/>
  <c r="V165" i="1"/>
  <c r="V123" i="1"/>
  <c r="V374" i="1"/>
  <c r="V501" i="1"/>
  <c r="V842" i="1"/>
  <c r="V291" i="1"/>
  <c r="V121" i="1"/>
  <c r="V196" i="1"/>
  <c r="V577" i="1"/>
  <c r="V632" i="1"/>
  <c r="V249" i="1"/>
  <c r="V831" i="1"/>
  <c r="V625" i="1"/>
  <c r="V533" i="1"/>
  <c r="V103" i="1"/>
  <c r="V843" i="1"/>
  <c r="V33" i="1"/>
  <c r="V844" i="1"/>
  <c r="V515" i="1"/>
  <c r="V164" i="1"/>
  <c r="V441" i="1"/>
  <c r="V498" i="1"/>
  <c r="V135" i="1"/>
  <c r="V736" i="1"/>
  <c r="V23" i="1"/>
  <c r="V721" i="1"/>
  <c r="V297" i="1"/>
  <c r="V845" i="1"/>
  <c r="V442" i="1"/>
  <c r="V846" i="1"/>
  <c r="V313" i="1"/>
  <c r="V773" i="1"/>
  <c r="V544" i="1"/>
  <c r="V847" i="1"/>
  <c r="V534" i="1"/>
  <c r="V413" i="1"/>
  <c r="V848" i="1"/>
  <c r="V326" i="1"/>
  <c r="V227" i="1"/>
  <c r="V584" i="1"/>
  <c r="V541" i="1"/>
  <c r="V521" i="1"/>
  <c r="V299" i="1"/>
  <c r="V52" i="1"/>
  <c r="V849" i="1"/>
  <c r="V850" i="1"/>
  <c r="V801" i="1"/>
  <c r="V573" i="1"/>
  <c r="V209" i="1"/>
  <c r="V64" i="1"/>
  <c r="V592" i="1"/>
  <c r="V659" i="1"/>
  <c r="V39" i="1"/>
  <c r="V335" i="1"/>
  <c r="V447" i="1"/>
  <c r="V122" i="1"/>
  <c r="V719" i="1"/>
  <c r="V306" i="1"/>
  <c r="V765" i="1"/>
  <c r="V716" i="1"/>
  <c r="V851" i="1"/>
  <c r="V197" i="1"/>
  <c r="V811" i="1"/>
  <c r="V108" i="1"/>
  <c r="V159" i="1"/>
  <c r="V527" i="1"/>
  <c r="V547" i="1"/>
  <c r="V245" i="1"/>
  <c r="V69" i="1"/>
  <c r="V124" i="1"/>
  <c r="V53" i="1"/>
  <c r="V852" i="1"/>
  <c r="V780" i="1"/>
  <c r="V853" i="1"/>
  <c r="V854" i="1"/>
  <c r="V491" i="1"/>
  <c r="V537" i="1"/>
  <c r="V34" i="1"/>
  <c r="V3" i="1"/>
  <c r="V287" i="1"/>
  <c r="V444" i="1"/>
  <c r="V16" i="1"/>
  <c r="V260" i="1"/>
  <c r="V58" i="1"/>
  <c r="V84" i="1"/>
  <c r="V380" i="1"/>
  <c r="V190" i="1"/>
  <c r="V434" i="1"/>
  <c r="V238" i="1"/>
  <c r="V855" i="1"/>
  <c r="V308" i="1"/>
  <c r="V75" i="1"/>
  <c r="V438" i="1"/>
  <c r="V624" i="1"/>
  <c r="V856" i="1"/>
  <c r="V424" i="1"/>
  <c r="V428" i="1"/>
  <c r="V458" i="1"/>
  <c r="V642" i="1"/>
  <c r="V635" i="1"/>
  <c r="V352" i="1"/>
  <c r="V49" i="1"/>
  <c r="V319" i="1"/>
  <c r="V587" i="1"/>
  <c r="V657" i="1"/>
  <c r="V499" i="1"/>
  <c r="V382" i="1"/>
  <c r="V307" i="1"/>
  <c r="V662" i="1"/>
  <c r="V298" i="1"/>
  <c r="V754" i="1"/>
  <c r="V421" i="1"/>
  <c r="V857" i="1"/>
  <c r="V276" i="1"/>
  <c r="V469" i="1"/>
  <c r="V327" i="1"/>
  <c r="V497" i="1"/>
  <c r="V375" i="1"/>
  <c r="V415" i="1"/>
  <c r="V578" i="1"/>
  <c r="V115" i="1"/>
  <c r="V595" i="1"/>
  <c r="V858" i="1"/>
  <c r="V859" i="1"/>
  <c r="V480" i="1"/>
  <c r="V654" i="1"/>
  <c r="V383" i="1"/>
  <c r="V802" i="1"/>
  <c r="V860" i="1"/>
  <c r="V606" i="1"/>
  <c r="V588" i="1"/>
  <c r="V661" i="1"/>
  <c r="V243" i="1"/>
  <c r="V548" i="1"/>
  <c r="V861" i="1"/>
  <c r="V119" i="1"/>
  <c r="V393" i="1"/>
  <c r="V862" i="1"/>
  <c r="V681" i="1"/>
  <c r="V782" i="1"/>
  <c r="V340" i="1"/>
  <c r="V46" i="1"/>
  <c r="V863" i="1"/>
  <c r="V263" i="1"/>
  <c r="V788" i="1"/>
  <c r="V293" i="1"/>
  <c r="V864" i="1"/>
  <c r="V172" i="1"/>
  <c r="V568" i="1"/>
  <c r="V24" i="1"/>
  <c r="V325" i="1"/>
  <c r="V565" i="1"/>
  <c r="V78" i="1"/>
  <c r="V665" i="1"/>
  <c r="V865" i="1"/>
  <c r="V242" i="1"/>
  <c r="V466" i="1"/>
  <c r="V866" i="1"/>
  <c r="V722" i="1"/>
  <c r="V169" i="1"/>
  <c r="V181" i="1"/>
  <c r="V838" i="1"/>
  <c r="V266" i="1"/>
  <c r="V79" i="1"/>
  <c r="V463" i="1"/>
  <c r="V867" i="1"/>
  <c r="V349" i="1"/>
  <c r="V482" i="1"/>
  <c r="V222" i="1"/>
  <c r="V157" i="1"/>
  <c r="V750" i="1"/>
  <c r="V781" i="1"/>
  <c r="V13" i="1"/>
  <c r="V674" i="1"/>
  <c r="V160" i="1"/>
  <c r="V195" i="1"/>
  <c r="V348" i="1"/>
  <c r="V709" i="1"/>
  <c r="V277" i="1"/>
  <c r="V47" i="1"/>
  <c r="V19" i="1"/>
  <c r="V713" i="1"/>
  <c r="V729" i="1"/>
  <c r="V871" i="1"/>
  <c r="V36" i="1"/>
  <c r="V868" i="1"/>
  <c r="V70" i="1"/>
  <c r="V538" i="1"/>
  <c r="V66" i="1"/>
  <c r="V869" i="1"/>
  <c r="V72" i="1"/>
  <c r="V213" i="1"/>
  <c r="V529" i="1"/>
  <c r="V714" i="1"/>
  <c r="V353" i="1"/>
  <c r="V81" i="1"/>
  <c r="V129" i="1"/>
  <c r="V643" i="1"/>
  <c r="V574" i="1"/>
  <c r="V691" i="1"/>
  <c r="V539" i="1"/>
  <c r="V403" i="1"/>
  <c r="V182" i="1"/>
  <c r="V73" i="1"/>
  <c r="V87" i="1"/>
  <c r="V870" i="1"/>
  <c r="V322" i="1"/>
  <c r="V800" i="1"/>
  <c r="V132" i="1"/>
  <c r="V666" i="1"/>
  <c r="V495" i="1"/>
  <c r="V286" i="1"/>
  <c r="V528" i="1"/>
  <c r="V29" i="1"/>
  <c r="V360" i="1"/>
  <c r="V522" i="1"/>
  <c r="V484" i="1"/>
  <c r="V669" i="1"/>
  <c r="V512" i="1"/>
  <c r="V503" i="1"/>
  <c r="V214" i="1"/>
  <c r="V443" i="1"/>
  <c r="V173" i="1"/>
  <c r="V667" i="1"/>
  <c r="V562" i="1"/>
  <c r="V337" i="1"/>
  <c r="V59" i="1"/>
  <c r="V336" i="1"/>
  <c r="V284" i="1"/>
  <c r="V872" i="1"/>
  <c r="V256" i="1"/>
  <c r="V873" i="1"/>
  <c r="V285" i="1"/>
  <c r="V390" i="1"/>
  <c r="V467" i="1"/>
  <c r="V272" i="1"/>
  <c r="V874" i="1"/>
  <c r="V875" i="1"/>
  <c r="V621" i="1"/>
  <c r="V876" i="1"/>
  <c r="V789" i="1"/>
  <c r="V794" i="1"/>
  <c r="V131" i="1"/>
  <c r="V133" i="1"/>
  <c r="V909" i="1"/>
  <c r="V877" i="1"/>
  <c r="V799" i="1"/>
  <c r="V174" i="1"/>
  <c r="V332" i="1"/>
  <c r="V177" i="1"/>
  <c r="V30" i="1"/>
  <c r="V878" i="1"/>
  <c r="V449" i="1"/>
  <c r="V566" i="1"/>
  <c r="V879" i="1"/>
  <c r="V41" i="1"/>
  <c r="V569" i="1"/>
  <c r="V5" i="1"/>
  <c r="V880" i="1"/>
  <c r="V433" i="1"/>
  <c r="V141" i="1"/>
  <c r="V718" i="1"/>
  <c r="V881" i="1"/>
  <c r="V705" i="1"/>
  <c r="V882" i="1"/>
  <c r="V559" i="1"/>
  <c r="V812" i="1"/>
  <c r="V883" i="1"/>
  <c r="V156" i="1"/>
  <c r="V668" i="1"/>
  <c r="V633" i="1"/>
  <c r="V457" i="1"/>
  <c r="V884" i="1"/>
  <c r="V170" i="1"/>
  <c r="V12" i="1"/>
  <c r="V42" i="1"/>
  <c r="V405" i="1"/>
  <c r="V448" i="1"/>
  <c r="V215" i="1"/>
  <c r="V599" i="1"/>
  <c r="V885" i="1"/>
  <c r="V109" i="1"/>
  <c r="V474" i="1"/>
  <c r="V104" i="1"/>
  <c r="V304" i="1"/>
  <c r="V500" i="1"/>
  <c r="V171" i="1"/>
  <c r="V629" i="1"/>
  <c r="V910" i="1"/>
  <c r="V219" i="1"/>
  <c r="V387" i="1"/>
  <c r="V726" i="1"/>
  <c r="V183" i="1"/>
  <c r="V128" i="1"/>
  <c r="V485" i="1"/>
  <c r="V685" i="1"/>
  <c r="V687" i="1"/>
  <c r="V783" i="1"/>
  <c r="V111" i="1"/>
  <c r="V792" i="1"/>
  <c r="V517" i="1"/>
  <c r="V338" i="1"/>
  <c r="V376" i="1"/>
  <c r="V416" i="1"/>
  <c r="V790" i="1"/>
  <c r="V558" i="1"/>
  <c r="V911" i="1"/>
  <c r="V232" i="1"/>
  <c r="V769" i="1"/>
  <c r="V435" i="1"/>
  <c r="V318" i="1"/>
  <c r="V202" i="1"/>
  <c r="V321" i="1"/>
  <c r="V147" i="1"/>
  <c r="V475" i="1"/>
  <c r="V358" i="1"/>
  <c r="V496" i="1"/>
  <c r="V311" i="1"/>
  <c r="V225" i="1"/>
  <c r="V647" i="1"/>
  <c r="V886" i="1"/>
  <c r="V453" i="1"/>
  <c r="V406" i="1"/>
  <c r="V476" i="1"/>
  <c r="V576" i="1"/>
  <c r="V626" i="1"/>
  <c r="V546" i="1"/>
  <c r="V734" i="1"/>
  <c r="V739" i="1"/>
  <c r="V798" i="1"/>
  <c r="V309" i="1"/>
  <c r="V912" i="1"/>
  <c r="V244" i="1"/>
  <c r="V640" i="1"/>
  <c r="V341" i="1"/>
  <c r="V636" i="1"/>
  <c r="V333" i="1"/>
  <c r="V593" i="1"/>
  <c r="V14" i="1"/>
  <c r="V350" i="1"/>
  <c r="V6" i="1"/>
  <c r="V913" i="1"/>
  <c r="V887" i="1"/>
  <c r="V101" i="1"/>
  <c r="V391" i="1"/>
  <c r="V216" i="1"/>
  <c r="V292" i="1"/>
  <c r="V278" i="1"/>
  <c r="V404" i="1"/>
  <c r="V54" i="1"/>
  <c r="V509" i="1"/>
  <c r="V400" i="1"/>
  <c r="V120" i="1"/>
  <c r="V888" i="1"/>
  <c r="V889" i="1"/>
  <c r="V809" i="1"/>
  <c r="V727" i="1"/>
  <c r="V361" i="1"/>
  <c r="V436" i="1"/>
  <c r="V149" i="1"/>
  <c r="V184" i="1"/>
  <c r="V102" i="1"/>
  <c r="V486" i="1"/>
  <c r="V682" i="1"/>
  <c r="V110" i="1"/>
  <c r="V279" i="1"/>
  <c r="V563" i="1"/>
  <c r="V686" i="1"/>
  <c r="V890" i="1"/>
  <c r="V701" i="1"/>
  <c r="V152" i="1"/>
  <c r="V250" i="1"/>
  <c r="V296" i="1"/>
  <c r="V741" i="1"/>
  <c r="V2" i="1"/>
  <c r="V737" i="1"/>
  <c r="V575" i="1"/>
  <c r="V658" i="1"/>
  <c r="V320" i="1"/>
  <c r="V153" i="1"/>
  <c r="V557" i="1"/>
  <c r="V371" i="1"/>
  <c r="V891" i="1"/>
  <c r="V240" i="1"/>
  <c r="V892" i="1"/>
  <c r="V511" i="1"/>
  <c r="V710" i="1"/>
  <c r="V136" i="1"/>
  <c r="V631" i="1"/>
  <c r="V40" i="1"/>
  <c r="V893" i="1"/>
  <c r="V894" i="1"/>
  <c r="V268" i="1"/>
  <c r="V37" i="1"/>
  <c r="V540" i="1"/>
  <c r="V200" i="1"/>
  <c r="V570" i="1"/>
  <c r="V175" i="1"/>
  <c r="V630" i="1"/>
  <c r="V316" i="1"/>
  <c r="V264" i="1"/>
  <c r="V531" i="1"/>
  <c r="V186" i="1"/>
  <c r="V334" i="1"/>
  <c r="V622" i="1"/>
  <c r="V179" i="1"/>
  <c r="V644" i="1"/>
  <c r="V262" i="1"/>
  <c r="V895" i="1"/>
  <c r="V140" i="1"/>
  <c r="V670" i="1"/>
  <c r="V344" i="1"/>
  <c r="V83" i="1"/>
  <c r="V793" i="1"/>
  <c r="V504" i="1"/>
  <c r="V409" i="1"/>
  <c r="V762" i="1"/>
  <c r="V564" i="1"/>
  <c r="V377" i="1"/>
  <c r="V492" i="1"/>
  <c r="V747" i="1"/>
  <c r="V650" i="1"/>
  <c r="V88" i="1"/>
  <c r="V411" i="1"/>
  <c r="V208" i="1"/>
  <c r="V623" i="1"/>
  <c r="V706" i="1"/>
  <c r="V7" i="1"/>
  <c r="V896" i="1"/>
  <c r="V560" i="1"/>
  <c r="V328" i="1"/>
  <c r="V897" i="1"/>
  <c r="V487" i="1"/>
  <c r="V235" i="1"/>
  <c r="V410" i="1"/>
  <c r="V439" i="1"/>
  <c r="V545" i="1"/>
  <c r="V581" i="1"/>
  <c r="V717" i="1"/>
  <c r="V388" i="1"/>
  <c r="V796" i="1"/>
  <c r="V898" i="1"/>
  <c r="V676" i="1"/>
  <c r="V525" i="1"/>
  <c r="V608" i="1"/>
  <c r="V191" i="1"/>
  <c r="V356" i="1"/>
  <c r="V899" i="1"/>
  <c r="V417" i="1"/>
  <c r="V776" i="1"/>
  <c r="V526" i="1"/>
  <c r="V900" i="1"/>
  <c r="V767" i="1"/>
  <c r="V488" i="1"/>
  <c r="V116" i="1"/>
  <c r="V683" i="1"/>
  <c r="V454" i="1"/>
  <c r="V76" i="1"/>
  <c r="V137" i="1"/>
  <c r="V600" i="1"/>
  <c r="V610" i="1"/>
  <c r="V579" i="1"/>
  <c r="V228" i="1"/>
  <c r="V112" i="1"/>
  <c r="V117" i="1"/>
  <c r="V596" i="1"/>
  <c r="V901" i="1"/>
  <c r="V258" i="1"/>
  <c r="V204" i="1"/>
  <c r="V192" i="1"/>
  <c r="V43" i="1"/>
  <c r="V902" i="1"/>
  <c r="V38" i="1"/>
  <c r="V532" i="1"/>
  <c r="V549" i="1"/>
  <c r="V634" i="1"/>
  <c r="V749" i="1"/>
  <c r="V489" i="1"/>
  <c r="V903" i="1"/>
  <c r="V384" i="1"/>
  <c r="V572" i="1"/>
  <c r="V617" i="1"/>
  <c r="V627" i="1"/>
  <c r="V904" i="1"/>
  <c r="V11" i="1"/>
  <c r="V473" i="1"/>
  <c r="V677" i="1"/>
  <c r="V275" i="1"/>
  <c r="V905" i="1"/>
  <c r="V740" i="1"/>
  <c r="V25" i="1"/>
  <c r="V742" i="1"/>
  <c r="V90" i="1"/>
  <c r="V397" i="1"/>
  <c r="V477" i="1"/>
  <c r="V586" i="1"/>
  <c r="V451" i="1"/>
  <c r="V8" i="1"/>
  <c r="V585" i="1"/>
  <c r="V205" i="1"/>
  <c r="V707" i="1"/>
  <c r="V536" i="1"/>
  <c r="V167" i="1"/>
  <c r="V342" i="1"/>
  <c r="V810" i="1"/>
  <c r="V198" i="1"/>
  <c r="V74" i="1"/>
  <c r="V372" i="1"/>
  <c r="V906" i="1"/>
  <c r="V907" i="1"/>
  <c r="V188" i="1"/>
  <c r="V611" i="1"/>
  <c r="V402" i="1"/>
  <c r="V700" i="1"/>
  <c r="V807" i="1"/>
  <c r="V759" i="1"/>
  <c r="V787" i="1"/>
  <c r="V755" i="1"/>
  <c r="V414" i="1"/>
  <c r="V908" i="1"/>
  <c r="V68" i="1"/>
  <c r="V94" i="1"/>
  <c r="V21" i="1"/>
  <c r="V805" i="1"/>
  <c r="T300" i="1"/>
  <c r="T270" i="1"/>
  <c r="T389" i="1"/>
  <c r="T744" i="1"/>
  <c r="T176" i="1"/>
  <c r="T597" i="1"/>
  <c r="T513" i="1"/>
  <c r="T161" i="1"/>
  <c r="T752" i="1"/>
  <c r="T598" i="1"/>
  <c r="T254" i="1"/>
  <c r="T419" i="1"/>
  <c r="T797" i="1"/>
  <c r="T425" i="1"/>
  <c r="T310" i="1"/>
  <c r="T269" i="1"/>
  <c r="T229" i="1"/>
  <c r="T675" i="1"/>
  <c r="T259" i="1"/>
  <c r="T455" i="1"/>
  <c r="T462" i="1"/>
  <c r="T452" i="1"/>
  <c r="T745" i="1"/>
  <c r="T85" i="1"/>
  <c r="T345" i="1"/>
  <c r="T386" i="1"/>
  <c r="T778" i="1"/>
  <c r="T346" i="1"/>
  <c r="T720" i="1"/>
  <c r="T50" i="1"/>
  <c r="T638" i="1"/>
  <c r="T385" i="1"/>
  <c r="T255" i="1"/>
  <c r="T471" i="1"/>
  <c r="T180" i="1"/>
  <c r="T362" i="1"/>
  <c r="T696" i="1"/>
  <c r="T210" i="1"/>
  <c r="T378" i="1"/>
  <c r="T343" i="1"/>
  <c r="T398" i="1"/>
  <c r="T795" i="1"/>
  <c r="T271" i="1"/>
  <c r="T217" i="1"/>
  <c r="T15" i="1"/>
  <c r="T246" i="1"/>
  <c r="T280" i="1"/>
  <c r="T468" i="1"/>
  <c r="T125" i="1"/>
  <c r="T803" i="1"/>
  <c r="T143" i="1"/>
  <c r="T363" i="1"/>
  <c r="T553" i="1"/>
  <c r="T615" i="1"/>
  <c r="T660" i="1"/>
  <c r="T437" i="1"/>
  <c r="T48" i="1"/>
  <c r="T301" i="1"/>
  <c r="T251" i="1"/>
  <c r="T241" i="1"/>
  <c r="T139" i="1"/>
  <c r="T367" i="1"/>
  <c r="T27" i="1"/>
  <c r="T422" i="1"/>
  <c r="T142" i="1"/>
  <c r="T743" i="1"/>
  <c r="T478" i="1"/>
  <c r="T347" i="1"/>
  <c r="T130" i="1"/>
  <c r="T730" i="1"/>
  <c r="T580" i="1"/>
  <c r="T56" i="1"/>
  <c r="T552" i="1"/>
  <c r="T518" i="1"/>
  <c r="T731" i="1"/>
  <c r="T368" i="1"/>
  <c r="T708" i="1"/>
  <c r="T678" i="1"/>
  <c r="T774" i="1"/>
  <c r="T273" i="1"/>
  <c r="T542" i="1"/>
  <c r="T267" i="1"/>
  <c r="T364" i="1"/>
  <c r="T330" i="1"/>
  <c r="T261" i="1"/>
  <c r="T230" i="1"/>
  <c r="T265" i="1"/>
  <c r="T106" i="1"/>
  <c r="T305" i="1"/>
  <c r="T605" i="1"/>
  <c r="T523" i="1"/>
  <c r="T459" i="1"/>
  <c r="T231" i="1"/>
  <c r="T201" i="1"/>
  <c r="T751" i="1"/>
  <c r="T193" i="1"/>
  <c r="T711" i="1"/>
  <c r="T28" i="1"/>
  <c r="T445" i="1"/>
  <c r="T763" i="1"/>
  <c r="T218" i="1"/>
  <c r="T671" i="1"/>
  <c r="T483" i="1"/>
  <c r="T472" i="1"/>
  <c r="T223" i="1"/>
  <c r="T67" i="1"/>
  <c r="T365" i="1"/>
  <c r="T283" i="1"/>
  <c r="T735" i="1"/>
  <c r="T355" i="1"/>
  <c r="T651" i="1"/>
  <c r="T10" i="1"/>
  <c r="T60" i="1"/>
  <c r="T324" i="1"/>
  <c r="T426" i="1"/>
  <c r="T502" i="1"/>
  <c r="T62" i="1"/>
  <c r="T339" i="1"/>
  <c r="T203" i="1"/>
  <c r="T274" i="1"/>
  <c r="T732" i="1"/>
  <c r="T392" i="1"/>
  <c r="T4" i="1"/>
  <c r="T253" i="1"/>
  <c r="T680" i="1"/>
  <c r="T772" i="1"/>
  <c r="T702" i="1"/>
  <c r="T412" i="1"/>
  <c r="T247" i="1"/>
  <c r="T31" i="1"/>
  <c r="T779" i="1"/>
  <c r="T369" i="1"/>
  <c r="T26" i="1"/>
  <c r="T673" i="1"/>
  <c r="T738" i="1"/>
  <c r="T493" i="1"/>
  <c r="T748" i="1"/>
  <c r="T17" i="1"/>
  <c r="T479" i="1"/>
  <c r="T185" i="1"/>
  <c r="T105" i="1"/>
  <c r="T55" i="1"/>
  <c r="T107" i="1"/>
  <c r="T199" i="1"/>
  <c r="T571" i="1"/>
  <c r="T698" i="1"/>
  <c r="T423" i="1"/>
  <c r="T494" i="1"/>
  <c r="T35" i="1"/>
  <c r="T86" i="1"/>
  <c r="T226" i="1"/>
  <c r="T206" i="1"/>
  <c r="T770" i="1"/>
  <c r="T61" i="1"/>
  <c r="T464" i="1"/>
  <c r="T550" i="1"/>
  <c r="T359" i="1"/>
  <c r="T312" i="1"/>
  <c r="T470" i="1"/>
  <c r="T791" i="1"/>
  <c r="T692" i="1"/>
  <c r="T91" i="1"/>
  <c r="T768" i="1"/>
  <c r="T760" i="1"/>
  <c r="T813" i="1"/>
  <c r="T506" i="1"/>
  <c r="T728" i="1"/>
  <c r="T814" i="1"/>
  <c r="T764" i="1"/>
  <c r="T753" i="1"/>
  <c r="T514" i="1"/>
  <c r="T703" i="1"/>
  <c r="T150" i="1"/>
  <c r="T777" i="1"/>
  <c r="T32" i="1"/>
  <c r="T543" i="1"/>
  <c r="T187" i="1"/>
  <c r="T329" i="1"/>
  <c r="T96" i="1"/>
  <c r="T294" i="1"/>
  <c r="T761" i="1"/>
  <c r="T354" i="1"/>
  <c r="T645" i="1"/>
  <c r="T118" i="1"/>
  <c r="T162" i="1"/>
  <c r="T248" i="1"/>
  <c r="T589" i="1"/>
  <c r="T601" i="1"/>
  <c r="T591" i="1"/>
  <c r="T582" i="1"/>
  <c r="T357" i="1"/>
  <c r="T408" i="1"/>
  <c r="T220" i="1"/>
  <c r="T465" i="1"/>
  <c r="T688" i="1"/>
  <c r="T20" i="1"/>
  <c r="T554" i="1"/>
  <c r="T194" i="1"/>
  <c r="T399" i="1"/>
  <c r="T652" i="1"/>
  <c r="T695" i="1"/>
  <c r="T551" i="1"/>
  <c r="T113" i="1"/>
  <c r="T684" i="1"/>
  <c r="T583" i="1"/>
  <c r="T815" i="1"/>
  <c r="T239" i="1"/>
  <c r="T816" i="1"/>
  <c r="T817" i="1"/>
  <c r="T818" i="1"/>
  <c r="T819" i="1"/>
  <c r="T820" i="1"/>
  <c r="T166" i="1"/>
  <c r="T99" i="1"/>
  <c r="T82" i="1"/>
  <c r="T786" i="1"/>
  <c r="T555" i="1"/>
  <c r="T516" i="1"/>
  <c r="T212" i="1"/>
  <c r="T92" i="1"/>
  <c r="T446" i="1"/>
  <c r="T821" i="1"/>
  <c r="T505" i="1"/>
  <c r="T758" i="1"/>
  <c r="T302" i="1"/>
  <c r="T567" i="1"/>
  <c r="T237" i="1"/>
  <c r="T144" i="1"/>
  <c r="T655" i="1"/>
  <c r="T178" i="1"/>
  <c r="T151" i="1"/>
  <c r="T618" i="1"/>
  <c r="T351" i="1"/>
  <c r="T51" i="1"/>
  <c r="T57" i="1"/>
  <c r="T822" i="1"/>
  <c r="T295" i="1"/>
  <c r="T394" i="1"/>
  <c r="T323" i="1"/>
  <c r="T418" i="1"/>
  <c r="T628" i="1"/>
  <c r="T490" i="1"/>
  <c r="T697" i="1"/>
  <c r="T823" i="1"/>
  <c r="T824" i="1"/>
  <c r="T154" i="1"/>
  <c r="T825" i="1"/>
  <c r="T44" i="1"/>
  <c r="T440" i="1"/>
  <c r="T71" i="1"/>
  <c r="T561" i="1"/>
  <c r="T648" i="1"/>
  <c r="T314" i="1"/>
  <c r="T432" i="1"/>
  <c r="T481" i="1"/>
  <c r="T370" i="1"/>
  <c r="T712" i="1"/>
  <c r="T430" i="1"/>
  <c r="T827" i="1"/>
  <c r="T771" i="1"/>
  <c r="T828" i="1"/>
  <c r="T607" i="1"/>
  <c r="T704" i="1"/>
  <c r="T168" i="1"/>
  <c r="T381" i="1"/>
  <c r="T590" i="1"/>
  <c r="T612" i="1"/>
  <c r="T829" i="1"/>
  <c r="T784" i="1"/>
  <c r="T395" i="1"/>
  <c r="T420" i="1"/>
  <c r="T89" i="1"/>
  <c r="T830" i="1"/>
  <c r="T126" i="1"/>
  <c r="T63" i="1"/>
  <c r="T95" i="1"/>
  <c r="T619" i="1"/>
  <c r="T530" i="1"/>
  <c r="T303" i="1"/>
  <c r="T114" i="1"/>
  <c r="T694" i="1"/>
  <c r="T331" i="1"/>
  <c r="T832" i="1"/>
  <c r="T281" i="1"/>
  <c r="T723" i="1"/>
  <c r="T80" i="1"/>
  <c r="T158" i="1"/>
  <c r="T224" i="1"/>
  <c r="T639" i="1"/>
  <c r="T733" i="1"/>
  <c r="T155" i="1"/>
  <c r="T520" i="1"/>
  <c r="T234" i="1"/>
  <c r="T679" i="1"/>
  <c r="T649" i="1"/>
  <c r="T604" i="1"/>
  <c r="T366" i="1"/>
  <c r="T460" i="1"/>
  <c r="T373" i="1"/>
  <c r="T138" i="1"/>
  <c r="T613" i="1"/>
  <c r="T620" i="1"/>
  <c r="T221" i="1"/>
  <c r="T189" i="1"/>
  <c r="T148" i="1"/>
  <c r="T507" i="1"/>
  <c r="T672" i="1"/>
  <c r="T637" i="1"/>
  <c r="T833" i="1"/>
  <c r="T236" i="1"/>
  <c r="T146" i="1"/>
  <c r="T834" i="1"/>
  <c r="T616" i="1"/>
  <c r="T785" i="1"/>
  <c r="T233" i="1"/>
  <c r="T65" i="1"/>
  <c r="T746" i="1"/>
  <c r="T145" i="1"/>
  <c r="T288" i="1"/>
  <c r="T134" i="1"/>
  <c r="T835" i="1"/>
  <c r="T379" i="1"/>
  <c r="T77" i="1"/>
  <c r="T699" i="1"/>
  <c r="T836" i="1"/>
  <c r="T689" i="1"/>
  <c r="T257" i="1"/>
  <c r="T614" i="1"/>
  <c r="T594" i="1"/>
  <c r="T837" i="1"/>
  <c r="T401" i="1"/>
  <c r="T609" i="1"/>
  <c r="T641" i="1"/>
  <c r="T315" i="1"/>
  <c r="T804" i="1"/>
  <c r="T100" i="1"/>
  <c r="T282" i="1"/>
  <c r="T407" i="1"/>
  <c r="T508" i="1"/>
  <c r="T18" i="1"/>
  <c r="T756" i="1"/>
  <c r="T693" i="1"/>
  <c r="T535" i="1"/>
  <c r="T93" i="1"/>
  <c r="T317" i="1"/>
  <c r="T690" i="1"/>
  <c r="T396" i="1"/>
  <c r="T45" i="1"/>
  <c r="T775" i="1"/>
  <c r="T9" i="1"/>
  <c r="T603" i="1"/>
  <c r="T724" i="1"/>
  <c r="T510" i="1"/>
  <c r="T427" i="1"/>
  <c r="T163" i="1"/>
  <c r="T653" i="1"/>
  <c r="T456" i="1"/>
  <c r="T757" i="1"/>
  <c r="T289" i="1"/>
  <c r="T211" i="1"/>
  <c r="T556" i="1"/>
  <c r="T290" i="1"/>
  <c r="T664" i="1"/>
  <c r="T839" i="1"/>
  <c r="T207" i="1"/>
  <c r="T450" i="1"/>
  <c r="T97" i="1"/>
  <c r="T663" i="1"/>
  <c r="T461" i="1"/>
  <c r="T840" i="1"/>
  <c r="T22" i="1"/>
  <c r="T725" i="1"/>
  <c r="T806" i="1"/>
  <c r="T519" i="1"/>
  <c r="T431" i="1"/>
  <c r="T429" i="1"/>
  <c r="T826" i="1"/>
  <c r="T602" i="1"/>
  <c r="T841" i="1"/>
  <c r="T127" i="1"/>
  <c r="T766" i="1"/>
  <c r="T524" i="1"/>
  <c r="T656" i="1"/>
  <c r="T98" i="1"/>
  <c r="T646" i="1"/>
  <c r="T808" i="1"/>
  <c r="T715" i="1"/>
  <c r="T165" i="1"/>
  <c r="T123" i="1"/>
  <c r="T374" i="1"/>
  <c r="T501" i="1"/>
  <c r="T842" i="1"/>
  <c r="T291" i="1"/>
  <c r="T121" i="1"/>
  <c r="T196" i="1"/>
  <c r="T577" i="1"/>
  <c r="T632" i="1"/>
  <c r="T249" i="1"/>
  <c r="T831" i="1"/>
  <c r="T625" i="1"/>
  <c r="T533" i="1"/>
  <c r="T103" i="1"/>
  <c r="T843" i="1"/>
  <c r="T33" i="1"/>
  <c r="T844" i="1"/>
  <c r="T515" i="1"/>
  <c r="T164" i="1"/>
  <c r="T441" i="1"/>
  <c r="T498" i="1"/>
  <c r="T135" i="1"/>
  <c r="T736" i="1"/>
  <c r="T23" i="1"/>
  <c r="T721" i="1"/>
  <c r="T297" i="1"/>
  <c r="T845" i="1"/>
  <c r="T442" i="1"/>
  <c r="T846" i="1"/>
  <c r="T313" i="1"/>
  <c r="T773" i="1"/>
  <c r="T544" i="1"/>
  <c r="T847" i="1"/>
  <c r="T534" i="1"/>
  <c r="T413" i="1"/>
  <c r="T848" i="1"/>
  <c r="T326" i="1"/>
  <c r="T227" i="1"/>
  <c r="T584" i="1"/>
  <c r="T541" i="1"/>
  <c r="T521" i="1"/>
  <c r="T299" i="1"/>
  <c r="T52" i="1"/>
  <c r="T849" i="1"/>
  <c r="T850" i="1"/>
  <c r="T801" i="1"/>
  <c r="T573" i="1"/>
  <c r="T209" i="1"/>
  <c r="T64" i="1"/>
  <c r="T592" i="1"/>
  <c r="T659" i="1"/>
  <c r="T39" i="1"/>
  <c r="T335" i="1"/>
  <c r="T447" i="1"/>
  <c r="T122" i="1"/>
  <c r="T719" i="1"/>
  <c r="T306" i="1"/>
  <c r="T765" i="1"/>
  <c r="T716" i="1"/>
  <c r="T851" i="1"/>
  <c r="T197" i="1"/>
  <c r="T811" i="1"/>
  <c r="T108" i="1"/>
  <c r="T159" i="1"/>
  <c r="T527" i="1"/>
  <c r="T547" i="1"/>
  <c r="T245" i="1"/>
  <c r="T69" i="1"/>
  <c r="T124" i="1"/>
  <c r="T53" i="1"/>
  <c r="T852" i="1"/>
  <c r="T780" i="1"/>
  <c r="T853" i="1"/>
  <c r="T854" i="1"/>
  <c r="T491" i="1"/>
  <c r="T537" i="1"/>
  <c r="T34" i="1"/>
  <c r="T3" i="1"/>
  <c r="T287" i="1"/>
  <c r="T444" i="1"/>
  <c r="T16" i="1"/>
  <c r="T260" i="1"/>
  <c r="T58" i="1"/>
  <c r="T84" i="1"/>
  <c r="T380" i="1"/>
  <c r="T190" i="1"/>
  <c r="T434" i="1"/>
  <c r="T238" i="1"/>
  <c r="T855" i="1"/>
  <c r="T308" i="1"/>
  <c r="T75" i="1"/>
  <c r="T438" i="1"/>
  <c r="T624" i="1"/>
  <c r="T856" i="1"/>
  <c r="T424" i="1"/>
  <c r="T428" i="1"/>
  <c r="T458" i="1"/>
  <c r="T642" i="1"/>
  <c r="T635" i="1"/>
  <c r="T352" i="1"/>
  <c r="T49" i="1"/>
  <c r="T319" i="1"/>
  <c r="T587" i="1"/>
  <c r="T657" i="1"/>
  <c r="T499" i="1"/>
  <c r="T382" i="1"/>
  <c r="T307" i="1"/>
  <c r="T662" i="1"/>
  <c r="T298" i="1"/>
  <c r="T754" i="1"/>
  <c r="T421" i="1"/>
  <c r="T857" i="1"/>
  <c r="T276" i="1"/>
  <c r="T469" i="1"/>
  <c r="T327" i="1"/>
  <c r="T497" i="1"/>
  <c r="T375" i="1"/>
  <c r="T415" i="1"/>
  <c r="T578" i="1"/>
  <c r="T115" i="1"/>
  <c r="T595" i="1"/>
  <c r="T858" i="1"/>
  <c r="T859" i="1"/>
  <c r="T480" i="1"/>
  <c r="T654" i="1"/>
  <c r="T383" i="1"/>
  <c r="T802" i="1"/>
  <c r="T860" i="1"/>
  <c r="T606" i="1"/>
  <c r="T588" i="1"/>
  <c r="T661" i="1"/>
  <c r="T243" i="1"/>
  <c r="T548" i="1"/>
  <c r="T861" i="1"/>
  <c r="T119" i="1"/>
  <c r="T393" i="1"/>
  <c r="T862" i="1"/>
  <c r="T681" i="1"/>
  <c r="T782" i="1"/>
  <c r="T340" i="1"/>
  <c r="T46" i="1"/>
  <c r="T863" i="1"/>
  <c r="T263" i="1"/>
  <c r="T788" i="1"/>
  <c r="T293" i="1"/>
  <c r="T864" i="1"/>
  <c r="T172" i="1"/>
  <c r="T568" i="1"/>
  <c r="T24" i="1"/>
  <c r="T325" i="1"/>
  <c r="T565" i="1"/>
  <c r="T78" i="1"/>
  <c r="T665" i="1"/>
  <c r="T865" i="1"/>
  <c r="T242" i="1"/>
  <c r="T466" i="1"/>
  <c r="T866" i="1"/>
  <c r="T722" i="1"/>
  <c r="T169" i="1"/>
  <c r="T181" i="1"/>
  <c r="T838" i="1"/>
  <c r="T266" i="1"/>
  <c r="T79" i="1"/>
  <c r="T463" i="1"/>
  <c r="T867" i="1"/>
  <c r="T349" i="1"/>
  <c r="T482" i="1"/>
  <c r="T222" i="1"/>
  <c r="T157" i="1"/>
  <c r="T750" i="1"/>
  <c r="T781" i="1"/>
  <c r="T13" i="1"/>
  <c r="T674" i="1"/>
  <c r="T160" i="1"/>
  <c r="T195" i="1"/>
  <c r="T348" i="1"/>
  <c r="T709" i="1"/>
  <c r="T277" i="1"/>
  <c r="T47" i="1"/>
  <c r="T19" i="1"/>
  <c r="T713" i="1"/>
  <c r="T729" i="1"/>
  <c r="T871" i="1"/>
  <c r="T36" i="1"/>
  <c r="T868" i="1"/>
  <c r="T70" i="1"/>
  <c r="T538" i="1"/>
  <c r="T66" i="1"/>
  <c r="T869" i="1"/>
  <c r="T72" i="1"/>
  <c r="T213" i="1"/>
  <c r="T529" i="1"/>
  <c r="T714" i="1"/>
  <c r="T353" i="1"/>
  <c r="T81" i="1"/>
  <c r="T129" i="1"/>
  <c r="T643" i="1"/>
  <c r="T574" i="1"/>
  <c r="T691" i="1"/>
  <c r="T539" i="1"/>
  <c r="T403" i="1"/>
  <c r="T182" i="1"/>
  <c r="T73" i="1"/>
  <c r="T87" i="1"/>
  <c r="T870" i="1"/>
  <c r="T322" i="1"/>
  <c r="T800" i="1"/>
  <c r="T132" i="1"/>
  <c r="T666" i="1"/>
  <c r="T495" i="1"/>
  <c r="T286" i="1"/>
  <c r="T528" i="1"/>
  <c r="T29" i="1"/>
  <c r="T360" i="1"/>
  <c r="T522" i="1"/>
  <c r="T484" i="1"/>
  <c r="T669" i="1"/>
  <c r="T512" i="1"/>
  <c r="T503" i="1"/>
  <c r="T214" i="1"/>
  <c r="T443" i="1"/>
  <c r="T173" i="1"/>
  <c r="T667" i="1"/>
  <c r="T562" i="1"/>
  <c r="T337" i="1"/>
  <c r="T59" i="1"/>
  <c r="T336" i="1"/>
  <c r="T284" i="1"/>
  <c r="T872" i="1"/>
  <c r="T256" i="1"/>
  <c r="T873" i="1"/>
  <c r="T285" i="1"/>
  <c r="T390" i="1"/>
  <c r="T467" i="1"/>
  <c r="T272" i="1"/>
  <c r="T874" i="1"/>
  <c r="T875" i="1"/>
  <c r="T621" i="1"/>
  <c r="T876" i="1"/>
  <c r="T789" i="1"/>
  <c r="T794" i="1"/>
  <c r="T131" i="1"/>
  <c r="T133" i="1"/>
  <c r="T909" i="1"/>
  <c r="T877" i="1"/>
  <c r="T799" i="1"/>
  <c r="T174" i="1"/>
  <c r="T332" i="1"/>
  <c r="T177" i="1"/>
  <c r="T30" i="1"/>
  <c r="T878" i="1"/>
  <c r="T449" i="1"/>
  <c r="T566" i="1"/>
  <c r="T879" i="1"/>
  <c r="T41" i="1"/>
  <c r="T569" i="1"/>
  <c r="T5" i="1"/>
  <c r="T880" i="1"/>
  <c r="T433" i="1"/>
  <c r="T141" i="1"/>
  <c r="T718" i="1"/>
  <c r="T881" i="1"/>
  <c r="T705" i="1"/>
  <c r="T882" i="1"/>
  <c r="T559" i="1"/>
  <c r="T812" i="1"/>
  <c r="T883" i="1"/>
  <c r="T156" i="1"/>
  <c r="T668" i="1"/>
  <c r="T633" i="1"/>
  <c r="T457" i="1"/>
  <c r="T884" i="1"/>
  <c r="T170" i="1"/>
  <c r="T12" i="1"/>
  <c r="T42" i="1"/>
  <c r="T405" i="1"/>
  <c r="T448" i="1"/>
  <c r="T215" i="1"/>
  <c r="T599" i="1"/>
  <c r="T885" i="1"/>
  <c r="T109" i="1"/>
  <c r="T474" i="1"/>
  <c r="T104" i="1"/>
  <c r="T304" i="1"/>
  <c r="T500" i="1"/>
  <c r="T171" i="1"/>
  <c r="T629" i="1"/>
  <c r="T910" i="1"/>
  <c r="T219" i="1"/>
  <c r="T387" i="1"/>
  <c r="T726" i="1"/>
  <c r="T183" i="1"/>
  <c r="T128" i="1"/>
  <c r="T485" i="1"/>
  <c r="T685" i="1"/>
  <c r="T687" i="1"/>
  <c r="T783" i="1"/>
  <c r="T111" i="1"/>
  <c r="T792" i="1"/>
  <c r="T517" i="1"/>
  <c r="T338" i="1"/>
  <c r="T376" i="1"/>
  <c r="T416" i="1"/>
  <c r="T790" i="1"/>
  <c r="T558" i="1"/>
  <c r="T911" i="1"/>
  <c r="T232" i="1"/>
  <c r="T769" i="1"/>
  <c r="T435" i="1"/>
  <c r="T318" i="1"/>
  <c r="T202" i="1"/>
  <c r="T321" i="1"/>
  <c r="T147" i="1"/>
  <c r="T475" i="1"/>
  <c r="T358" i="1"/>
  <c r="T496" i="1"/>
  <c r="T311" i="1"/>
  <c r="T225" i="1"/>
  <c r="T647" i="1"/>
  <c r="T886" i="1"/>
  <c r="T453" i="1"/>
  <c r="T406" i="1"/>
  <c r="T476" i="1"/>
  <c r="T576" i="1"/>
  <c r="T626" i="1"/>
  <c r="T546" i="1"/>
  <c r="T734" i="1"/>
  <c r="T739" i="1"/>
  <c r="T798" i="1"/>
  <c r="T309" i="1"/>
  <c r="T912" i="1"/>
  <c r="T244" i="1"/>
  <c r="T640" i="1"/>
  <c r="T341" i="1"/>
  <c r="T636" i="1"/>
  <c r="T333" i="1"/>
  <c r="T593" i="1"/>
  <c r="T14" i="1"/>
  <c r="T350" i="1"/>
  <c r="T6" i="1"/>
  <c r="T913" i="1"/>
  <c r="T887" i="1"/>
  <c r="T101" i="1"/>
  <c r="T391" i="1"/>
  <c r="T216" i="1"/>
  <c r="T292" i="1"/>
  <c r="T278" i="1"/>
  <c r="T404" i="1"/>
  <c r="T54" i="1"/>
  <c r="T509" i="1"/>
  <c r="T400" i="1"/>
  <c r="T120" i="1"/>
  <c r="T888" i="1"/>
  <c r="T889" i="1"/>
  <c r="T809" i="1"/>
  <c r="T727" i="1"/>
  <c r="T361" i="1"/>
  <c r="T436" i="1"/>
  <c r="T149" i="1"/>
  <c r="T184" i="1"/>
  <c r="T102" i="1"/>
  <c r="T486" i="1"/>
  <c r="T682" i="1"/>
  <c r="T110" i="1"/>
  <c r="T279" i="1"/>
  <c r="T563" i="1"/>
  <c r="T686" i="1"/>
  <c r="T890" i="1"/>
  <c r="T701" i="1"/>
  <c r="T152" i="1"/>
  <c r="T250" i="1"/>
  <c r="T296" i="1"/>
  <c r="T741" i="1"/>
  <c r="T2" i="1"/>
  <c r="T737" i="1"/>
  <c r="T575" i="1"/>
  <c r="T658" i="1"/>
  <c r="T320" i="1"/>
  <c r="T153" i="1"/>
  <c r="T557" i="1"/>
  <c r="T371" i="1"/>
  <c r="T891" i="1"/>
  <c r="T240" i="1"/>
  <c r="T892" i="1"/>
  <c r="T511" i="1"/>
  <c r="T710" i="1"/>
  <c r="T136" i="1"/>
  <c r="T631" i="1"/>
  <c r="T40" i="1"/>
  <c r="T893" i="1"/>
  <c r="T894" i="1"/>
  <c r="T268" i="1"/>
  <c r="T37" i="1"/>
  <c r="T540" i="1"/>
  <c r="T200" i="1"/>
  <c r="T570" i="1"/>
  <c r="T175" i="1"/>
  <c r="T630" i="1"/>
  <c r="T316" i="1"/>
  <c r="T264" i="1"/>
  <c r="T531" i="1"/>
  <c r="T186" i="1"/>
  <c r="T334" i="1"/>
  <c r="T622" i="1"/>
  <c r="T179" i="1"/>
  <c r="T644" i="1"/>
  <c r="T262" i="1"/>
  <c r="T895" i="1"/>
  <c r="T140" i="1"/>
  <c r="T670" i="1"/>
  <c r="T344" i="1"/>
  <c r="T83" i="1"/>
  <c r="T793" i="1"/>
  <c r="T504" i="1"/>
  <c r="T409" i="1"/>
  <c r="T762" i="1"/>
  <c r="T564" i="1"/>
  <c r="T377" i="1"/>
  <c r="T492" i="1"/>
  <c r="T747" i="1"/>
  <c r="T650" i="1"/>
  <c r="T88" i="1"/>
  <c r="T411" i="1"/>
  <c r="T208" i="1"/>
  <c r="T623" i="1"/>
  <c r="T706" i="1"/>
  <c r="T7" i="1"/>
  <c r="T896" i="1"/>
  <c r="T560" i="1"/>
  <c r="T328" i="1"/>
  <c r="T897" i="1"/>
  <c r="T487" i="1"/>
  <c r="T235" i="1"/>
  <c r="T410" i="1"/>
  <c r="T439" i="1"/>
  <c r="T545" i="1"/>
  <c r="T581" i="1"/>
  <c r="T717" i="1"/>
  <c r="T388" i="1"/>
  <c r="T796" i="1"/>
  <c r="T898" i="1"/>
  <c r="T676" i="1"/>
  <c r="T525" i="1"/>
  <c r="T608" i="1"/>
  <c r="T191" i="1"/>
  <c r="T356" i="1"/>
  <c r="T899" i="1"/>
  <c r="T417" i="1"/>
  <c r="T776" i="1"/>
  <c r="T526" i="1"/>
  <c r="T900" i="1"/>
  <c r="T767" i="1"/>
  <c r="T488" i="1"/>
  <c r="T116" i="1"/>
  <c r="T683" i="1"/>
  <c r="T454" i="1"/>
  <c r="T76" i="1"/>
  <c r="T137" i="1"/>
  <c r="T600" i="1"/>
  <c r="T610" i="1"/>
  <c r="T579" i="1"/>
  <c r="T228" i="1"/>
  <c r="T112" i="1"/>
  <c r="T117" i="1"/>
  <c r="T596" i="1"/>
  <c r="T901" i="1"/>
  <c r="T258" i="1"/>
  <c r="T204" i="1"/>
  <c r="T192" i="1"/>
  <c r="T43" i="1"/>
  <c r="T902" i="1"/>
  <c r="T38" i="1"/>
  <c r="T532" i="1"/>
  <c r="T549" i="1"/>
  <c r="T634" i="1"/>
  <c r="T749" i="1"/>
  <c r="T489" i="1"/>
  <c r="T903" i="1"/>
  <c r="T384" i="1"/>
  <c r="T572" i="1"/>
  <c r="T617" i="1"/>
  <c r="T627" i="1"/>
  <c r="T904" i="1"/>
  <c r="T11" i="1"/>
  <c r="T473" i="1"/>
  <c r="T677" i="1"/>
  <c r="T275" i="1"/>
  <c r="T905" i="1"/>
  <c r="T740" i="1"/>
  <c r="T25" i="1"/>
  <c r="T742" i="1"/>
  <c r="T90" i="1"/>
  <c r="T397" i="1"/>
  <c r="T477" i="1"/>
  <c r="T586" i="1"/>
  <c r="T451" i="1"/>
  <c r="T8" i="1"/>
  <c r="T585" i="1"/>
  <c r="T205" i="1"/>
  <c r="T707" i="1"/>
  <c r="T536" i="1"/>
  <c r="T167" i="1"/>
  <c r="T342" i="1"/>
  <c r="T810" i="1"/>
  <c r="T198" i="1"/>
  <c r="T74" i="1"/>
  <c r="T372" i="1"/>
  <c r="T906" i="1"/>
  <c r="T907" i="1"/>
  <c r="T188" i="1"/>
  <c r="T611" i="1"/>
  <c r="T402" i="1"/>
  <c r="T700" i="1"/>
  <c r="T807" i="1"/>
  <c r="T759" i="1"/>
  <c r="T787" i="1"/>
  <c r="T755" i="1"/>
  <c r="T414" i="1"/>
  <c r="T908" i="1"/>
  <c r="T68" i="1"/>
  <c r="T94" i="1"/>
  <c r="T21" i="1"/>
  <c r="T805" i="1"/>
  <c r="T252" i="1"/>
  <c r="R300" i="1"/>
  <c r="R270" i="1"/>
  <c r="R389" i="1"/>
  <c r="R744" i="1"/>
  <c r="R176" i="1"/>
  <c r="R597" i="1"/>
  <c r="R513" i="1"/>
  <c r="R161" i="1"/>
  <c r="R752" i="1"/>
  <c r="R598" i="1"/>
  <c r="R254" i="1"/>
  <c r="R419" i="1"/>
  <c r="R797" i="1"/>
  <c r="R425" i="1"/>
  <c r="R310" i="1"/>
  <c r="R269" i="1"/>
  <c r="R229" i="1"/>
  <c r="R675" i="1"/>
  <c r="R259" i="1"/>
  <c r="R455" i="1"/>
  <c r="R462" i="1"/>
  <c r="R452" i="1"/>
  <c r="R745" i="1"/>
  <c r="R85" i="1"/>
  <c r="R345" i="1"/>
  <c r="R386" i="1"/>
  <c r="R778" i="1"/>
  <c r="R346" i="1"/>
  <c r="R720" i="1"/>
  <c r="R50" i="1"/>
  <c r="R638" i="1"/>
  <c r="R385" i="1"/>
  <c r="R255" i="1"/>
  <c r="R471" i="1"/>
  <c r="R180" i="1"/>
  <c r="R362" i="1"/>
  <c r="R696" i="1"/>
  <c r="R210" i="1"/>
  <c r="R378" i="1"/>
  <c r="R343" i="1"/>
  <c r="R398" i="1"/>
  <c r="R795" i="1"/>
  <c r="R271" i="1"/>
  <c r="R217" i="1"/>
  <c r="R15" i="1"/>
  <c r="R246" i="1"/>
  <c r="R280" i="1"/>
  <c r="R468" i="1"/>
  <c r="R125" i="1"/>
  <c r="R803" i="1"/>
  <c r="R143" i="1"/>
  <c r="R363" i="1"/>
  <c r="R553" i="1"/>
  <c r="R615" i="1"/>
  <c r="R660" i="1"/>
  <c r="R437" i="1"/>
  <c r="R48" i="1"/>
  <c r="R301" i="1"/>
  <c r="R251" i="1"/>
  <c r="R241" i="1"/>
  <c r="R139" i="1"/>
  <c r="R367" i="1"/>
  <c r="R27" i="1"/>
  <c r="R422" i="1"/>
  <c r="R142" i="1"/>
  <c r="R743" i="1"/>
  <c r="R478" i="1"/>
  <c r="R347" i="1"/>
  <c r="R130" i="1"/>
  <c r="R730" i="1"/>
  <c r="R580" i="1"/>
  <c r="R56" i="1"/>
  <c r="R552" i="1"/>
  <c r="R518" i="1"/>
  <c r="R731" i="1"/>
  <c r="R368" i="1"/>
  <c r="R708" i="1"/>
  <c r="R678" i="1"/>
  <c r="R774" i="1"/>
  <c r="R273" i="1"/>
  <c r="R542" i="1"/>
  <c r="R267" i="1"/>
  <c r="R364" i="1"/>
  <c r="R330" i="1"/>
  <c r="R261" i="1"/>
  <c r="R230" i="1"/>
  <c r="R265" i="1"/>
  <c r="R106" i="1"/>
  <c r="R305" i="1"/>
  <c r="R605" i="1"/>
  <c r="R523" i="1"/>
  <c r="R459" i="1"/>
  <c r="R231" i="1"/>
  <c r="R201" i="1"/>
  <c r="R751" i="1"/>
  <c r="R193" i="1"/>
  <c r="R711" i="1"/>
  <c r="R28" i="1"/>
  <c r="R445" i="1"/>
  <c r="R763" i="1"/>
  <c r="R218" i="1"/>
  <c r="R671" i="1"/>
  <c r="R483" i="1"/>
  <c r="R472" i="1"/>
  <c r="R223" i="1"/>
  <c r="R67" i="1"/>
  <c r="R365" i="1"/>
  <c r="R283" i="1"/>
  <c r="R735" i="1"/>
  <c r="R355" i="1"/>
  <c r="R651" i="1"/>
  <c r="R60" i="1"/>
  <c r="R324" i="1"/>
  <c r="R426" i="1"/>
  <c r="R62" i="1"/>
  <c r="R339" i="1"/>
  <c r="R203" i="1"/>
  <c r="R274" i="1"/>
  <c r="R732" i="1"/>
  <c r="R392" i="1"/>
  <c r="R4" i="1"/>
  <c r="R253" i="1"/>
  <c r="R680" i="1"/>
  <c r="R772" i="1"/>
  <c r="R702" i="1"/>
  <c r="R412" i="1"/>
  <c r="R247" i="1"/>
  <c r="R31" i="1"/>
  <c r="R779" i="1"/>
  <c r="R369" i="1"/>
  <c r="R26" i="1"/>
  <c r="R673" i="1"/>
  <c r="R738" i="1"/>
  <c r="R493" i="1"/>
  <c r="R748" i="1"/>
  <c r="R17" i="1"/>
  <c r="R479" i="1"/>
  <c r="R185" i="1"/>
  <c r="R105" i="1"/>
  <c r="R55" i="1"/>
  <c r="R107" i="1"/>
  <c r="R199" i="1"/>
  <c r="R571" i="1"/>
  <c r="R698" i="1"/>
  <c r="R423" i="1"/>
  <c r="R494" i="1"/>
  <c r="R35" i="1"/>
  <c r="R206" i="1"/>
  <c r="R770" i="1"/>
  <c r="R61" i="1"/>
  <c r="R464" i="1"/>
  <c r="R550" i="1"/>
  <c r="R359" i="1"/>
  <c r="R312" i="1"/>
  <c r="R470" i="1"/>
  <c r="R791" i="1"/>
  <c r="R692" i="1"/>
  <c r="R91" i="1"/>
  <c r="R768" i="1"/>
  <c r="R760" i="1"/>
  <c r="R813" i="1"/>
  <c r="R506" i="1"/>
  <c r="R728" i="1"/>
  <c r="R814" i="1"/>
  <c r="R764" i="1"/>
  <c r="R753" i="1"/>
  <c r="R514" i="1"/>
  <c r="R703" i="1"/>
  <c r="R150" i="1"/>
  <c r="R777" i="1"/>
  <c r="R32" i="1"/>
  <c r="R543" i="1"/>
  <c r="R329" i="1"/>
  <c r="R96" i="1"/>
  <c r="R294" i="1"/>
  <c r="R761" i="1"/>
  <c r="R354" i="1"/>
  <c r="R645" i="1"/>
  <c r="R118" i="1"/>
  <c r="R248" i="1"/>
  <c r="R589" i="1"/>
  <c r="R601" i="1"/>
  <c r="R591" i="1"/>
  <c r="R582" i="1"/>
  <c r="R357" i="1"/>
  <c r="R408" i="1"/>
  <c r="R220" i="1"/>
  <c r="R465" i="1"/>
  <c r="R688" i="1"/>
  <c r="R20" i="1"/>
  <c r="R554" i="1"/>
  <c r="R194" i="1"/>
  <c r="R399" i="1"/>
  <c r="R652" i="1"/>
  <c r="R695" i="1"/>
  <c r="R551" i="1"/>
  <c r="R113" i="1"/>
  <c r="R684" i="1"/>
  <c r="R583" i="1"/>
  <c r="R815" i="1"/>
  <c r="R239" i="1"/>
  <c r="R816" i="1"/>
  <c r="R817" i="1"/>
  <c r="R818" i="1"/>
  <c r="R819" i="1"/>
  <c r="R820" i="1"/>
  <c r="R166" i="1"/>
  <c r="R99" i="1"/>
  <c r="R82" i="1"/>
  <c r="R786" i="1"/>
  <c r="R555" i="1"/>
  <c r="R516" i="1"/>
  <c r="R212" i="1"/>
  <c r="R92" i="1"/>
  <c r="R446" i="1"/>
  <c r="R821" i="1"/>
  <c r="R505" i="1"/>
  <c r="R758" i="1"/>
  <c r="R302" i="1"/>
  <c r="R237" i="1"/>
  <c r="R144" i="1"/>
  <c r="R655" i="1"/>
  <c r="R178" i="1"/>
  <c r="R151" i="1"/>
  <c r="R618" i="1"/>
  <c r="R351" i="1"/>
  <c r="R51" i="1"/>
  <c r="R57" i="1"/>
  <c r="R822" i="1"/>
  <c r="R295" i="1"/>
  <c r="R394" i="1"/>
  <c r="R323" i="1"/>
  <c r="R418" i="1"/>
  <c r="R628" i="1"/>
  <c r="R490" i="1"/>
  <c r="R823" i="1"/>
  <c r="R824" i="1"/>
  <c r="R154" i="1"/>
  <c r="R825" i="1"/>
  <c r="R44" i="1"/>
  <c r="R440" i="1"/>
  <c r="R71" i="1"/>
  <c r="R561" i="1"/>
  <c r="R648" i="1"/>
  <c r="R314" i="1"/>
  <c r="R432" i="1"/>
  <c r="R481" i="1"/>
  <c r="R370" i="1"/>
  <c r="R712" i="1"/>
  <c r="R430" i="1"/>
  <c r="R827" i="1"/>
  <c r="R771" i="1"/>
  <c r="R828" i="1"/>
  <c r="R607" i="1"/>
  <c r="R704" i="1"/>
  <c r="R168" i="1"/>
  <c r="R381" i="1"/>
  <c r="R590" i="1"/>
  <c r="R612" i="1"/>
  <c r="R829" i="1"/>
  <c r="R784" i="1"/>
  <c r="R395" i="1"/>
  <c r="R420" i="1"/>
  <c r="R89" i="1"/>
  <c r="R830" i="1"/>
  <c r="R126" i="1"/>
  <c r="R63" i="1"/>
  <c r="R619" i="1"/>
  <c r="R530" i="1"/>
  <c r="R303" i="1"/>
  <c r="R114" i="1"/>
  <c r="R694" i="1"/>
  <c r="R331" i="1"/>
  <c r="R832" i="1"/>
  <c r="R281" i="1"/>
  <c r="R723" i="1"/>
  <c r="R80" i="1"/>
  <c r="R158" i="1"/>
  <c r="R224" i="1"/>
  <c r="R639" i="1"/>
  <c r="R733" i="1"/>
  <c r="R155" i="1"/>
  <c r="R520" i="1"/>
  <c r="R234" i="1"/>
  <c r="R679" i="1"/>
  <c r="R649" i="1"/>
  <c r="R604" i="1"/>
  <c r="R366" i="1"/>
  <c r="R460" i="1"/>
  <c r="R373" i="1"/>
  <c r="R138" i="1"/>
  <c r="R613" i="1"/>
  <c r="R620" i="1"/>
  <c r="R221" i="1"/>
  <c r="R189" i="1"/>
  <c r="R148" i="1"/>
  <c r="R507" i="1"/>
  <c r="R672" i="1"/>
  <c r="R637" i="1"/>
  <c r="R833" i="1"/>
  <c r="R236" i="1"/>
  <c r="R146" i="1"/>
  <c r="R834" i="1"/>
  <c r="R616" i="1"/>
  <c r="R785" i="1"/>
  <c r="R233" i="1"/>
  <c r="R65" i="1"/>
  <c r="R746" i="1"/>
  <c r="R145" i="1"/>
  <c r="R288" i="1"/>
  <c r="R134" i="1"/>
  <c r="R835" i="1"/>
  <c r="R379" i="1"/>
  <c r="R77" i="1"/>
  <c r="R699" i="1"/>
  <c r="R836" i="1"/>
  <c r="R689" i="1"/>
  <c r="R257" i="1"/>
  <c r="R614" i="1"/>
  <c r="R594" i="1"/>
  <c r="R837" i="1"/>
  <c r="R401" i="1"/>
  <c r="R609" i="1"/>
  <c r="R315" i="1"/>
  <c r="R804" i="1"/>
  <c r="R100" i="1"/>
  <c r="R282" i="1"/>
  <c r="R407" i="1"/>
  <c r="R508" i="1"/>
  <c r="R18" i="1"/>
  <c r="R756" i="1"/>
  <c r="R693" i="1"/>
  <c r="R535" i="1"/>
  <c r="R93" i="1"/>
  <c r="R317" i="1"/>
  <c r="R690" i="1"/>
  <c r="R396" i="1"/>
  <c r="R45" i="1"/>
  <c r="R775" i="1"/>
  <c r="R9" i="1"/>
  <c r="R603" i="1"/>
  <c r="R724" i="1"/>
  <c r="R510" i="1"/>
  <c r="R427" i="1"/>
  <c r="R163" i="1"/>
  <c r="R653" i="1"/>
  <c r="R456" i="1"/>
  <c r="R757" i="1"/>
  <c r="R289" i="1"/>
  <c r="R211" i="1"/>
  <c r="R556" i="1"/>
  <c r="R290" i="1"/>
  <c r="R664" i="1"/>
  <c r="R839" i="1"/>
  <c r="R207" i="1"/>
  <c r="R450" i="1"/>
  <c r="R97" i="1"/>
  <c r="R663" i="1"/>
  <c r="R461" i="1"/>
  <c r="R840" i="1"/>
  <c r="R22" i="1"/>
  <c r="R725" i="1"/>
  <c r="R806" i="1"/>
  <c r="R519" i="1"/>
  <c r="R431" i="1"/>
  <c r="R429" i="1"/>
  <c r="R826" i="1"/>
  <c r="R602" i="1"/>
  <c r="R841" i="1"/>
  <c r="R127" i="1"/>
  <c r="R766" i="1"/>
  <c r="R524" i="1"/>
  <c r="R656" i="1"/>
  <c r="R98" i="1"/>
  <c r="R646" i="1"/>
  <c r="R808" i="1"/>
  <c r="R715" i="1"/>
  <c r="R165" i="1"/>
  <c r="R123" i="1"/>
  <c r="R374" i="1"/>
  <c r="R501" i="1"/>
  <c r="R842" i="1"/>
  <c r="R291" i="1"/>
  <c r="R121" i="1"/>
  <c r="R196" i="1"/>
  <c r="R577" i="1"/>
  <c r="R632" i="1"/>
  <c r="R249" i="1"/>
  <c r="R831" i="1"/>
  <c r="R625" i="1"/>
  <c r="R533" i="1"/>
  <c r="R103" i="1"/>
  <c r="R843" i="1"/>
  <c r="R33" i="1"/>
  <c r="R844" i="1"/>
  <c r="R515" i="1"/>
  <c r="R164" i="1"/>
  <c r="R441" i="1"/>
  <c r="R498" i="1"/>
  <c r="R135" i="1"/>
  <c r="R736" i="1"/>
  <c r="R23" i="1"/>
  <c r="R721" i="1"/>
  <c r="R297" i="1"/>
  <c r="R845" i="1"/>
  <c r="R442" i="1"/>
  <c r="R846" i="1"/>
  <c r="R313" i="1"/>
  <c r="R773" i="1"/>
  <c r="R544" i="1"/>
  <c r="R847" i="1"/>
  <c r="R534" i="1"/>
  <c r="R413" i="1"/>
  <c r="R848" i="1"/>
  <c r="R326" i="1"/>
  <c r="R227" i="1"/>
  <c r="R541" i="1"/>
  <c r="R521" i="1"/>
  <c r="R299" i="1"/>
  <c r="R52" i="1"/>
  <c r="R849" i="1"/>
  <c r="R850" i="1"/>
  <c r="R801" i="1"/>
  <c r="R573" i="1"/>
  <c r="R209" i="1"/>
  <c r="R64" i="1"/>
  <c r="R592" i="1"/>
  <c r="R659" i="1"/>
  <c r="R39" i="1"/>
  <c r="R335" i="1"/>
  <c r="R447" i="1"/>
  <c r="R122" i="1"/>
  <c r="R719" i="1"/>
  <c r="R306" i="1"/>
  <c r="R765" i="1"/>
  <c r="R716" i="1"/>
  <c r="R851" i="1"/>
  <c r="R197" i="1"/>
  <c r="R811" i="1"/>
  <c r="R108" i="1"/>
  <c r="R159" i="1"/>
  <c r="R527" i="1"/>
  <c r="R547" i="1"/>
  <c r="R245" i="1"/>
  <c r="R69" i="1"/>
  <c r="R124" i="1"/>
  <c r="R53" i="1"/>
  <c r="R852" i="1"/>
  <c r="R853" i="1"/>
  <c r="R854" i="1"/>
  <c r="R491" i="1"/>
  <c r="R537" i="1"/>
  <c r="R34" i="1"/>
  <c r="R3" i="1"/>
  <c r="R287" i="1"/>
  <c r="R444" i="1"/>
  <c r="R16" i="1"/>
  <c r="R260" i="1"/>
  <c r="R58" i="1"/>
  <c r="R84" i="1"/>
  <c r="R380" i="1"/>
  <c r="R190" i="1"/>
  <c r="R434" i="1"/>
  <c r="R238" i="1"/>
  <c r="R855" i="1"/>
  <c r="R75" i="1"/>
  <c r="R438" i="1"/>
  <c r="R624" i="1"/>
  <c r="R856" i="1"/>
  <c r="R424" i="1"/>
  <c r="R428" i="1"/>
  <c r="R458" i="1"/>
  <c r="R642" i="1"/>
  <c r="R635" i="1"/>
  <c r="R352" i="1"/>
  <c r="R49" i="1"/>
  <c r="R319" i="1"/>
  <c r="R587" i="1"/>
  <c r="R657" i="1"/>
  <c r="R499" i="1"/>
  <c r="R382" i="1"/>
  <c r="R307" i="1"/>
  <c r="R662" i="1"/>
  <c r="R298" i="1"/>
  <c r="R754" i="1"/>
  <c r="R421" i="1"/>
  <c r="R857" i="1"/>
  <c r="R276" i="1"/>
  <c r="R469" i="1"/>
  <c r="R327" i="1"/>
  <c r="R497" i="1"/>
  <c r="R375" i="1"/>
  <c r="R415" i="1"/>
  <c r="R578" i="1"/>
  <c r="R115" i="1"/>
  <c r="R595" i="1"/>
  <c r="R858" i="1"/>
  <c r="R859" i="1"/>
  <c r="R480" i="1"/>
  <c r="R654" i="1"/>
  <c r="R383" i="1"/>
  <c r="R802" i="1"/>
  <c r="R860" i="1"/>
  <c r="R606" i="1"/>
  <c r="R588" i="1"/>
  <c r="R661" i="1"/>
  <c r="R243" i="1"/>
  <c r="R548" i="1"/>
  <c r="R861" i="1"/>
  <c r="R119" i="1"/>
  <c r="R393" i="1"/>
  <c r="R862" i="1"/>
  <c r="R681" i="1"/>
  <c r="R782" i="1"/>
  <c r="R340" i="1"/>
  <c r="R46" i="1"/>
  <c r="R863" i="1"/>
  <c r="R263" i="1"/>
  <c r="R788" i="1"/>
  <c r="R293" i="1"/>
  <c r="R864" i="1"/>
  <c r="R172" i="1"/>
  <c r="R568" i="1"/>
  <c r="R24" i="1"/>
  <c r="R325" i="1"/>
  <c r="R565" i="1"/>
  <c r="R78" i="1"/>
  <c r="R665" i="1"/>
  <c r="R865" i="1"/>
  <c r="R242" i="1"/>
  <c r="R466" i="1"/>
  <c r="R866" i="1"/>
  <c r="R722" i="1"/>
  <c r="R169" i="1"/>
  <c r="R181" i="1"/>
  <c r="R838" i="1"/>
  <c r="R266" i="1"/>
  <c r="R79" i="1"/>
  <c r="R463" i="1"/>
  <c r="R867" i="1"/>
  <c r="R482" i="1"/>
  <c r="R222" i="1"/>
  <c r="R157" i="1"/>
  <c r="R750" i="1"/>
  <c r="R781" i="1"/>
  <c r="R13" i="1"/>
  <c r="R674" i="1"/>
  <c r="R160" i="1"/>
  <c r="R195" i="1"/>
  <c r="R348" i="1"/>
  <c r="R709" i="1"/>
  <c r="R277" i="1"/>
  <c r="R47" i="1"/>
  <c r="R19" i="1"/>
  <c r="R713" i="1"/>
  <c r="R729" i="1"/>
  <c r="R871" i="1"/>
  <c r="R36" i="1"/>
  <c r="R868" i="1"/>
  <c r="R70" i="1"/>
  <c r="R538" i="1"/>
  <c r="R869" i="1"/>
  <c r="R72" i="1"/>
  <c r="R213" i="1"/>
  <c r="R529" i="1"/>
  <c r="R714" i="1"/>
  <c r="R353" i="1"/>
  <c r="R81" i="1"/>
  <c r="R129" i="1"/>
  <c r="R643" i="1"/>
  <c r="R574" i="1"/>
  <c r="R691" i="1"/>
  <c r="R539" i="1"/>
  <c r="R403" i="1"/>
  <c r="R182" i="1"/>
  <c r="R73" i="1"/>
  <c r="R87" i="1"/>
  <c r="R870" i="1"/>
  <c r="R322" i="1"/>
  <c r="R800" i="1"/>
  <c r="R132" i="1"/>
  <c r="R666" i="1"/>
  <c r="R495" i="1"/>
  <c r="R286" i="1"/>
  <c r="R528" i="1"/>
  <c r="R29" i="1"/>
  <c r="R360" i="1"/>
  <c r="R522" i="1"/>
  <c r="R484" i="1"/>
  <c r="R669" i="1"/>
  <c r="R512" i="1"/>
  <c r="R503" i="1"/>
  <c r="R214" i="1"/>
  <c r="R443" i="1"/>
  <c r="R173" i="1"/>
  <c r="R667" i="1"/>
  <c r="R337" i="1"/>
  <c r="R59" i="1"/>
  <c r="R336" i="1"/>
  <c r="R284" i="1"/>
  <c r="R872" i="1"/>
  <c r="R256" i="1"/>
  <c r="R873" i="1"/>
  <c r="R285" i="1"/>
  <c r="R390" i="1"/>
  <c r="R467" i="1"/>
  <c r="R272" i="1"/>
  <c r="R874" i="1"/>
  <c r="R875" i="1"/>
  <c r="R621" i="1"/>
  <c r="R876" i="1"/>
  <c r="R789" i="1"/>
  <c r="R794" i="1"/>
  <c r="R131" i="1"/>
  <c r="R133" i="1"/>
  <c r="R909" i="1"/>
  <c r="R877" i="1"/>
  <c r="R799" i="1"/>
  <c r="R174" i="1"/>
  <c r="R332" i="1"/>
  <c r="R177" i="1"/>
  <c r="R30" i="1"/>
  <c r="R878" i="1"/>
  <c r="R449" i="1"/>
  <c r="R566" i="1"/>
  <c r="R879" i="1"/>
  <c r="R41" i="1"/>
  <c r="R569" i="1"/>
  <c r="R5" i="1"/>
  <c r="R880" i="1"/>
  <c r="R433" i="1"/>
  <c r="R141" i="1"/>
  <c r="R718" i="1"/>
  <c r="R881" i="1"/>
  <c r="R705" i="1"/>
  <c r="R882" i="1"/>
  <c r="R559" i="1"/>
  <c r="R812" i="1"/>
  <c r="R883" i="1"/>
  <c r="R156" i="1"/>
  <c r="R668" i="1"/>
  <c r="R457" i="1"/>
  <c r="R884" i="1"/>
  <c r="R170" i="1"/>
  <c r="R12" i="1"/>
  <c r="R42" i="1"/>
  <c r="R405" i="1"/>
  <c r="R448" i="1"/>
  <c r="R215" i="1"/>
  <c r="R599" i="1"/>
  <c r="R885" i="1"/>
  <c r="R109" i="1"/>
  <c r="R474" i="1"/>
  <c r="R104" i="1"/>
  <c r="R304" i="1"/>
  <c r="R500" i="1"/>
  <c r="R171" i="1"/>
  <c r="R629" i="1"/>
  <c r="R910" i="1"/>
  <c r="R219" i="1"/>
  <c r="R387" i="1"/>
  <c r="R726" i="1"/>
  <c r="R183" i="1"/>
  <c r="R128" i="1"/>
  <c r="R485" i="1"/>
  <c r="R685" i="1"/>
  <c r="R687" i="1"/>
  <c r="R783" i="1"/>
  <c r="R111" i="1"/>
  <c r="R792" i="1"/>
  <c r="R517" i="1"/>
  <c r="R338" i="1"/>
  <c r="R376" i="1"/>
  <c r="R416" i="1"/>
  <c r="R790" i="1"/>
  <c r="R558" i="1"/>
  <c r="R911" i="1"/>
  <c r="R232" i="1"/>
  <c r="R769" i="1"/>
  <c r="R435" i="1"/>
  <c r="R318" i="1"/>
  <c r="R202" i="1"/>
  <c r="R321" i="1"/>
  <c r="R147" i="1"/>
  <c r="R475" i="1"/>
  <c r="R358" i="1"/>
  <c r="R496" i="1"/>
  <c r="R311" i="1"/>
  <c r="R225" i="1"/>
  <c r="R647" i="1"/>
  <c r="R886" i="1"/>
  <c r="R453" i="1"/>
  <c r="R406" i="1"/>
  <c r="R476" i="1"/>
  <c r="R576" i="1"/>
  <c r="R626" i="1"/>
  <c r="R546" i="1"/>
  <c r="R734" i="1"/>
  <c r="R739" i="1"/>
  <c r="R798" i="1"/>
  <c r="R309" i="1"/>
  <c r="R912" i="1"/>
  <c r="R244" i="1"/>
  <c r="R640" i="1"/>
  <c r="R341" i="1"/>
  <c r="R636" i="1"/>
  <c r="R333" i="1"/>
  <c r="R593" i="1"/>
  <c r="R14" i="1"/>
  <c r="R350" i="1"/>
  <c r="R6" i="1"/>
  <c r="R913" i="1"/>
  <c r="R887" i="1"/>
  <c r="R101" i="1"/>
  <c r="R391" i="1"/>
  <c r="R216" i="1"/>
  <c r="R292" i="1"/>
  <c r="R278" i="1"/>
  <c r="R404" i="1"/>
  <c r="R54" i="1"/>
  <c r="R509" i="1"/>
  <c r="R400" i="1"/>
  <c r="R120" i="1"/>
  <c r="R888" i="1"/>
  <c r="R889" i="1"/>
  <c r="R809" i="1"/>
  <c r="R727" i="1"/>
  <c r="R361" i="1"/>
  <c r="R436" i="1"/>
  <c r="R149" i="1"/>
  <c r="R184" i="1"/>
  <c r="R102" i="1"/>
  <c r="R486" i="1"/>
  <c r="R110" i="1"/>
  <c r="R279" i="1"/>
  <c r="R563" i="1"/>
  <c r="R686" i="1"/>
  <c r="R890" i="1"/>
  <c r="R701" i="1"/>
  <c r="R152" i="1"/>
  <c r="R250" i="1"/>
  <c r="R296" i="1"/>
  <c r="R741" i="1"/>
  <c r="R2" i="1"/>
  <c r="R737" i="1"/>
  <c r="R575" i="1"/>
  <c r="R658" i="1"/>
  <c r="R320" i="1"/>
  <c r="R153" i="1"/>
  <c r="R557" i="1"/>
  <c r="R371" i="1"/>
  <c r="R891" i="1"/>
  <c r="R240" i="1"/>
  <c r="R892" i="1"/>
  <c r="R511" i="1"/>
  <c r="R710" i="1"/>
  <c r="R136" i="1"/>
  <c r="R631" i="1"/>
  <c r="R40" i="1"/>
  <c r="R893" i="1"/>
  <c r="R894" i="1"/>
  <c r="R268" i="1"/>
  <c r="R37" i="1"/>
  <c r="R540" i="1"/>
  <c r="R200" i="1"/>
  <c r="R570" i="1"/>
  <c r="R175" i="1"/>
  <c r="R630" i="1"/>
  <c r="R316" i="1"/>
  <c r="R264" i="1"/>
  <c r="R186" i="1"/>
  <c r="R334" i="1"/>
  <c r="R622" i="1"/>
  <c r="R179" i="1"/>
  <c r="R644" i="1"/>
  <c r="R262" i="1"/>
  <c r="R895" i="1"/>
  <c r="R140" i="1"/>
  <c r="R670" i="1"/>
  <c r="R344" i="1"/>
  <c r="R83" i="1"/>
  <c r="R793" i="1"/>
  <c r="R504" i="1"/>
  <c r="R762" i="1"/>
  <c r="R564" i="1"/>
  <c r="R377" i="1"/>
  <c r="R492" i="1"/>
  <c r="R747" i="1"/>
  <c r="R88" i="1"/>
  <c r="R411" i="1"/>
  <c r="R208" i="1"/>
  <c r="R623" i="1"/>
  <c r="R706" i="1"/>
  <c r="R7" i="1"/>
  <c r="R896" i="1"/>
  <c r="R560" i="1"/>
  <c r="R328" i="1"/>
  <c r="R897" i="1"/>
  <c r="R487" i="1"/>
  <c r="R235" i="1"/>
  <c r="R410" i="1"/>
  <c r="R439" i="1"/>
  <c r="R545" i="1"/>
  <c r="R581" i="1"/>
  <c r="R717" i="1"/>
  <c r="R388" i="1"/>
  <c r="R796" i="1"/>
  <c r="R898" i="1"/>
  <c r="R608" i="1"/>
  <c r="R191" i="1"/>
  <c r="R356" i="1"/>
  <c r="R899" i="1"/>
  <c r="R417" i="1"/>
  <c r="R776" i="1"/>
  <c r="R526" i="1"/>
  <c r="R900" i="1"/>
  <c r="R767" i="1"/>
  <c r="R488" i="1"/>
  <c r="R116" i="1"/>
  <c r="R683" i="1"/>
  <c r="R454" i="1"/>
  <c r="R76" i="1"/>
  <c r="R137" i="1"/>
  <c r="R600" i="1"/>
  <c r="R610" i="1"/>
  <c r="R579" i="1"/>
  <c r="R228" i="1"/>
  <c r="R112" i="1"/>
  <c r="R117" i="1"/>
  <c r="R596" i="1"/>
  <c r="R901" i="1"/>
  <c r="R258" i="1"/>
  <c r="R204" i="1"/>
  <c r="R192" i="1"/>
  <c r="R43" i="1"/>
  <c r="R902" i="1"/>
  <c r="R38" i="1"/>
  <c r="R532" i="1"/>
  <c r="R549" i="1"/>
  <c r="R634" i="1"/>
  <c r="R749" i="1"/>
  <c r="R489" i="1"/>
  <c r="R903" i="1"/>
  <c r="R384" i="1"/>
  <c r="R572" i="1"/>
  <c r="R627" i="1"/>
  <c r="R904" i="1"/>
  <c r="R11" i="1"/>
  <c r="R473" i="1"/>
  <c r="R677" i="1"/>
  <c r="R275" i="1"/>
  <c r="R905" i="1"/>
  <c r="R740" i="1"/>
  <c r="R25" i="1"/>
  <c r="R742" i="1"/>
  <c r="R397" i="1"/>
  <c r="R477" i="1"/>
  <c r="R586" i="1"/>
  <c r="R451" i="1"/>
  <c r="R8" i="1"/>
  <c r="R585" i="1"/>
  <c r="R205" i="1"/>
  <c r="R707" i="1"/>
  <c r="R536" i="1"/>
  <c r="R167" i="1"/>
  <c r="R342" i="1"/>
  <c r="R810" i="1"/>
  <c r="R198" i="1"/>
  <c r="R74" i="1"/>
  <c r="R372" i="1"/>
  <c r="R906" i="1"/>
  <c r="R907" i="1"/>
  <c r="R188" i="1"/>
  <c r="R611" i="1"/>
  <c r="R402" i="1"/>
  <c r="R700" i="1"/>
  <c r="R807" i="1"/>
  <c r="R759" i="1"/>
  <c r="R787" i="1"/>
  <c r="R755" i="1"/>
  <c r="R414" i="1"/>
  <c r="R908" i="1"/>
  <c r="R68" i="1"/>
  <c r="R94" i="1"/>
  <c r="R21" i="1"/>
  <c r="R805" i="1"/>
  <c r="K755" i="1" l="1"/>
  <c r="F755" i="1"/>
  <c r="E755" i="1"/>
  <c r="F8" i="1"/>
  <c r="E8" i="1"/>
  <c r="F11" i="1"/>
  <c r="E11" i="1"/>
  <c r="K117" i="1"/>
  <c r="F117" i="1"/>
  <c r="E117" i="1"/>
  <c r="F767" i="1"/>
  <c r="E767" i="1"/>
  <c r="F235" i="1"/>
  <c r="E235" i="1"/>
  <c r="F492" i="1"/>
  <c r="E492" i="1"/>
  <c r="F644" i="1"/>
  <c r="E644" i="1"/>
  <c r="F540" i="1"/>
  <c r="E540" i="1"/>
  <c r="F320" i="1"/>
  <c r="E320" i="1"/>
  <c r="K102" i="1"/>
  <c r="F102" i="1"/>
  <c r="E102" i="1"/>
  <c r="D278" i="1"/>
  <c r="F278" i="1"/>
  <c r="E278" i="1"/>
  <c r="F546" i="1"/>
  <c r="E546" i="1"/>
  <c r="K147" i="1"/>
  <c r="E147" i="1"/>
  <c r="F147" i="1"/>
  <c r="F783" i="1"/>
  <c r="E783" i="1"/>
  <c r="K500" i="1"/>
  <c r="F500" i="1"/>
  <c r="E500" i="1"/>
  <c r="K812" i="1"/>
  <c r="E812" i="1"/>
  <c r="F812" i="1"/>
  <c r="F177" i="1"/>
  <c r="E177" i="1"/>
  <c r="D336" i="1"/>
  <c r="F336" i="1"/>
  <c r="E336" i="1"/>
  <c r="F522" i="1"/>
  <c r="E522" i="1"/>
  <c r="F643" i="1"/>
  <c r="E643" i="1"/>
  <c r="F871" i="1"/>
  <c r="E871" i="1"/>
  <c r="F482" i="1"/>
  <c r="E482" i="1"/>
  <c r="F78" i="1"/>
  <c r="E78" i="1"/>
  <c r="F681" i="1"/>
  <c r="E681" i="1"/>
  <c r="J276" i="1"/>
  <c r="AU276" i="1" s="1"/>
  <c r="F276" i="1"/>
  <c r="E276" i="1"/>
  <c r="F657" i="1"/>
  <c r="E657" i="1"/>
  <c r="J428" i="1"/>
  <c r="AU428" i="1" s="1"/>
  <c r="F428" i="1"/>
  <c r="E428" i="1"/>
  <c r="F3" i="1"/>
  <c r="E3" i="1"/>
  <c r="D765" i="1"/>
  <c r="F765" i="1"/>
  <c r="E765" i="1"/>
  <c r="F592" i="1"/>
  <c r="E592" i="1"/>
  <c r="F313" i="1"/>
  <c r="E313" i="1"/>
  <c r="F103" i="1"/>
  <c r="E103" i="1"/>
  <c r="F127" i="1"/>
  <c r="E127" i="1"/>
  <c r="D450" i="1"/>
  <c r="F450" i="1"/>
  <c r="E450" i="1"/>
  <c r="D775" i="1"/>
  <c r="F775" i="1"/>
  <c r="E775" i="1"/>
  <c r="F756" i="1"/>
  <c r="E756" i="1"/>
  <c r="F379" i="1"/>
  <c r="E379" i="1"/>
  <c r="K507" i="1"/>
  <c r="F507" i="1"/>
  <c r="E507" i="1"/>
  <c r="J679" i="1"/>
  <c r="AU679" i="1" s="1"/>
  <c r="F679" i="1"/>
  <c r="E679" i="1"/>
  <c r="F395" i="1"/>
  <c r="E395" i="1"/>
  <c r="F771" i="1"/>
  <c r="E771" i="1"/>
  <c r="E51" i="1"/>
  <c r="F51" i="1"/>
  <c r="F446" i="1"/>
  <c r="E446" i="1"/>
  <c r="F399" i="1"/>
  <c r="E399" i="1"/>
  <c r="K357" i="1"/>
  <c r="F357" i="1"/>
  <c r="E357" i="1"/>
  <c r="F32" i="1"/>
  <c r="E32" i="1"/>
  <c r="F61" i="1"/>
  <c r="E61" i="1"/>
  <c r="F493" i="1"/>
  <c r="E493" i="1"/>
  <c r="F339" i="1"/>
  <c r="E339" i="1"/>
  <c r="F483" i="1"/>
  <c r="E483" i="1"/>
  <c r="F330" i="1"/>
  <c r="E330" i="1"/>
  <c r="E422" i="1"/>
  <c r="F422" i="1"/>
  <c r="F143" i="1"/>
  <c r="E143" i="1"/>
  <c r="D471" i="1"/>
  <c r="F471" i="1"/>
  <c r="E471" i="1"/>
  <c r="F462" i="1"/>
  <c r="E462" i="1"/>
  <c r="F389" i="1"/>
  <c r="E389" i="1"/>
  <c r="K898" i="1"/>
  <c r="F898" i="1"/>
  <c r="E898" i="1"/>
  <c r="K886" i="1"/>
  <c r="F886" i="1"/>
  <c r="E886" i="1"/>
  <c r="D870" i="1"/>
  <c r="F870" i="1"/>
  <c r="E870" i="1"/>
  <c r="K858" i="1"/>
  <c r="F858" i="1"/>
  <c r="E858" i="1"/>
  <c r="D846" i="1"/>
  <c r="F846" i="1"/>
  <c r="E846" i="1"/>
  <c r="K835" i="1"/>
  <c r="F835" i="1"/>
  <c r="E835" i="1"/>
  <c r="D829" i="1"/>
  <c r="F829" i="1"/>
  <c r="E829" i="1"/>
  <c r="K817" i="1"/>
  <c r="F817" i="1"/>
  <c r="E817" i="1"/>
  <c r="F908" i="1"/>
  <c r="E908" i="1"/>
  <c r="F807" i="1"/>
  <c r="E807" i="1"/>
  <c r="E372" i="1"/>
  <c r="F372" i="1"/>
  <c r="F342" i="1"/>
  <c r="E342" i="1"/>
  <c r="E205" i="1"/>
  <c r="F205" i="1"/>
  <c r="F586" i="1"/>
  <c r="E586" i="1"/>
  <c r="E742" i="1"/>
  <c r="F742" i="1"/>
  <c r="F677" i="1"/>
  <c r="E677" i="1"/>
  <c r="F617" i="1"/>
  <c r="E617" i="1"/>
  <c r="F749" i="1"/>
  <c r="E749" i="1"/>
  <c r="F38" i="1"/>
  <c r="E38" i="1"/>
  <c r="F258" i="1"/>
  <c r="E258" i="1"/>
  <c r="F228" i="1"/>
  <c r="E228" i="1"/>
  <c r="F137" i="1"/>
  <c r="E137" i="1"/>
  <c r="F116" i="1"/>
  <c r="E116" i="1"/>
  <c r="F776" i="1"/>
  <c r="E776" i="1"/>
  <c r="F608" i="1"/>
  <c r="E608" i="1"/>
  <c r="F388" i="1"/>
  <c r="E388" i="1"/>
  <c r="F439" i="1"/>
  <c r="E439" i="1"/>
  <c r="F328" i="1"/>
  <c r="E328" i="1"/>
  <c r="F623" i="1"/>
  <c r="E623" i="1"/>
  <c r="E650" i="1"/>
  <c r="F650" i="1"/>
  <c r="E564" i="1"/>
  <c r="F564" i="1"/>
  <c r="E793" i="1"/>
  <c r="F793" i="1"/>
  <c r="F140" i="1"/>
  <c r="E140" i="1"/>
  <c r="D622" i="1"/>
  <c r="F622" i="1"/>
  <c r="E622" i="1"/>
  <c r="F264" i="1"/>
  <c r="E264" i="1"/>
  <c r="F570" i="1"/>
  <c r="E570" i="1"/>
  <c r="F268" i="1"/>
  <c r="E268" i="1"/>
  <c r="F710" i="1"/>
  <c r="E710" i="1"/>
  <c r="F557" i="1"/>
  <c r="E557" i="1"/>
  <c r="F575" i="1"/>
  <c r="E575" i="1"/>
  <c r="F296" i="1"/>
  <c r="E296" i="1"/>
  <c r="F686" i="1"/>
  <c r="E686" i="1"/>
  <c r="E682" i="1"/>
  <c r="F682" i="1"/>
  <c r="F149" i="1"/>
  <c r="E149" i="1"/>
  <c r="K809" i="1"/>
  <c r="F809" i="1"/>
  <c r="E809" i="1"/>
  <c r="F54" i="1"/>
  <c r="E54" i="1"/>
  <c r="F216" i="1"/>
  <c r="E216" i="1"/>
  <c r="F6" i="1"/>
  <c r="E6" i="1"/>
  <c r="F333" i="1"/>
  <c r="E333" i="1"/>
  <c r="D244" i="1"/>
  <c r="F244" i="1"/>
  <c r="E244" i="1"/>
  <c r="F739" i="1"/>
  <c r="E739" i="1"/>
  <c r="F576" i="1"/>
  <c r="E576" i="1"/>
  <c r="F647" i="1"/>
  <c r="E647" i="1"/>
  <c r="F358" i="1"/>
  <c r="E358" i="1"/>
  <c r="K202" i="1"/>
  <c r="F202" i="1"/>
  <c r="E202" i="1"/>
  <c r="F232" i="1"/>
  <c r="E232" i="1"/>
  <c r="F416" i="1"/>
  <c r="E416" i="1"/>
  <c r="E792" i="1"/>
  <c r="F792" i="1"/>
  <c r="F685" i="1"/>
  <c r="E685" i="1"/>
  <c r="E726" i="1"/>
  <c r="F726" i="1"/>
  <c r="F629" i="1"/>
  <c r="E629" i="1"/>
  <c r="F104" i="1"/>
  <c r="E104" i="1"/>
  <c r="E215" i="1"/>
  <c r="F215" i="1"/>
  <c r="K12" i="1"/>
  <c r="F12" i="1"/>
  <c r="E12" i="1"/>
  <c r="F668" i="1"/>
  <c r="E668" i="1"/>
  <c r="F705" i="1"/>
  <c r="E705" i="1"/>
  <c r="F5" i="1"/>
  <c r="E5" i="1"/>
  <c r="F449" i="1"/>
  <c r="E449" i="1"/>
  <c r="K174" i="1"/>
  <c r="F174" i="1"/>
  <c r="E174" i="1"/>
  <c r="F131" i="1"/>
  <c r="E131" i="1"/>
  <c r="K272" i="1"/>
  <c r="F272" i="1"/>
  <c r="E272" i="1"/>
  <c r="F256" i="1"/>
  <c r="E256" i="1"/>
  <c r="F337" i="1"/>
  <c r="E337" i="1"/>
  <c r="F443" i="1"/>
  <c r="E443" i="1"/>
  <c r="F669" i="1"/>
  <c r="E669" i="1"/>
  <c r="E29" i="1"/>
  <c r="F29" i="1"/>
  <c r="F132" i="1"/>
  <c r="E132" i="1"/>
  <c r="F73" i="1"/>
  <c r="E73" i="1"/>
  <c r="F691" i="1"/>
  <c r="E691" i="1"/>
  <c r="F81" i="1"/>
  <c r="E81" i="1"/>
  <c r="F213" i="1"/>
  <c r="E213" i="1"/>
  <c r="K70" i="1"/>
  <c r="F70" i="1"/>
  <c r="E70" i="1"/>
  <c r="F713" i="1"/>
  <c r="E713" i="1"/>
  <c r="F709" i="1"/>
  <c r="E709" i="1"/>
  <c r="K674" i="1"/>
  <c r="F674" i="1"/>
  <c r="E674" i="1"/>
  <c r="F157" i="1"/>
  <c r="E157" i="1"/>
  <c r="F463" i="1"/>
  <c r="E463" i="1"/>
  <c r="K181" i="1"/>
  <c r="F181" i="1"/>
  <c r="E181" i="1"/>
  <c r="F242" i="1"/>
  <c r="E242" i="1"/>
  <c r="F325" i="1"/>
  <c r="E325" i="1"/>
  <c r="F293" i="1"/>
  <c r="E293" i="1"/>
  <c r="F340" i="1"/>
  <c r="E340" i="1"/>
  <c r="F119" i="1"/>
  <c r="E119" i="1"/>
  <c r="E588" i="1"/>
  <c r="F588" i="1"/>
  <c r="K654" i="1"/>
  <c r="F654" i="1"/>
  <c r="E654" i="1"/>
  <c r="D578" i="1"/>
  <c r="F578" i="1"/>
  <c r="E578" i="1"/>
  <c r="E327" i="1"/>
  <c r="F327" i="1"/>
  <c r="F754" i="1"/>
  <c r="E754" i="1"/>
  <c r="K382" i="1"/>
  <c r="F382" i="1"/>
  <c r="E382" i="1"/>
  <c r="F319" i="1"/>
  <c r="E319" i="1"/>
  <c r="K642" i="1"/>
  <c r="F642" i="1"/>
  <c r="E642" i="1"/>
  <c r="E624" i="1"/>
  <c r="F624" i="1"/>
  <c r="F238" i="1"/>
  <c r="E238" i="1"/>
  <c r="F84" i="1"/>
  <c r="E84" i="1"/>
  <c r="F444" i="1"/>
  <c r="E444" i="1"/>
  <c r="E537" i="1"/>
  <c r="F537" i="1"/>
  <c r="F124" i="1"/>
  <c r="E124" i="1"/>
  <c r="F527" i="1"/>
  <c r="E527" i="1"/>
  <c r="F197" i="1"/>
  <c r="E197" i="1"/>
  <c r="F719" i="1"/>
  <c r="E719" i="1"/>
  <c r="F39" i="1"/>
  <c r="E39" i="1"/>
  <c r="F209" i="1"/>
  <c r="E209" i="1"/>
  <c r="E299" i="1"/>
  <c r="F299" i="1"/>
  <c r="F227" i="1"/>
  <c r="E227" i="1"/>
  <c r="F544" i="1"/>
  <c r="E544" i="1"/>
  <c r="F297" i="1"/>
  <c r="E297" i="1"/>
  <c r="F135" i="1"/>
  <c r="E135" i="1"/>
  <c r="F515" i="1"/>
  <c r="E515" i="1"/>
  <c r="E625" i="1"/>
  <c r="F625" i="1"/>
  <c r="E196" i="1"/>
  <c r="F196" i="1"/>
  <c r="F374" i="1"/>
  <c r="E374" i="1"/>
  <c r="F808" i="1"/>
  <c r="E808" i="1"/>
  <c r="F524" i="1"/>
  <c r="E524" i="1"/>
  <c r="F826" i="1"/>
  <c r="E826" i="1"/>
  <c r="F806" i="1"/>
  <c r="E806" i="1"/>
  <c r="F663" i="1"/>
  <c r="E663" i="1"/>
  <c r="E664" i="1"/>
  <c r="F664" i="1"/>
  <c r="F289" i="1"/>
  <c r="E289" i="1"/>
  <c r="F163" i="1"/>
  <c r="E163" i="1"/>
  <c r="D603" i="1"/>
  <c r="F603" i="1"/>
  <c r="E603" i="1"/>
  <c r="F396" i="1"/>
  <c r="E396" i="1"/>
  <c r="F535" i="1"/>
  <c r="E535" i="1"/>
  <c r="F508" i="1"/>
  <c r="E508" i="1"/>
  <c r="E315" i="1"/>
  <c r="F315" i="1"/>
  <c r="F594" i="1"/>
  <c r="E594" i="1"/>
  <c r="F699" i="1"/>
  <c r="E699" i="1"/>
  <c r="F288" i="1"/>
  <c r="E288" i="1"/>
  <c r="F233" i="1"/>
  <c r="E233" i="1"/>
  <c r="F637" i="1"/>
  <c r="E637" i="1"/>
  <c r="F189" i="1"/>
  <c r="E189" i="1"/>
  <c r="F138" i="1"/>
  <c r="E138" i="1"/>
  <c r="E604" i="1"/>
  <c r="F604" i="1"/>
  <c r="K520" i="1"/>
  <c r="F520" i="1"/>
  <c r="E520" i="1"/>
  <c r="F224" i="1"/>
  <c r="E224" i="1"/>
  <c r="D281" i="1"/>
  <c r="F281" i="1"/>
  <c r="E281" i="1"/>
  <c r="F530" i="1"/>
  <c r="E530" i="1"/>
  <c r="F126" i="1"/>
  <c r="E126" i="1"/>
  <c r="F612" i="1"/>
  <c r="E612" i="1"/>
  <c r="F704" i="1"/>
  <c r="E704" i="1"/>
  <c r="D712" i="1"/>
  <c r="F712" i="1"/>
  <c r="E712" i="1"/>
  <c r="F314" i="1"/>
  <c r="E314" i="1"/>
  <c r="F44" i="1"/>
  <c r="E44" i="1"/>
  <c r="F628" i="1"/>
  <c r="E628" i="1"/>
  <c r="F295" i="1"/>
  <c r="E295" i="1"/>
  <c r="F618" i="1"/>
  <c r="E618" i="1"/>
  <c r="F144" i="1"/>
  <c r="E144" i="1"/>
  <c r="F758" i="1"/>
  <c r="E758" i="1"/>
  <c r="F212" i="1"/>
  <c r="E212" i="1"/>
  <c r="F82" i="1"/>
  <c r="E82" i="1"/>
  <c r="D583" i="1"/>
  <c r="F583" i="1"/>
  <c r="E583" i="1"/>
  <c r="D695" i="1"/>
  <c r="F695" i="1"/>
  <c r="E695" i="1"/>
  <c r="E554" i="1"/>
  <c r="F554" i="1"/>
  <c r="F220" i="1"/>
  <c r="E220" i="1"/>
  <c r="F591" i="1"/>
  <c r="E591" i="1"/>
  <c r="F162" i="1"/>
  <c r="E162" i="1"/>
  <c r="F761" i="1"/>
  <c r="E761" i="1"/>
  <c r="F187" i="1"/>
  <c r="E187" i="1"/>
  <c r="D150" i="1"/>
  <c r="F150" i="1"/>
  <c r="E150" i="1"/>
  <c r="F764" i="1"/>
  <c r="E764" i="1"/>
  <c r="F91" i="1"/>
  <c r="E91" i="1"/>
  <c r="F312" i="1"/>
  <c r="E312" i="1"/>
  <c r="F206" i="1"/>
  <c r="E206" i="1"/>
  <c r="K494" i="1"/>
  <c r="F494" i="1"/>
  <c r="E494" i="1"/>
  <c r="F199" i="1"/>
  <c r="E199" i="1"/>
  <c r="F17" i="1"/>
  <c r="E17" i="1"/>
  <c r="D26" i="1"/>
  <c r="F26" i="1"/>
  <c r="E26" i="1"/>
  <c r="F412" i="1"/>
  <c r="E412" i="1"/>
  <c r="F274" i="1"/>
  <c r="E274" i="1"/>
  <c r="F502" i="1"/>
  <c r="E502" i="1"/>
  <c r="F10" i="1"/>
  <c r="E10" i="1"/>
  <c r="F67" i="1"/>
  <c r="E67" i="1"/>
  <c r="F763" i="1"/>
  <c r="E763" i="1"/>
  <c r="F193" i="1"/>
  <c r="E193" i="1"/>
  <c r="F459" i="1"/>
  <c r="E459" i="1"/>
  <c r="K230" i="1"/>
  <c r="F230" i="1"/>
  <c r="E230" i="1"/>
  <c r="F267" i="1"/>
  <c r="E267" i="1"/>
  <c r="E708" i="1"/>
  <c r="F708" i="1"/>
  <c r="F56" i="1"/>
  <c r="E56" i="1"/>
  <c r="K478" i="1"/>
  <c r="F478" i="1"/>
  <c r="E478" i="1"/>
  <c r="F367" i="1"/>
  <c r="E367" i="1"/>
  <c r="F48" i="1"/>
  <c r="E48" i="1"/>
  <c r="D553" i="1"/>
  <c r="F553" i="1"/>
  <c r="E553" i="1"/>
  <c r="F125" i="1"/>
  <c r="E125" i="1"/>
  <c r="F15" i="1"/>
  <c r="E15" i="1"/>
  <c r="E343" i="1"/>
  <c r="F343" i="1"/>
  <c r="F362" i="1"/>
  <c r="E362" i="1"/>
  <c r="F638" i="1"/>
  <c r="E638" i="1"/>
  <c r="E778" i="1"/>
  <c r="F778" i="1"/>
  <c r="F745" i="1"/>
  <c r="E745" i="1"/>
  <c r="F229" i="1"/>
  <c r="E229" i="1"/>
  <c r="F797" i="1"/>
  <c r="E797" i="1"/>
  <c r="F752" i="1"/>
  <c r="E752" i="1"/>
  <c r="F176" i="1"/>
  <c r="E176" i="1"/>
  <c r="K805" i="1"/>
  <c r="F805" i="1"/>
  <c r="E805" i="1"/>
  <c r="K700" i="1"/>
  <c r="E700" i="1"/>
  <c r="F700" i="1"/>
  <c r="K904" i="1"/>
  <c r="F904" i="1"/>
  <c r="E904" i="1"/>
  <c r="K900" i="1"/>
  <c r="F900" i="1"/>
  <c r="E900" i="1"/>
  <c r="K896" i="1"/>
  <c r="E896" i="1"/>
  <c r="F896" i="1"/>
  <c r="K892" i="1"/>
  <c r="F892" i="1"/>
  <c r="E892" i="1"/>
  <c r="K888" i="1"/>
  <c r="F888" i="1"/>
  <c r="E888" i="1"/>
  <c r="K884" i="1"/>
  <c r="F884" i="1"/>
  <c r="E884" i="1"/>
  <c r="F880" i="1"/>
  <c r="E880" i="1"/>
  <c r="F876" i="1"/>
  <c r="E876" i="1"/>
  <c r="D872" i="1"/>
  <c r="F872" i="1"/>
  <c r="E872" i="1"/>
  <c r="F868" i="1"/>
  <c r="E868" i="1"/>
  <c r="K864" i="1"/>
  <c r="F864" i="1"/>
  <c r="E864" i="1"/>
  <c r="K860" i="1"/>
  <c r="F860" i="1"/>
  <c r="E860" i="1"/>
  <c r="F856" i="1"/>
  <c r="E856" i="1"/>
  <c r="D852" i="1"/>
  <c r="F852" i="1"/>
  <c r="E852" i="1"/>
  <c r="F848" i="1"/>
  <c r="E848" i="1"/>
  <c r="F844" i="1"/>
  <c r="E844" i="1"/>
  <c r="F841" i="1"/>
  <c r="E841" i="1"/>
  <c r="F837" i="1"/>
  <c r="E837" i="1"/>
  <c r="K834" i="1"/>
  <c r="F834" i="1"/>
  <c r="E834" i="1"/>
  <c r="K830" i="1"/>
  <c r="F830" i="1"/>
  <c r="E830" i="1"/>
  <c r="F827" i="1"/>
  <c r="E827" i="1"/>
  <c r="F823" i="1"/>
  <c r="E823" i="1"/>
  <c r="F819" i="1"/>
  <c r="E819" i="1"/>
  <c r="D815" i="1"/>
  <c r="F815" i="1"/>
  <c r="E815" i="1"/>
  <c r="D611" i="1"/>
  <c r="F611" i="1"/>
  <c r="E611" i="1"/>
  <c r="F198" i="1"/>
  <c r="E198" i="1"/>
  <c r="D397" i="1"/>
  <c r="F397" i="1"/>
  <c r="E397" i="1"/>
  <c r="F384" i="1"/>
  <c r="E384" i="1"/>
  <c r="F549" i="1"/>
  <c r="E549" i="1"/>
  <c r="K610" i="1"/>
  <c r="F610" i="1"/>
  <c r="E610" i="1"/>
  <c r="D356" i="1"/>
  <c r="F356" i="1"/>
  <c r="E356" i="1"/>
  <c r="F676" i="1"/>
  <c r="E676" i="1"/>
  <c r="F7" i="1"/>
  <c r="E7" i="1"/>
  <c r="F409" i="1"/>
  <c r="E409" i="1"/>
  <c r="F344" i="1"/>
  <c r="E344" i="1"/>
  <c r="F630" i="1"/>
  <c r="E630" i="1"/>
  <c r="F240" i="1"/>
  <c r="E240" i="1"/>
  <c r="F152" i="1"/>
  <c r="E152" i="1"/>
  <c r="E279" i="1"/>
  <c r="F279" i="1"/>
  <c r="F400" i="1"/>
  <c r="E400" i="1"/>
  <c r="K14" i="1"/>
  <c r="F14" i="1"/>
  <c r="E14" i="1"/>
  <c r="F341" i="1"/>
  <c r="E341" i="1"/>
  <c r="K406" i="1"/>
  <c r="F406" i="1"/>
  <c r="E406" i="1"/>
  <c r="F435" i="1"/>
  <c r="E435" i="1"/>
  <c r="F558" i="1"/>
  <c r="E558" i="1"/>
  <c r="F128" i="1"/>
  <c r="E128" i="1"/>
  <c r="F109" i="1"/>
  <c r="E109" i="1"/>
  <c r="E405" i="1"/>
  <c r="F405" i="1"/>
  <c r="F141" i="1"/>
  <c r="E141" i="1"/>
  <c r="E909" i="1"/>
  <c r="F909" i="1"/>
  <c r="F789" i="1"/>
  <c r="E789" i="1"/>
  <c r="F667" i="1"/>
  <c r="E667" i="1"/>
  <c r="K286" i="1"/>
  <c r="F286" i="1"/>
  <c r="E286" i="1"/>
  <c r="F322" i="1"/>
  <c r="E322" i="1"/>
  <c r="E714" i="1"/>
  <c r="F714" i="1"/>
  <c r="E47" i="1"/>
  <c r="F47" i="1"/>
  <c r="F195" i="1"/>
  <c r="E195" i="1"/>
  <c r="F266" i="1"/>
  <c r="E266" i="1"/>
  <c r="K568" i="1"/>
  <c r="F568" i="1"/>
  <c r="E568" i="1"/>
  <c r="D352" i="1"/>
  <c r="F352" i="1"/>
  <c r="E352" i="1"/>
  <c r="F190" i="1"/>
  <c r="E190" i="1"/>
  <c r="F780" i="1"/>
  <c r="E780" i="1"/>
  <c r="F245" i="1"/>
  <c r="E245" i="1"/>
  <c r="F447" i="1"/>
  <c r="E447" i="1"/>
  <c r="K541" i="1"/>
  <c r="F541" i="1"/>
  <c r="E541" i="1"/>
  <c r="F413" i="1"/>
  <c r="E413" i="1"/>
  <c r="D441" i="1"/>
  <c r="E441" i="1"/>
  <c r="F441" i="1"/>
  <c r="E291" i="1"/>
  <c r="F291" i="1"/>
  <c r="F165" i="1"/>
  <c r="E165" i="1"/>
  <c r="F431" i="1"/>
  <c r="E431" i="1"/>
  <c r="F556" i="1"/>
  <c r="E556" i="1"/>
  <c r="F456" i="1"/>
  <c r="E456" i="1"/>
  <c r="E317" i="1"/>
  <c r="F317" i="1"/>
  <c r="F609" i="1"/>
  <c r="E609" i="1"/>
  <c r="F257" i="1"/>
  <c r="E257" i="1"/>
  <c r="F146" i="1"/>
  <c r="E146" i="1"/>
  <c r="F460" i="1"/>
  <c r="E460" i="1"/>
  <c r="F733" i="1"/>
  <c r="E733" i="1"/>
  <c r="F694" i="1"/>
  <c r="E694" i="1"/>
  <c r="F381" i="1"/>
  <c r="E381" i="1"/>
  <c r="F561" i="1"/>
  <c r="E561" i="1"/>
  <c r="F697" i="1"/>
  <c r="E697" i="1"/>
  <c r="F178" i="1"/>
  <c r="E178" i="1"/>
  <c r="F555" i="1"/>
  <c r="E555" i="1"/>
  <c r="K166" i="1"/>
  <c r="F166" i="1"/>
  <c r="E166" i="1"/>
  <c r="D688" i="1"/>
  <c r="F688" i="1"/>
  <c r="E688" i="1"/>
  <c r="F645" i="1"/>
  <c r="E645" i="1"/>
  <c r="E96" i="1"/>
  <c r="F96" i="1"/>
  <c r="F506" i="1"/>
  <c r="E506" i="1"/>
  <c r="K86" i="1"/>
  <c r="F86" i="1"/>
  <c r="E86" i="1"/>
  <c r="E698" i="1"/>
  <c r="F698" i="1"/>
  <c r="F31" i="1"/>
  <c r="E31" i="1"/>
  <c r="K324" i="1"/>
  <c r="F324" i="1"/>
  <c r="E324" i="1"/>
  <c r="F283" i="1"/>
  <c r="E283" i="1"/>
  <c r="D201" i="1"/>
  <c r="F201" i="1"/>
  <c r="E201" i="1"/>
  <c r="D273" i="1"/>
  <c r="F273" i="1"/>
  <c r="E273" i="1"/>
  <c r="F731" i="1"/>
  <c r="E731" i="1"/>
  <c r="F251" i="1"/>
  <c r="E251" i="1"/>
  <c r="F280" i="1"/>
  <c r="E280" i="1"/>
  <c r="D795" i="1"/>
  <c r="F795" i="1"/>
  <c r="E795" i="1"/>
  <c r="D720" i="1"/>
  <c r="F720" i="1"/>
  <c r="E720" i="1"/>
  <c r="F310" i="1"/>
  <c r="E310" i="1"/>
  <c r="F254" i="1"/>
  <c r="E254" i="1"/>
  <c r="F94" i="1"/>
  <c r="E94" i="1"/>
  <c r="K902" i="1"/>
  <c r="F902" i="1"/>
  <c r="E902" i="1"/>
  <c r="K890" i="1"/>
  <c r="F890" i="1"/>
  <c r="E890" i="1"/>
  <c r="F882" i="1"/>
  <c r="E882" i="1"/>
  <c r="D874" i="1"/>
  <c r="F874" i="1"/>
  <c r="E874" i="1"/>
  <c r="K862" i="1"/>
  <c r="F862" i="1"/>
  <c r="E862" i="1"/>
  <c r="D854" i="1"/>
  <c r="F854" i="1"/>
  <c r="E854" i="1"/>
  <c r="D831" i="1"/>
  <c r="F831" i="1"/>
  <c r="E831" i="1"/>
  <c r="D839" i="1"/>
  <c r="F839" i="1"/>
  <c r="E839" i="1"/>
  <c r="K832" i="1"/>
  <c r="F832" i="1"/>
  <c r="E832" i="1"/>
  <c r="D825" i="1"/>
  <c r="F825" i="1"/>
  <c r="E825" i="1"/>
  <c r="F821" i="1"/>
  <c r="E821" i="1"/>
  <c r="F813" i="1"/>
  <c r="E813" i="1"/>
  <c r="F414" i="1"/>
  <c r="E414" i="1"/>
  <c r="D402" i="1"/>
  <c r="F402" i="1"/>
  <c r="E402" i="1"/>
  <c r="F74" i="1"/>
  <c r="E74" i="1"/>
  <c r="F167" i="1"/>
  <c r="E167" i="1"/>
  <c r="F585" i="1"/>
  <c r="E585" i="1"/>
  <c r="F477" i="1"/>
  <c r="E477" i="1"/>
  <c r="E25" i="1"/>
  <c r="F25" i="1"/>
  <c r="K473" i="1"/>
  <c r="F473" i="1"/>
  <c r="E473" i="1"/>
  <c r="F572" i="1"/>
  <c r="E572" i="1"/>
  <c r="F634" i="1"/>
  <c r="E634" i="1"/>
  <c r="F43" i="1"/>
  <c r="E43" i="1"/>
  <c r="K596" i="1"/>
  <c r="F596" i="1"/>
  <c r="E596" i="1"/>
  <c r="F579" i="1"/>
  <c r="E579" i="1"/>
  <c r="F76" i="1"/>
  <c r="E76" i="1"/>
  <c r="F488" i="1"/>
  <c r="E488" i="1"/>
  <c r="F417" i="1"/>
  <c r="E417" i="1"/>
  <c r="D525" i="1"/>
  <c r="F525" i="1"/>
  <c r="E525" i="1"/>
  <c r="F717" i="1"/>
  <c r="E717" i="1"/>
  <c r="F410" i="1"/>
  <c r="E410" i="1"/>
  <c r="K560" i="1"/>
  <c r="F560" i="1"/>
  <c r="E560" i="1"/>
  <c r="D208" i="1"/>
  <c r="F208" i="1"/>
  <c r="E208" i="1"/>
  <c r="F747" i="1"/>
  <c r="E747" i="1"/>
  <c r="K762" i="1"/>
  <c r="F762" i="1"/>
  <c r="E762" i="1"/>
  <c r="F83" i="1"/>
  <c r="E83" i="1"/>
  <c r="F262" i="1"/>
  <c r="E262" i="1"/>
  <c r="F334" i="1"/>
  <c r="E334" i="1"/>
  <c r="F316" i="1"/>
  <c r="E316" i="1"/>
  <c r="F200" i="1"/>
  <c r="E200" i="1"/>
  <c r="F40" i="1"/>
  <c r="E40" i="1"/>
  <c r="F511" i="1"/>
  <c r="E511" i="1"/>
  <c r="F153" i="1"/>
  <c r="E153" i="1"/>
  <c r="K737" i="1"/>
  <c r="F737" i="1"/>
  <c r="E737" i="1"/>
  <c r="F250" i="1"/>
  <c r="E250" i="1"/>
  <c r="K563" i="1"/>
  <c r="F563" i="1"/>
  <c r="E563" i="1"/>
  <c r="K486" i="1"/>
  <c r="E486" i="1"/>
  <c r="F486" i="1"/>
  <c r="F436" i="1"/>
  <c r="E436" i="1"/>
  <c r="E120" i="1"/>
  <c r="F120" i="1"/>
  <c r="K404" i="1"/>
  <c r="F404" i="1"/>
  <c r="E404" i="1"/>
  <c r="F391" i="1"/>
  <c r="E391" i="1"/>
  <c r="K350" i="1"/>
  <c r="F350" i="1"/>
  <c r="E350" i="1"/>
  <c r="F636" i="1"/>
  <c r="E636" i="1"/>
  <c r="D912" i="1"/>
  <c r="E912" i="1"/>
  <c r="F912" i="1"/>
  <c r="E734" i="1"/>
  <c r="F734" i="1"/>
  <c r="F476" i="1"/>
  <c r="E476" i="1"/>
  <c r="F225" i="1"/>
  <c r="E225" i="1"/>
  <c r="F475" i="1"/>
  <c r="E475" i="1"/>
  <c r="F318" i="1"/>
  <c r="E318" i="1"/>
  <c r="F911" i="1"/>
  <c r="E911" i="1"/>
  <c r="K376" i="1"/>
  <c r="F376" i="1"/>
  <c r="E376" i="1"/>
  <c r="K111" i="1"/>
  <c r="F111" i="1"/>
  <c r="E111" i="1"/>
  <c r="F485" i="1"/>
  <c r="E485" i="1"/>
  <c r="F387" i="1"/>
  <c r="E387" i="1"/>
  <c r="F171" i="1"/>
  <c r="E171" i="1"/>
  <c r="F474" i="1"/>
  <c r="E474" i="1"/>
  <c r="J448" i="1"/>
  <c r="AU448" i="1" s="1"/>
  <c r="F448" i="1"/>
  <c r="E448" i="1"/>
  <c r="F170" i="1"/>
  <c r="E170" i="1"/>
  <c r="F156" i="1"/>
  <c r="E156" i="1"/>
  <c r="E718" i="1"/>
  <c r="F718" i="1"/>
  <c r="D569" i="1"/>
  <c r="F569" i="1"/>
  <c r="E569" i="1"/>
  <c r="F30" i="1"/>
  <c r="E30" i="1"/>
  <c r="F799" i="1"/>
  <c r="E799" i="1"/>
  <c r="F794" i="1"/>
  <c r="E794" i="1"/>
  <c r="F467" i="1"/>
  <c r="E467" i="1"/>
  <c r="F284" i="1"/>
  <c r="E284" i="1"/>
  <c r="F562" i="1"/>
  <c r="E562" i="1"/>
  <c r="F214" i="1"/>
  <c r="E214" i="1"/>
  <c r="F484" i="1"/>
  <c r="E484" i="1"/>
  <c r="F528" i="1"/>
  <c r="E528" i="1"/>
  <c r="F800" i="1"/>
  <c r="E800" i="1"/>
  <c r="F182" i="1"/>
  <c r="E182" i="1"/>
  <c r="F574" i="1"/>
  <c r="E574" i="1"/>
  <c r="F353" i="1"/>
  <c r="E353" i="1"/>
  <c r="F72" i="1"/>
  <c r="E72" i="1"/>
  <c r="E36" i="1"/>
  <c r="F36" i="1"/>
  <c r="F19" i="1"/>
  <c r="E19" i="1"/>
  <c r="F348" i="1"/>
  <c r="E348" i="1"/>
  <c r="F13" i="1"/>
  <c r="E13" i="1"/>
  <c r="D222" i="1"/>
  <c r="F222" i="1"/>
  <c r="E222" i="1"/>
  <c r="K79" i="1"/>
  <c r="E79" i="1"/>
  <c r="F79" i="1"/>
  <c r="K169" i="1"/>
  <c r="F169" i="1"/>
  <c r="E169" i="1"/>
  <c r="F665" i="1"/>
  <c r="E665" i="1"/>
  <c r="F24" i="1"/>
  <c r="E24" i="1"/>
  <c r="D788" i="1"/>
  <c r="F788" i="1"/>
  <c r="E788" i="1"/>
  <c r="F782" i="1"/>
  <c r="E782" i="1"/>
  <c r="F548" i="1"/>
  <c r="E548" i="1"/>
  <c r="F606" i="1"/>
  <c r="E606" i="1"/>
  <c r="F480" i="1"/>
  <c r="E480" i="1"/>
  <c r="F415" i="1"/>
  <c r="E415" i="1"/>
  <c r="F469" i="1"/>
  <c r="E469" i="1"/>
  <c r="F298" i="1"/>
  <c r="E298" i="1"/>
  <c r="F499" i="1"/>
  <c r="E499" i="1"/>
  <c r="K49" i="1"/>
  <c r="F49" i="1"/>
  <c r="E49" i="1"/>
  <c r="F458" i="1"/>
  <c r="E458" i="1"/>
  <c r="F438" i="1"/>
  <c r="E438" i="1"/>
  <c r="F434" i="1"/>
  <c r="E434" i="1"/>
  <c r="F58" i="1"/>
  <c r="E58" i="1"/>
  <c r="F287" i="1"/>
  <c r="E287" i="1"/>
  <c r="F491" i="1"/>
  <c r="E491" i="1"/>
  <c r="F69" i="1"/>
  <c r="E69" i="1"/>
  <c r="K159" i="1"/>
  <c r="F159" i="1"/>
  <c r="E159" i="1"/>
  <c r="F716" i="1"/>
  <c r="E716" i="1"/>
  <c r="F122" i="1"/>
  <c r="E122" i="1"/>
  <c r="D659" i="1"/>
  <c r="F659" i="1"/>
  <c r="E659" i="1"/>
  <c r="F573" i="1"/>
  <c r="E573" i="1"/>
  <c r="F521" i="1"/>
  <c r="E521" i="1"/>
  <c r="F326" i="1"/>
  <c r="E326" i="1"/>
  <c r="D773" i="1"/>
  <c r="F773" i="1"/>
  <c r="E773" i="1"/>
  <c r="D721" i="1"/>
  <c r="F721" i="1"/>
  <c r="E721" i="1"/>
  <c r="F498" i="1"/>
  <c r="E498" i="1"/>
  <c r="F33" i="1"/>
  <c r="E33" i="1"/>
  <c r="F249" i="1"/>
  <c r="E249" i="1"/>
  <c r="F121" i="1"/>
  <c r="E121" i="1"/>
  <c r="K123" i="1"/>
  <c r="F123" i="1"/>
  <c r="E123" i="1"/>
  <c r="F646" i="1"/>
  <c r="E646" i="1"/>
  <c r="E766" i="1"/>
  <c r="F766" i="1"/>
  <c r="D429" i="1"/>
  <c r="F429" i="1"/>
  <c r="E429" i="1"/>
  <c r="F725" i="1"/>
  <c r="E725" i="1"/>
  <c r="F97" i="1"/>
  <c r="E97" i="1"/>
  <c r="F290" i="1"/>
  <c r="E290" i="1"/>
  <c r="E757" i="1"/>
  <c r="F757" i="1"/>
  <c r="F427" i="1"/>
  <c r="E427" i="1"/>
  <c r="E9" i="1"/>
  <c r="F9" i="1"/>
  <c r="F690" i="1"/>
  <c r="E690" i="1"/>
  <c r="F693" i="1"/>
  <c r="E693" i="1"/>
  <c r="F407" i="1"/>
  <c r="E407" i="1"/>
  <c r="F641" i="1"/>
  <c r="E641" i="1"/>
  <c r="E614" i="1"/>
  <c r="F614" i="1"/>
  <c r="F77" i="1"/>
  <c r="E77" i="1"/>
  <c r="F145" i="1"/>
  <c r="E145" i="1"/>
  <c r="F616" i="1"/>
  <c r="E616" i="1"/>
  <c r="F672" i="1"/>
  <c r="E672" i="1"/>
  <c r="F221" i="1"/>
  <c r="E221" i="1"/>
  <c r="F373" i="1"/>
  <c r="E373" i="1"/>
  <c r="F649" i="1"/>
  <c r="E649" i="1"/>
  <c r="F155" i="1"/>
  <c r="E155" i="1"/>
  <c r="F158" i="1"/>
  <c r="E158" i="1"/>
  <c r="F331" i="1"/>
  <c r="E331" i="1"/>
  <c r="F619" i="1"/>
  <c r="E619" i="1"/>
  <c r="F420" i="1"/>
  <c r="E420" i="1"/>
  <c r="K590" i="1"/>
  <c r="F590" i="1"/>
  <c r="E590" i="1"/>
  <c r="F607" i="1"/>
  <c r="E607" i="1"/>
  <c r="D370" i="1"/>
  <c r="F370" i="1"/>
  <c r="E370" i="1"/>
  <c r="F648" i="1"/>
  <c r="E648" i="1"/>
  <c r="D154" i="1"/>
  <c r="F154" i="1"/>
  <c r="E154" i="1"/>
  <c r="F418" i="1"/>
  <c r="E418" i="1"/>
  <c r="F57" i="1"/>
  <c r="E57" i="1"/>
  <c r="F151" i="1"/>
  <c r="E151" i="1"/>
  <c r="K237" i="1"/>
  <c r="F237" i="1"/>
  <c r="E237" i="1"/>
  <c r="F505" i="1"/>
  <c r="E505" i="1"/>
  <c r="F516" i="1"/>
  <c r="E516" i="1"/>
  <c r="F99" i="1"/>
  <c r="E99" i="1"/>
  <c r="D684" i="1"/>
  <c r="F684" i="1"/>
  <c r="E684" i="1"/>
  <c r="F652" i="1"/>
  <c r="E652" i="1"/>
  <c r="D20" i="1"/>
  <c r="F20" i="1"/>
  <c r="E20" i="1"/>
  <c r="F408" i="1"/>
  <c r="E408" i="1"/>
  <c r="F601" i="1"/>
  <c r="E601" i="1"/>
  <c r="F118" i="1"/>
  <c r="E118" i="1"/>
  <c r="F294" i="1"/>
  <c r="E294" i="1"/>
  <c r="F543" i="1"/>
  <c r="E543" i="1"/>
  <c r="F703" i="1"/>
  <c r="E703" i="1"/>
  <c r="D728" i="1"/>
  <c r="F728" i="1"/>
  <c r="E728" i="1"/>
  <c r="K692" i="1"/>
  <c r="F692" i="1"/>
  <c r="E692" i="1"/>
  <c r="F550" i="1"/>
  <c r="E550" i="1"/>
  <c r="F226" i="1"/>
  <c r="E226" i="1"/>
  <c r="F423" i="1"/>
  <c r="E423" i="1"/>
  <c r="F55" i="1"/>
  <c r="E55" i="1"/>
  <c r="D748" i="1"/>
  <c r="F748" i="1"/>
  <c r="E748" i="1"/>
  <c r="F369" i="1"/>
  <c r="E369" i="1"/>
  <c r="K772" i="1"/>
  <c r="F772" i="1"/>
  <c r="E772" i="1"/>
  <c r="F203" i="1"/>
  <c r="E203" i="1"/>
  <c r="K426" i="1"/>
  <c r="F426" i="1"/>
  <c r="E426" i="1"/>
  <c r="F735" i="1"/>
  <c r="E735" i="1"/>
  <c r="F472" i="1"/>
  <c r="E472" i="1"/>
  <c r="F445" i="1"/>
  <c r="E445" i="1"/>
  <c r="F751" i="1"/>
  <c r="E751" i="1"/>
  <c r="F523" i="1"/>
  <c r="E523" i="1"/>
  <c r="E261" i="1"/>
  <c r="F261" i="1"/>
  <c r="F542" i="1"/>
  <c r="E542" i="1"/>
  <c r="F368" i="1"/>
  <c r="E368" i="1"/>
  <c r="K730" i="1"/>
  <c r="F730" i="1"/>
  <c r="E730" i="1"/>
  <c r="F142" i="1"/>
  <c r="E142" i="1"/>
  <c r="D139" i="1"/>
  <c r="F139" i="1"/>
  <c r="E139" i="1"/>
  <c r="F437" i="1"/>
  <c r="E437" i="1"/>
  <c r="F363" i="1"/>
  <c r="E363" i="1"/>
  <c r="F468" i="1"/>
  <c r="E468" i="1"/>
  <c r="F271" i="1"/>
  <c r="E271" i="1"/>
  <c r="E378" i="1"/>
  <c r="F378" i="1"/>
  <c r="K180" i="1"/>
  <c r="F180" i="1"/>
  <c r="E180" i="1"/>
  <c r="F50" i="1"/>
  <c r="E50" i="1"/>
  <c r="F386" i="1"/>
  <c r="E386" i="1"/>
  <c r="F452" i="1"/>
  <c r="E452" i="1"/>
  <c r="F269" i="1"/>
  <c r="E269" i="1"/>
  <c r="F419" i="1"/>
  <c r="E419" i="1"/>
  <c r="F161" i="1"/>
  <c r="E161" i="1"/>
  <c r="F744" i="1"/>
  <c r="E744" i="1"/>
  <c r="F21" i="1"/>
  <c r="E21" i="1"/>
  <c r="F907" i="1"/>
  <c r="E907" i="1"/>
  <c r="F903" i="1"/>
  <c r="E903" i="1"/>
  <c r="F899" i="1"/>
  <c r="E899" i="1"/>
  <c r="D895" i="1"/>
  <c r="F895" i="1"/>
  <c r="E895" i="1"/>
  <c r="E891" i="1"/>
  <c r="F891" i="1"/>
  <c r="F887" i="1"/>
  <c r="E887" i="1"/>
  <c r="F883" i="1"/>
  <c r="E883" i="1"/>
  <c r="F879" i="1"/>
  <c r="E879" i="1"/>
  <c r="F875" i="1"/>
  <c r="E875" i="1"/>
  <c r="F495" i="1"/>
  <c r="E495" i="1"/>
  <c r="F867" i="1"/>
  <c r="E867" i="1"/>
  <c r="D863" i="1"/>
  <c r="F863" i="1"/>
  <c r="E863" i="1"/>
  <c r="F859" i="1"/>
  <c r="E859" i="1"/>
  <c r="E855" i="1"/>
  <c r="F855" i="1"/>
  <c r="D851" i="1"/>
  <c r="F851" i="1"/>
  <c r="E851" i="1"/>
  <c r="F847" i="1"/>
  <c r="E847" i="1"/>
  <c r="F843" i="1"/>
  <c r="E843" i="1"/>
  <c r="F840" i="1"/>
  <c r="E840" i="1"/>
  <c r="F836" i="1"/>
  <c r="E836" i="1"/>
  <c r="D833" i="1"/>
  <c r="E833" i="1"/>
  <c r="F833" i="1"/>
  <c r="F89" i="1"/>
  <c r="E89" i="1"/>
  <c r="F71" i="1"/>
  <c r="E71" i="1"/>
  <c r="F822" i="1"/>
  <c r="E822" i="1"/>
  <c r="F818" i="1"/>
  <c r="E818" i="1"/>
  <c r="F814" i="1"/>
  <c r="E814" i="1"/>
  <c r="D252" i="1"/>
  <c r="E252" i="1"/>
  <c r="F252" i="1"/>
  <c r="F536" i="1"/>
  <c r="E536" i="1"/>
  <c r="F740" i="1"/>
  <c r="E740" i="1"/>
  <c r="F192" i="1"/>
  <c r="E192" i="1"/>
  <c r="E454" i="1"/>
  <c r="F454" i="1"/>
  <c r="F581" i="1"/>
  <c r="E581" i="1"/>
  <c r="F411" i="1"/>
  <c r="E411" i="1"/>
  <c r="K186" i="1"/>
  <c r="F186" i="1"/>
  <c r="E186" i="1"/>
  <c r="F631" i="1"/>
  <c r="E631" i="1"/>
  <c r="D2" i="1"/>
  <c r="F2" i="1"/>
  <c r="E2" i="1"/>
  <c r="K361" i="1"/>
  <c r="F361" i="1"/>
  <c r="E361" i="1"/>
  <c r="F101" i="1"/>
  <c r="E101" i="1"/>
  <c r="D309" i="1"/>
  <c r="F309" i="1"/>
  <c r="E309" i="1"/>
  <c r="J311" i="1"/>
  <c r="AU311" i="1" s="1"/>
  <c r="E311" i="1"/>
  <c r="F311" i="1"/>
  <c r="F338" i="1"/>
  <c r="E338" i="1"/>
  <c r="F219" i="1"/>
  <c r="E219" i="1"/>
  <c r="F457" i="1"/>
  <c r="E457" i="1"/>
  <c r="F41" i="1"/>
  <c r="E41" i="1"/>
  <c r="F390" i="1"/>
  <c r="E390" i="1"/>
  <c r="F503" i="1"/>
  <c r="E503" i="1"/>
  <c r="F403" i="1"/>
  <c r="E403" i="1"/>
  <c r="F66" i="1"/>
  <c r="E66" i="1"/>
  <c r="F781" i="1"/>
  <c r="E781" i="1"/>
  <c r="D722" i="1"/>
  <c r="F722" i="1"/>
  <c r="E722" i="1"/>
  <c r="E263" i="1"/>
  <c r="F263" i="1"/>
  <c r="E243" i="1"/>
  <c r="F243" i="1"/>
  <c r="F802" i="1"/>
  <c r="E802" i="1"/>
  <c r="D595" i="1"/>
  <c r="F595" i="1"/>
  <c r="E595" i="1"/>
  <c r="F375" i="1"/>
  <c r="E375" i="1"/>
  <c r="F662" i="1"/>
  <c r="E662" i="1"/>
  <c r="E75" i="1"/>
  <c r="F75" i="1"/>
  <c r="D260" i="1"/>
  <c r="F260" i="1"/>
  <c r="E260" i="1"/>
  <c r="F108" i="1"/>
  <c r="E108" i="1"/>
  <c r="F801" i="1"/>
  <c r="E801" i="1"/>
  <c r="F23" i="1"/>
  <c r="E23" i="1"/>
  <c r="K632" i="1"/>
  <c r="F632" i="1"/>
  <c r="E632" i="1"/>
  <c r="F98" i="1"/>
  <c r="E98" i="1"/>
  <c r="F22" i="1"/>
  <c r="E22" i="1"/>
  <c r="F510" i="1"/>
  <c r="E510" i="1"/>
  <c r="F282" i="1"/>
  <c r="E282" i="1"/>
  <c r="D746" i="1"/>
  <c r="E746" i="1"/>
  <c r="F746" i="1"/>
  <c r="F620" i="1"/>
  <c r="E620" i="1"/>
  <c r="F80" i="1"/>
  <c r="E80" i="1"/>
  <c r="D95" i="1"/>
  <c r="F95" i="1"/>
  <c r="E95" i="1"/>
  <c r="F481" i="1"/>
  <c r="E481" i="1"/>
  <c r="F323" i="1"/>
  <c r="E323" i="1"/>
  <c r="F567" i="1"/>
  <c r="E567" i="1"/>
  <c r="F113" i="1"/>
  <c r="E113" i="1"/>
  <c r="F589" i="1"/>
  <c r="E589" i="1"/>
  <c r="F514" i="1"/>
  <c r="E514" i="1"/>
  <c r="D791" i="1"/>
  <c r="F791" i="1"/>
  <c r="E791" i="1"/>
  <c r="F185" i="1"/>
  <c r="E185" i="1"/>
  <c r="D680" i="1"/>
  <c r="F680" i="1"/>
  <c r="E680" i="1"/>
  <c r="F28" i="1"/>
  <c r="E28" i="1"/>
  <c r="F305" i="1"/>
  <c r="E305" i="1"/>
  <c r="F130" i="1"/>
  <c r="E130" i="1"/>
  <c r="K660" i="1"/>
  <c r="F660" i="1"/>
  <c r="E660" i="1"/>
  <c r="F210" i="1"/>
  <c r="E210" i="1"/>
  <c r="K345" i="1"/>
  <c r="F345" i="1"/>
  <c r="E345" i="1"/>
  <c r="K513" i="1"/>
  <c r="F513" i="1"/>
  <c r="E513" i="1"/>
  <c r="K906" i="1"/>
  <c r="F906" i="1"/>
  <c r="E906" i="1"/>
  <c r="K894" i="1"/>
  <c r="F894" i="1"/>
  <c r="E894" i="1"/>
  <c r="D878" i="1"/>
  <c r="F878" i="1"/>
  <c r="E878" i="1"/>
  <c r="K866" i="1"/>
  <c r="F866" i="1"/>
  <c r="E866" i="1"/>
  <c r="F850" i="1"/>
  <c r="E850" i="1"/>
  <c r="F68" i="1"/>
  <c r="E68" i="1"/>
  <c r="F759" i="1"/>
  <c r="E759" i="1"/>
  <c r="F188" i="1"/>
  <c r="E188" i="1"/>
  <c r="F810" i="1"/>
  <c r="E810" i="1"/>
  <c r="F707" i="1"/>
  <c r="E707" i="1"/>
  <c r="F451" i="1"/>
  <c r="E451" i="1"/>
  <c r="F90" i="1"/>
  <c r="E90" i="1"/>
  <c r="F275" i="1"/>
  <c r="E275" i="1"/>
  <c r="F627" i="1"/>
  <c r="E627" i="1"/>
  <c r="F489" i="1"/>
  <c r="E489" i="1"/>
  <c r="F532" i="1"/>
  <c r="E532" i="1"/>
  <c r="F204" i="1"/>
  <c r="E204" i="1"/>
  <c r="F112" i="1"/>
  <c r="E112" i="1"/>
  <c r="F600" i="1"/>
  <c r="E600" i="1"/>
  <c r="F683" i="1"/>
  <c r="E683" i="1"/>
  <c r="E526" i="1"/>
  <c r="F526" i="1"/>
  <c r="F191" i="1"/>
  <c r="E191" i="1"/>
  <c r="F796" i="1"/>
  <c r="E796" i="1"/>
  <c r="F545" i="1"/>
  <c r="E545" i="1"/>
  <c r="F487" i="1"/>
  <c r="E487" i="1"/>
  <c r="F706" i="1"/>
  <c r="E706" i="1"/>
  <c r="F88" i="1"/>
  <c r="E88" i="1"/>
  <c r="F377" i="1"/>
  <c r="E377" i="1"/>
  <c r="F504" i="1"/>
  <c r="E504" i="1"/>
  <c r="F670" i="1"/>
  <c r="E670" i="1"/>
  <c r="F179" i="1"/>
  <c r="E179" i="1"/>
  <c r="F531" i="1"/>
  <c r="E531" i="1"/>
  <c r="F175" i="1"/>
  <c r="E175" i="1"/>
  <c r="F37" i="1"/>
  <c r="E37" i="1"/>
  <c r="F136" i="1"/>
  <c r="E136" i="1"/>
  <c r="F371" i="1"/>
  <c r="E371" i="1"/>
  <c r="F658" i="1"/>
  <c r="E658" i="1"/>
  <c r="F741" i="1"/>
  <c r="E741" i="1"/>
  <c r="F701" i="1"/>
  <c r="E701" i="1"/>
  <c r="F110" i="1"/>
  <c r="E110" i="1"/>
  <c r="E184" i="1"/>
  <c r="F184" i="1"/>
  <c r="F727" i="1"/>
  <c r="E727" i="1"/>
  <c r="F509" i="1"/>
  <c r="E509" i="1"/>
  <c r="F292" i="1"/>
  <c r="E292" i="1"/>
  <c r="F913" i="1"/>
  <c r="E913" i="1"/>
  <c r="F593" i="1"/>
  <c r="E593" i="1"/>
  <c r="F640" i="1"/>
  <c r="E640" i="1"/>
  <c r="F798" i="1"/>
  <c r="E798" i="1"/>
  <c r="F626" i="1"/>
  <c r="E626" i="1"/>
  <c r="F453" i="1"/>
  <c r="E453" i="1"/>
  <c r="F496" i="1"/>
  <c r="E496" i="1"/>
  <c r="F321" i="1"/>
  <c r="E321" i="1"/>
  <c r="F769" i="1"/>
  <c r="E769" i="1"/>
  <c r="F790" i="1"/>
  <c r="E790" i="1"/>
  <c r="F517" i="1"/>
  <c r="E517" i="1"/>
  <c r="F687" i="1"/>
  <c r="E687" i="1"/>
  <c r="F183" i="1"/>
  <c r="E183" i="1"/>
  <c r="F910" i="1"/>
  <c r="E910" i="1"/>
  <c r="F304" i="1"/>
  <c r="E304" i="1"/>
  <c r="F599" i="1"/>
  <c r="E599" i="1"/>
  <c r="F42" i="1"/>
  <c r="E42" i="1"/>
  <c r="F633" i="1"/>
  <c r="E633" i="1"/>
  <c r="F559" i="1"/>
  <c r="E559" i="1"/>
  <c r="F433" i="1"/>
  <c r="E433" i="1"/>
  <c r="F566" i="1"/>
  <c r="E566" i="1"/>
  <c r="F332" i="1"/>
  <c r="E332" i="1"/>
  <c r="F133" i="1"/>
  <c r="E133" i="1"/>
  <c r="F621" i="1"/>
  <c r="E621" i="1"/>
  <c r="F285" i="1"/>
  <c r="E285" i="1"/>
  <c r="F59" i="1"/>
  <c r="E59" i="1"/>
  <c r="F173" i="1"/>
  <c r="E173" i="1"/>
  <c r="F512" i="1"/>
  <c r="E512" i="1"/>
  <c r="F360" i="1"/>
  <c r="E360" i="1"/>
  <c r="F666" i="1"/>
  <c r="E666" i="1"/>
  <c r="F87" i="1"/>
  <c r="E87" i="1"/>
  <c r="F539" i="1"/>
  <c r="E539" i="1"/>
  <c r="F129" i="1"/>
  <c r="E129" i="1"/>
  <c r="F529" i="1"/>
  <c r="E529" i="1"/>
  <c r="F538" i="1"/>
  <c r="E538" i="1"/>
  <c r="F729" i="1"/>
  <c r="E729" i="1"/>
  <c r="E277" i="1"/>
  <c r="F277" i="1"/>
  <c r="F160" i="1"/>
  <c r="E160" i="1"/>
  <c r="F750" i="1"/>
  <c r="E750" i="1"/>
  <c r="F349" i="1"/>
  <c r="E349" i="1"/>
  <c r="F838" i="1"/>
  <c r="E838" i="1"/>
  <c r="F466" i="1"/>
  <c r="E466" i="1"/>
  <c r="F565" i="1"/>
  <c r="E565" i="1"/>
  <c r="F172" i="1"/>
  <c r="E172" i="1"/>
  <c r="F46" i="1"/>
  <c r="E46" i="1"/>
  <c r="F393" i="1"/>
  <c r="E393" i="1"/>
  <c r="F661" i="1"/>
  <c r="E661" i="1"/>
  <c r="F383" i="1"/>
  <c r="E383" i="1"/>
  <c r="E115" i="1"/>
  <c r="F115" i="1"/>
  <c r="F497" i="1"/>
  <c r="E497" i="1"/>
  <c r="F421" i="1"/>
  <c r="E421" i="1"/>
  <c r="F307" i="1"/>
  <c r="E307" i="1"/>
  <c r="F587" i="1"/>
  <c r="E587" i="1"/>
  <c r="F635" i="1"/>
  <c r="E635" i="1"/>
  <c r="F424" i="1"/>
  <c r="E424" i="1"/>
  <c r="F308" i="1"/>
  <c r="E308" i="1"/>
  <c r="F380" i="1"/>
  <c r="E380" i="1"/>
  <c r="F16" i="1"/>
  <c r="E16" i="1"/>
  <c r="F34" i="1"/>
  <c r="E34" i="1"/>
  <c r="F53" i="1"/>
  <c r="E53" i="1"/>
  <c r="F547" i="1"/>
  <c r="E547" i="1"/>
  <c r="F811" i="1"/>
  <c r="E811" i="1"/>
  <c r="F306" i="1"/>
  <c r="E306" i="1"/>
  <c r="F335" i="1"/>
  <c r="E335" i="1"/>
  <c r="E64" i="1"/>
  <c r="F64" i="1"/>
  <c r="F52" i="1"/>
  <c r="E52" i="1"/>
  <c r="F584" i="1"/>
  <c r="E584" i="1"/>
  <c r="F534" i="1"/>
  <c r="E534" i="1"/>
  <c r="F442" i="1"/>
  <c r="E442" i="1"/>
  <c r="F736" i="1"/>
  <c r="E736" i="1"/>
  <c r="F164" i="1"/>
  <c r="E164" i="1"/>
  <c r="F533" i="1"/>
  <c r="E533" i="1"/>
  <c r="E577" i="1"/>
  <c r="F577" i="1"/>
  <c r="F501" i="1"/>
  <c r="E501" i="1"/>
  <c r="F715" i="1"/>
  <c r="E715" i="1"/>
  <c r="F656" i="1"/>
  <c r="E656" i="1"/>
  <c r="F602" i="1"/>
  <c r="E602" i="1"/>
  <c r="F519" i="1"/>
  <c r="E519" i="1"/>
  <c r="F461" i="1"/>
  <c r="E461" i="1"/>
  <c r="F207" i="1"/>
  <c r="E207" i="1"/>
  <c r="F211" i="1"/>
  <c r="E211" i="1"/>
  <c r="F653" i="1"/>
  <c r="E653" i="1"/>
  <c r="F724" i="1"/>
  <c r="E724" i="1"/>
  <c r="F45" i="1"/>
  <c r="E45" i="1"/>
  <c r="E93" i="1"/>
  <c r="F93" i="1"/>
  <c r="F18" i="1"/>
  <c r="E18" i="1"/>
  <c r="F100" i="1"/>
  <c r="E100" i="1"/>
  <c r="E401" i="1"/>
  <c r="F401" i="1"/>
  <c r="F689" i="1"/>
  <c r="E689" i="1"/>
  <c r="F134" i="1"/>
  <c r="E134" i="1"/>
  <c r="F65" i="1"/>
  <c r="E65" i="1"/>
  <c r="F236" i="1"/>
  <c r="E236" i="1"/>
  <c r="F148" i="1"/>
  <c r="E148" i="1"/>
  <c r="F613" i="1"/>
  <c r="E613" i="1"/>
  <c r="F366" i="1"/>
  <c r="E366" i="1"/>
  <c r="F234" i="1"/>
  <c r="E234" i="1"/>
  <c r="F639" i="1"/>
  <c r="E639" i="1"/>
  <c r="F723" i="1"/>
  <c r="E723" i="1"/>
  <c r="F303" i="1"/>
  <c r="E303" i="1"/>
  <c r="F63" i="1"/>
  <c r="E63" i="1"/>
  <c r="F784" i="1"/>
  <c r="E784" i="1"/>
  <c r="E168" i="1"/>
  <c r="F168" i="1"/>
  <c r="F430" i="1"/>
  <c r="E430" i="1"/>
  <c r="F432" i="1"/>
  <c r="E432" i="1"/>
  <c r="F440" i="1"/>
  <c r="E440" i="1"/>
  <c r="E490" i="1"/>
  <c r="F490" i="1"/>
  <c r="F394" i="1"/>
  <c r="E394" i="1"/>
  <c r="F351" i="1"/>
  <c r="E351" i="1"/>
  <c r="F655" i="1"/>
  <c r="E655" i="1"/>
  <c r="F302" i="1"/>
  <c r="E302" i="1"/>
  <c r="F92" i="1"/>
  <c r="E92" i="1"/>
  <c r="F786" i="1"/>
  <c r="E786" i="1"/>
  <c r="F239" i="1"/>
  <c r="E239" i="1"/>
  <c r="F551" i="1"/>
  <c r="E551" i="1"/>
  <c r="F194" i="1"/>
  <c r="E194" i="1"/>
  <c r="F465" i="1"/>
  <c r="E465" i="1"/>
  <c r="F582" i="1"/>
  <c r="E582" i="1"/>
  <c r="F248" i="1"/>
  <c r="E248" i="1"/>
  <c r="F354" i="1"/>
  <c r="E354" i="1"/>
  <c r="F329" i="1"/>
  <c r="E329" i="1"/>
  <c r="F777" i="1"/>
  <c r="E777" i="1"/>
  <c r="F753" i="1"/>
  <c r="E753" i="1"/>
  <c r="F760" i="1"/>
  <c r="E760" i="1"/>
  <c r="F470" i="1"/>
  <c r="E470" i="1"/>
  <c r="F770" i="1"/>
  <c r="E770" i="1"/>
  <c r="F35" i="1"/>
  <c r="E35" i="1"/>
  <c r="F571" i="1"/>
  <c r="E571" i="1"/>
  <c r="F479" i="1"/>
  <c r="E479" i="1"/>
  <c r="F738" i="1"/>
  <c r="E738" i="1"/>
  <c r="F247" i="1"/>
  <c r="E247" i="1"/>
  <c r="F253" i="1"/>
  <c r="E253" i="1"/>
  <c r="F62" i="1"/>
  <c r="E62" i="1"/>
  <c r="F60" i="1"/>
  <c r="E60" i="1"/>
  <c r="F365" i="1"/>
  <c r="E365" i="1"/>
  <c r="F671" i="1"/>
  <c r="E671" i="1"/>
  <c r="F711" i="1"/>
  <c r="E711" i="1"/>
  <c r="F231" i="1"/>
  <c r="E231" i="1"/>
  <c r="F265" i="1"/>
  <c r="E265" i="1"/>
  <c r="F364" i="1"/>
  <c r="E364" i="1"/>
  <c r="F774" i="1"/>
  <c r="E774" i="1"/>
  <c r="F552" i="1"/>
  <c r="E552" i="1"/>
  <c r="F347" i="1"/>
  <c r="E347" i="1"/>
  <c r="F27" i="1"/>
  <c r="E27" i="1"/>
  <c r="F301" i="1"/>
  <c r="E301" i="1"/>
  <c r="F615" i="1"/>
  <c r="E615" i="1"/>
  <c r="F803" i="1"/>
  <c r="E803" i="1"/>
  <c r="F246" i="1"/>
  <c r="E246" i="1"/>
  <c r="F398" i="1"/>
  <c r="E398" i="1"/>
  <c r="F696" i="1"/>
  <c r="E696" i="1"/>
  <c r="F385" i="1"/>
  <c r="E385" i="1"/>
  <c r="F346" i="1"/>
  <c r="E346" i="1"/>
  <c r="E85" i="1"/>
  <c r="F85" i="1"/>
  <c r="F455" i="1"/>
  <c r="E455" i="1"/>
  <c r="F425" i="1"/>
  <c r="E425" i="1"/>
  <c r="E598" i="1"/>
  <c r="F598" i="1"/>
  <c r="F597" i="1"/>
  <c r="E597" i="1"/>
  <c r="F270" i="1"/>
  <c r="E270" i="1"/>
  <c r="F787" i="1"/>
  <c r="E787" i="1"/>
  <c r="F905" i="1"/>
  <c r="E905" i="1"/>
  <c r="F901" i="1"/>
  <c r="E901" i="1"/>
  <c r="F897" i="1"/>
  <c r="E897" i="1"/>
  <c r="F893" i="1"/>
  <c r="E893" i="1"/>
  <c r="F889" i="1"/>
  <c r="E889" i="1"/>
  <c r="F885" i="1"/>
  <c r="E885" i="1"/>
  <c r="F881" i="1"/>
  <c r="E881" i="1"/>
  <c r="F877" i="1"/>
  <c r="E877" i="1"/>
  <c r="F873" i="1"/>
  <c r="E873" i="1"/>
  <c r="E869" i="1"/>
  <c r="F869" i="1"/>
  <c r="F865" i="1"/>
  <c r="E865" i="1"/>
  <c r="F861" i="1"/>
  <c r="E861" i="1"/>
  <c r="F857" i="1"/>
  <c r="E857" i="1"/>
  <c r="E853" i="1"/>
  <c r="F853" i="1"/>
  <c r="F849" i="1"/>
  <c r="E849" i="1"/>
  <c r="F845" i="1"/>
  <c r="E845" i="1"/>
  <c r="F842" i="1"/>
  <c r="E842" i="1"/>
  <c r="F804" i="1"/>
  <c r="E804" i="1"/>
  <c r="F785" i="1"/>
  <c r="E785" i="1"/>
  <c r="F114" i="1"/>
  <c r="E114" i="1"/>
  <c r="F828" i="1"/>
  <c r="E828" i="1"/>
  <c r="F824" i="1"/>
  <c r="E824" i="1"/>
  <c r="F820" i="1"/>
  <c r="E820" i="1"/>
  <c r="F816" i="1"/>
  <c r="E816" i="1"/>
  <c r="K94" i="1"/>
  <c r="K747" i="1"/>
  <c r="K794" i="1"/>
  <c r="K548" i="1"/>
  <c r="K716" i="1"/>
  <c r="K725" i="1"/>
  <c r="K757" i="1"/>
  <c r="K693" i="1"/>
  <c r="K616" i="1"/>
  <c r="K294" i="1"/>
  <c r="K369" i="1"/>
  <c r="K575" i="1"/>
  <c r="K6" i="1"/>
  <c r="K739" i="1"/>
  <c r="K685" i="1"/>
  <c r="K668" i="1"/>
  <c r="K705" i="1"/>
  <c r="K256" i="1"/>
  <c r="K337" i="1"/>
  <c r="K691" i="1"/>
  <c r="K713" i="1"/>
  <c r="K709" i="1"/>
  <c r="K463" i="1"/>
  <c r="K196" i="1"/>
  <c r="J288" i="1"/>
  <c r="AU288" i="1" s="1"/>
  <c r="K138" i="1"/>
  <c r="K618" i="1"/>
  <c r="K761" i="1"/>
  <c r="K91" i="1"/>
  <c r="K412" i="1"/>
  <c r="K778" i="1"/>
  <c r="K745" i="1"/>
  <c r="K876" i="1"/>
  <c r="K827" i="1"/>
  <c r="K43" i="1"/>
  <c r="K153" i="1"/>
  <c r="K911" i="1"/>
  <c r="K718" i="1"/>
  <c r="K782" i="1"/>
  <c r="K434" i="1"/>
  <c r="K766" i="1"/>
  <c r="K77" i="1"/>
  <c r="K145" i="1"/>
  <c r="K648" i="1"/>
  <c r="K99" i="1"/>
  <c r="K652" i="1"/>
  <c r="J540" i="1"/>
  <c r="AU540" i="1" s="1"/>
  <c r="K631" i="1"/>
  <c r="K623" i="1"/>
  <c r="K793" i="1"/>
  <c r="K710" i="1"/>
  <c r="K216" i="1"/>
  <c r="K131" i="1"/>
  <c r="K242" i="1"/>
  <c r="K293" i="1"/>
  <c r="K527" i="1"/>
  <c r="K189" i="1"/>
  <c r="K126" i="1"/>
  <c r="K54" i="1"/>
  <c r="K5" i="1"/>
  <c r="K808" i="1"/>
  <c r="K638" i="1"/>
  <c r="K797" i="1"/>
  <c r="K848" i="1"/>
  <c r="K844" i="1"/>
  <c r="K841" i="1"/>
  <c r="K823" i="1"/>
  <c r="K819" i="1"/>
  <c r="K50" i="1"/>
  <c r="K740" i="1"/>
  <c r="K644" i="1"/>
  <c r="K435" i="1"/>
  <c r="K457" i="1"/>
  <c r="K789" i="1"/>
  <c r="K390" i="1"/>
  <c r="K714" i="1"/>
  <c r="K266" i="1"/>
  <c r="K802" i="1"/>
  <c r="K780" i="1"/>
  <c r="K447" i="1"/>
  <c r="K801" i="1"/>
  <c r="K756" i="1"/>
  <c r="K733" i="1"/>
  <c r="K481" i="1"/>
  <c r="K697" i="1"/>
  <c r="J323" i="1"/>
  <c r="AU323" i="1" s="1"/>
  <c r="K555" i="1"/>
  <c r="K493" i="1"/>
  <c r="K330" i="1"/>
  <c r="K210" i="1"/>
  <c r="K882" i="1"/>
  <c r="K813" i="1"/>
  <c r="K553" i="1"/>
  <c r="D700" i="1"/>
  <c r="D876" i="1"/>
  <c r="D844" i="1"/>
  <c r="D780" i="1"/>
  <c r="D911" i="1"/>
  <c r="D541" i="1"/>
  <c r="D324" i="1"/>
  <c r="D266" i="1"/>
  <c r="D210" i="1"/>
  <c r="D50" i="1"/>
  <c r="J775" i="1"/>
  <c r="AU775" i="1" s="1"/>
  <c r="K895" i="1"/>
  <c r="K746" i="1"/>
  <c r="D902" i="1"/>
  <c r="D802" i="1"/>
  <c r="J638" i="1"/>
  <c r="AU638" i="1" s="1"/>
  <c r="K852" i="1"/>
  <c r="K679" i="1"/>
  <c r="D892" i="1"/>
  <c r="D860" i="1"/>
  <c r="D830" i="1"/>
  <c r="D797" i="1"/>
  <c r="D513" i="1"/>
  <c r="D294" i="1"/>
  <c r="D159" i="1"/>
  <c r="K833" i="1"/>
  <c r="K352" i="1"/>
  <c r="D886" i="1"/>
  <c r="D733" i="1"/>
  <c r="D555" i="1"/>
  <c r="D145" i="1"/>
  <c r="D79" i="1"/>
  <c r="K775" i="1"/>
  <c r="K201" i="1"/>
  <c r="J810" i="1"/>
  <c r="AU810" i="1" s="1"/>
  <c r="D810" i="1"/>
  <c r="K810" i="1"/>
  <c r="K275" i="1"/>
  <c r="D275" i="1"/>
  <c r="K204" i="1"/>
  <c r="D204" i="1"/>
  <c r="K526" i="1"/>
  <c r="D526" i="1"/>
  <c r="K706" i="1"/>
  <c r="J706" i="1"/>
  <c r="AU706" i="1" s="1"/>
  <c r="D706" i="1"/>
  <c r="K670" i="1"/>
  <c r="D670" i="1"/>
  <c r="K37" i="1"/>
  <c r="J37" i="1"/>
  <c r="AU37" i="1" s="1"/>
  <c r="D37" i="1"/>
  <c r="K658" i="1"/>
  <c r="D658" i="1"/>
  <c r="K184" i="1"/>
  <c r="J184" i="1"/>
  <c r="AU184" i="1" s="1"/>
  <c r="D184" i="1"/>
  <c r="K913" i="1"/>
  <c r="D913" i="1"/>
  <c r="D453" i="1"/>
  <c r="K453" i="1"/>
  <c r="J790" i="1"/>
  <c r="AU790" i="1" s="1"/>
  <c r="K790" i="1"/>
  <c r="D790" i="1"/>
  <c r="K183" i="1"/>
  <c r="D183" i="1"/>
  <c r="K633" i="1"/>
  <c r="D633" i="1"/>
  <c r="K566" i="1"/>
  <c r="D566" i="1"/>
  <c r="K59" i="1"/>
  <c r="D59" i="1"/>
  <c r="K666" i="1"/>
  <c r="D666" i="1"/>
  <c r="K539" i="1"/>
  <c r="D539" i="1"/>
  <c r="K538" i="1"/>
  <c r="D538" i="1"/>
  <c r="K750" i="1"/>
  <c r="D750" i="1"/>
  <c r="K466" i="1"/>
  <c r="D466" i="1"/>
  <c r="K565" i="1"/>
  <c r="D565" i="1"/>
  <c r="K393" i="1"/>
  <c r="D393" i="1"/>
  <c r="K115" i="1"/>
  <c r="D115" i="1"/>
  <c r="K497" i="1"/>
  <c r="D497" i="1"/>
  <c r="K635" i="1"/>
  <c r="J635" i="1"/>
  <c r="AU635" i="1" s="1"/>
  <c r="D635" i="1"/>
  <c r="K308" i="1"/>
  <c r="D308" i="1"/>
  <c r="K34" i="1"/>
  <c r="D34" i="1"/>
  <c r="K547" i="1"/>
  <c r="D547" i="1"/>
  <c r="D335" i="1"/>
  <c r="K335" i="1"/>
  <c r="K52" i="1"/>
  <c r="D52" i="1"/>
  <c r="J52" i="1"/>
  <c r="AU52" i="1" s="1"/>
  <c r="K584" i="1"/>
  <c r="D584" i="1"/>
  <c r="K442" i="1"/>
  <c r="D442" i="1"/>
  <c r="K533" i="1"/>
  <c r="D533" i="1"/>
  <c r="K715" i="1"/>
  <c r="J715" i="1"/>
  <c r="AU715" i="1" s="1"/>
  <c r="D715" i="1"/>
  <c r="K519" i="1"/>
  <c r="D519" i="1"/>
  <c r="K211" i="1"/>
  <c r="D211" i="1"/>
  <c r="K724" i="1"/>
  <c r="D724" i="1"/>
  <c r="J724" i="1"/>
  <c r="AU724" i="1" s="1"/>
  <c r="K18" i="1"/>
  <c r="J18" i="1"/>
  <c r="AU18" i="1" s="1"/>
  <c r="D18" i="1"/>
  <c r="K401" i="1"/>
  <c r="D401" i="1"/>
  <c r="K148" i="1"/>
  <c r="D148" i="1"/>
  <c r="K234" i="1"/>
  <c r="D234" i="1"/>
  <c r="K303" i="1"/>
  <c r="D303" i="1"/>
  <c r="K168" i="1"/>
  <c r="D168" i="1"/>
  <c r="J168" i="1"/>
  <c r="AU168" i="1" s="1"/>
  <c r="K440" i="1"/>
  <c r="D440" i="1"/>
  <c r="K302" i="1"/>
  <c r="D302" i="1"/>
  <c r="K239" i="1"/>
  <c r="D239" i="1"/>
  <c r="K582" i="1"/>
  <c r="J582" i="1"/>
  <c r="AU582" i="1" s="1"/>
  <c r="D582" i="1"/>
  <c r="K329" i="1"/>
  <c r="D329" i="1"/>
  <c r="K753" i="1"/>
  <c r="J753" i="1"/>
  <c r="AU753" i="1" s="1"/>
  <c r="D753" i="1"/>
  <c r="K770" i="1"/>
  <c r="J770" i="1"/>
  <c r="AU770" i="1" s="1"/>
  <c r="D770" i="1"/>
  <c r="D479" i="1"/>
  <c r="K479" i="1"/>
  <c r="D738" i="1"/>
  <c r="K738" i="1"/>
  <c r="K253" i="1"/>
  <c r="D253" i="1"/>
  <c r="J253" i="1"/>
  <c r="AU253" i="1" s="1"/>
  <c r="K60" i="1"/>
  <c r="D60" i="1"/>
  <c r="K671" i="1"/>
  <c r="D671" i="1"/>
  <c r="K265" i="1"/>
  <c r="D265" i="1"/>
  <c r="K774" i="1"/>
  <c r="D774" i="1"/>
  <c r="K27" i="1"/>
  <c r="D27" i="1"/>
  <c r="K615" i="1"/>
  <c r="D615" i="1"/>
  <c r="K246" i="1"/>
  <c r="D246" i="1"/>
  <c r="K398" i="1"/>
  <c r="D398" i="1"/>
  <c r="K696" i="1"/>
  <c r="D696" i="1"/>
  <c r="K385" i="1"/>
  <c r="D385" i="1"/>
  <c r="K455" i="1"/>
  <c r="D455" i="1"/>
  <c r="J425" i="1"/>
  <c r="AU425" i="1" s="1"/>
  <c r="D425" i="1"/>
  <c r="K425" i="1"/>
  <c r="D598" i="1"/>
  <c r="K598" i="1"/>
  <c r="J598" i="1"/>
  <c r="AU598" i="1" s="1"/>
  <c r="K597" i="1"/>
  <c r="J597" i="1"/>
  <c r="AU597" i="1" s="1"/>
  <c r="D597" i="1"/>
  <c r="K270" i="1"/>
  <c r="D270" i="1"/>
  <c r="K787" i="1"/>
  <c r="D787" i="1"/>
  <c r="K905" i="1"/>
  <c r="D905" i="1"/>
  <c r="K901" i="1"/>
  <c r="D901" i="1"/>
  <c r="K897" i="1"/>
  <c r="D897" i="1"/>
  <c r="D893" i="1"/>
  <c r="K893" i="1"/>
  <c r="K889" i="1"/>
  <c r="D889" i="1"/>
  <c r="K885" i="1"/>
  <c r="D885" i="1"/>
  <c r="K881" i="1"/>
  <c r="D881" i="1"/>
  <c r="K877" i="1"/>
  <c r="D877" i="1"/>
  <c r="D873" i="1"/>
  <c r="K873" i="1"/>
  <c r="K869" i="1"/>
  <c r="D869" i="1"/>
  <c r="K865" i="1"/>
  <c r="D865" i="1"/>
  <c r="K861" i="1"/>
  <c r="D861" i="1"/>
  <c r="K857" i="1"/>
  <c r="D857" i="1"/>
  <c r="J857" i="1"/>
  <c r="AU857" i="1" s="1"/>
  <c r="J853" i="1"/>
  <c r="AU853" i="1" s="1"/>
  <c r="K853" i="1"/>
  <c r="D853" i="1"/>
  <c r="K849" i="1"/>
  <c r="D849" i="1"/>
  <c r="K845" i="1"/>
  <c r="D845" i="1"/>
  <c r="K842" i="1"/>
  <c r="D842" i="1"/>
  <c r="K804" i="1"/>
  <c r="D804" i="1"/>
  <c r="K785" i="1"/>
  <c r="D785" i="1"/>
  <c r="D114" i="1"/>
  <c r="K114" i="1"/>
  <c r="K828" i="1"/>
  <c r="J828" i="1"/>
  <c r="AU828" i="1" s="1"/>
  <c r="D828" i="1"/>
  <c r="K824" i="1"/>
  <c r="D824" i="1"/>
  <c r="K820" i="1"/>
  <c r="D820" i="1"/>
  <c r="K816" i="1"/>
  <c r="D816" i="1"/>
  <c r="I675" i="1"/>
  <c r="K675" i="1"/>
  <c r="D68" i="1"/>
  <c r="K68" i="1"/>
  <c r="D707" i="1"/>
  <c r="K707" i="1"/>
  <c r="J627" i="1"/>
  <c r="AU627" i="1" s="1"/>
  <c r="K627" i="1"/>
  <c r="D627" i="1"/>
  <c r="K112" i="1"/>
  <c r="D112" i="1"/>
  <c r="K191" i="1"/>
  <c r="D191" i="1"/>
  <c r="K487" i="1"/>
  <c r="D487" i="1"/>
  <c r="D504" i="1"/>
  <c r="K504" i="1"/>
  <c r="K175" i="1"/>
  <c r="D175" i="1"/>
  <c r="K741" i="1"/>
  <c r="J741" i="1"/>
  <c r="AU741" i="1" s="1"/>
  <c r="D741" i="1"/>
  <c r="K727" i="1"/>
  <c r="D727" i="1"/>
  <c r="K593" i="1"/>
  <c r="D593" i="1"/>
  <c r="K626" i="1"/>
  <c r="D626" i="1"/>
  <c r="K769" i="1"/>
  <c r="D769" i="1"/>
  <c r="D910" i="1"/>
  <c r="J910" i="1"/>
  <c r="AU910" i="1" s="1"/>
  <c r="K910" i="1"/>
  <c r="K42" i="1"/>
  <c r="D42" i="1"/>
  <c r="J332" i="1"/>
  <c r="AU332" i="1" s="1"/>
  <c r="K332" i="1"/>
  <c r="D332" i="1"/>
  <c r="K285" i="1"/>
  <c r="J285" i="1"/>
  <c r="AU285" i="1" s="1"/>
  <c r="D285" i="1"/>
  <c r="K360" i="1"/>
  <c r="D360" i="1"/>
  <c r="K129" i="1"/>
  <c r="D129" i="1"/>
  <c r="K729" i="1"/>
  <c r="D729" i="1"/>
  <c r="J729" i="1"/>
  <c r="AU729" i="1" s="1"/>
  <c r="D160" i="1"/>
  <c r="K160" i="1"/>
  <c r="K838" i="1"/>
  <c r="D838" i="1"/>
  <c r="K172" i="1"/>
  <c r="D172" i="1"/>
  <c r="K46" i="1"/>
  <c r="D46" i="1"/>
  <c r="K661" i="1"/>
  <c r="D661" i="1"/>
  <c r="K421" i="1"/>
  <c r="D421" i="1"/>
  <c r="K587" i="1"/>
  <c r="D587" i="1"/>
  <c r="K424" i="1"/>
  <c r="D424" i="1"/>
  <c r="K16" i="1"/>
  <c r="D16" i="1"/>
  <c r="J16" i="1"/>
  <c r="AU16" i="1" s="1"/>
  <c r="K53" i="1"/>
  <c r="D53" i="1"/>
  <c r="K306" i="1"/>
  <c r="D306" i="1"/>
  <c r="J64" i="1"/>
  <c r="AU64" i="1" s="1"/>
  <c r="D64" i="1"/>
  <c r="K64" i="1"/>
  <c r="K534" i="1"/>
  <c r="D534" i="1"/>
  <c r="K736" i="1"/>
  <c r="J736" i="1"/>
  <c r="AU736" i="1" s="1"/>
  <c r="D736" i="1"/>
  <c r="K577" i="1"/>
  <c r="D577" i="1"/>
  <c r="D656" i="1"/>
  <c r="K656" i="1"/>
  <c r="K461" i="1"/>
  <c r="J461" i="1"/>
  <c r="AU461" i="1" s="1"/>
  <c r="D461" i="1"/>
  <c r="K653" i="1"/>
  <c r="D653" i="1"/>
  <c r="K45" i="1"/>
  <c r="D45" i="1"/>
  <c r="K100" i="1"/>
  <c r="D100" i="1"/>
  <c r="J100" i="1"/>
  <c r="AU100" i="1" s="1"/>
  <c r="K689" i="1"/>
  <c r="J689" i="1"/>
  <c r="AU689" i="1" s="1"/>
  <c r="D689" i="1"/>
  <c r="K236" i="1"/>
  <c r="D236" i="1"/>
  <c r="K366" i="1"/>
  <c r="D366" i="1"/>
  <c r="D723" i="1"/>
  <c r="K723" i="1"/>
  <c r="K784" i="1"/>
  <c r="D784" i="1"/>
  <c r="K432" i="1"/>
  <c r="D432" i="1"/>
  <c r="K490" i="1"/>
  <c r="D490" i="1"/>
  <c r="K351" i="1"/>
  <c r="D351" i="1"/>
  <c r="J351" i="1"/>
  <c r="AU351" i="1" s="1"/>
  <c r="K92" i="1"/>
  <c r="D92" i="1"/>
  <c r="D551" i="1"/>
  <c r="K551" i="1"/>
  <c r="K465" i="1"/>
  <c r="D465" i="1"/>
  <c r="J465" i="1"/>
  <c r="AU465" i="1" s="1"/>
  <c r="K248" i="1"/>
  <c r="D248" i="1"/>
  <c r="K777" i="1"/>
  <c r="D777" i="1"/>
  <c r="K470" i="1"/>
  <c r="D470" i="1"/>
  <c r="K35" i="1"/>
  <c r="D35" i="1"/>
  <c r="K571" i="1"/>
  <c r="J571" i="1"/>
  <c r="AU571" i="1" s="1"/>
  <c r="D571" i="1"/>
  <c r="K247" i="1"/>
  <c r="D247" i="1"/>
  <c r="K62" i="1"/>
  <c r="D62" i="1"/>
  <c r="D365" i="1"/>
  <c r="K365" i="1"/>
  <c r="K711" i="1"/>
  <c r="D711" i="1"/>
  <c r="K364" i="1"/>
  <c r="D364" i="1"/>
  <c r="K552" i="1"/>
  <c r="D552" i="1"/>
  <c r="K301" i="1"/>
  <c r="D301" i="1"/>
  <c r="K803" i="1"/>
  <c r="D803" i="1"/>
  <c r="K346" i="1"/>
  <c r="D346" i="1"/>
  <c r="K908" i="1"/>
  <c r="D908" i="1"/>
  <c r="K807" i="1"/>
  <c r="D807" i="1"/>
  <c r="K372" i="1"/>
  <c r="D372" i="1"/>
  <c r="K342" i="1"/>
  <c r="D342" i="1"/>
  <c r="K205" i="1"/>
  <c r="D205" i="1"/>
  <c r="K586" i="1"/>
  <c r="D586" i="1"/>
  <c r="J742" i="1"/>
  <c r="AU742" i="1" s="1"/>
  <c r="D742" i="1"/>
  <c r="K742" i="1"/>
  <c r="K677" i="1"/>
  <c r="D677" i="1"/>
  <c r="K617" i="1"/>
  <c r="D617" i="1"/>
  <c r="K749" i="1"/>
  <c r="D749" i="1"/>
  <c r="K38" i="1"/>
  <c r="D38" i="1"/>
  <c r="K258" i="1"/>
  <c r="D258" i="1"/>
  <c r="K228" i="1"/>
  <c r="D228" i="1"/>
  <c r="K137" i="1"/>
  <c r="D137" i="1"/>
  <c r="K116" i="1"/>
  <c r="D116" i="1"/>
  <c r="J116" i="1"/>
  <c r="AU116" i="1" s="1"/>
  <c r="J776" i="1"/>
  <c r="AU776" i="1" s="1"/>
  <c r="K776" i="1"/>
  <c r="D776" i="1"/>
  <c r="D608" i="1"/>
  <c r="K608" i="1"/>
  <c r="K388" i="1"/>
  <c r="D388" i="1"/>
  <c r="K699" i="1"/>
  <c r="K695" i="1"/>
  <c r="K188" i="1"/>
  <c r="D188" i="1"/>
  <c r="K90" i="1"/>
  <c r="J90" i="1"/>
  <c r="AU90" i="1" s="1"/>
  <c r="D90" i="1"/>
  <c r="K532" i="1"/>
  <c r="D532" i="1"/>
  <c r="K683" i="1"/>
  <c r="D683" i="1"/>
  <c r="K545" i="1"/>
  <c r="D545" i="1"/>
  <c r="K377" i="1"/>
  <c r="D377" i="1"/>
  <c r="K531" i="1"/>
  <c r="D531" i="1"/>
  <c r="K371" i="1"/>
  <c r="D371" i="1"/>
  <c r="K110" i="1"/>
  <c r="D110" i="1"/>
  <c r="K292" i="1"/>
  <c r="D292" i="1"/>
  <c r="K798" i="1"/>
  <c r="D798" i="1"/>
  <c r="K321" i="1"/>
  <c r="J321" i="1"/>
  <c r="AU321" i="1" s="1"/>
  <c r="D321" i="1"/>
  <c r="K687" i="1"/>
  <c r="D687" i="1"/>
  <c r="D599" i="1"/>
  <c r="K599" i="1"/>
  <c r="K433" i="1"/>
  <c r="D433" i="1"/>
  <c r="K621" i="1"/>
  <c r="D621" i="1"/>
  <c r="K512" i="1"/>
  <c r="J512" i="1"/>
  <c r="AU512" i="1" s="1"/>
  <c r="D512" i="1"/>
  <c r="K380" i="1"/>
  <c r="D380" i="1"/>
  <c r="K93" i="1"/>
  <c r="D93" i="1"/>
  <c r="K717" i="1"/>
  <c r="K659" i="1"/>
  <c r="K759" i="1"/>
  <c r="D759" i="1"/>
  <c r="D451" i="1"/>
  <c r="K451" i="1"/>
  <c r="K489" i="1"/>
  <c r="D489" i="1"/>
  <c r="K600" i="1"/>
  <c r="J600" i="1"/>
  <c r="AU600" i="1" s="1"/>
  <c r="D600" i="1"/>
  <c r="D796" i="1"/>
  <c r="K796" i="1"/>
  <c r="K88" i="1"/>
  <c r="D88" i="1"/>
  <c r="K179" i="1"/>
  <c r="D179" i="1"/>
  <c r="K136" i="1"/>
  <c r="D136" i="1"/>
  <c r="K701" i="1"/>
  <c r="D701" i="1"/>
  <c r="K509" i="1"/>
  <c r="D509" i="1"/>
  <c r="J509" i="1"/>
  <c r="AU509" i="1" s="1"/>
  <c r="K640" i="1"/>
  <c r="D640" i="1"/>
  <c r="J496" i="1"/>
  <c r="AU496" i="1" s="1"/>
  <c r="D496" i="1"/>
  <c r="K496" i="1"/>
  <c r="K517" i="1"/>
  <c r="D517" i="1"/>
  <c r="K304" i="1"/>
  <c r="D304" i="1"/>
  <c r="K559" i="1"/>
  <c r="D559" i="1"/>
  <c r="K133" i="1"/>
  <c r="D133" i="1"/>
  <c r="K173" i="1"/>
  <c r="D173" i="1"/>
  <c r="J173" i="1"/>
  <c r="AU173" i="1" s="1"/>
  <c r="K87" i="1"/>
  <c r="D87" i="1"/>
  <c r="K529" i="1"/>
  <c r="D529" i="1"/>
  <c r="J529" i="1"/>
  <c r="AU529" i="1" s="1"/>
  <c r="K277" i="1"/>
  <c r="D277" i="1"/>
  <c r="D349" i="1"/>
  <c r="K349" i="1"/>
  <c r="K383" i="1"/>
  <c r="D383" i="1"/>
  <c r="K307" i="1"/>
  <c r="J307" i="1"/>
  <c r="AU307" i="1" s="1"/>
  <c r="D307" i="1"/>
  <c r="K811" i="1"/>
  <c r="D811" i="1"/>
  <c r="K164" i="1"/>
  <c r="D164" i="1"/>
  <c r="K501" i="1"/>
  <c r="D501" i="1"/>
  <c r="K602" i="1"/>
  <c r="D602" i="1"/>
  <c r="D207" i="1"/>
  <c r="K207" i="1"/>
  <c r="K134" i="1"/>
  <c r="D134" i="1"/>
  <c r="K65" i="1"/>
  <c r="J65" i="1"/>
  <c r="AU65" i="1" s="1"/>
  <c r="D65" i="1"/>
  <c r="K613" i="1"/>
  <c r="D613" i="1"/>
  <c r="K639" i="1"/>
  <c r="J639" i="1"/>
  <c r="AU639" i="1" s="1"/>
  <c r="D639" i="1"/>
  <c r="K63" i="1"/>
  <c r="J63" i="1"/>
  <c r="AU63" i="1" s="1"/>
  <c r="D63" i="1"/>
  <c r="D430" i="1"/>
  <c r="K430" i="1"/>
  <c r="D394" i="1"/>
  <c r="K394" i="1"/>
  <c r="J394" i="1"/>
  <c r="AU394" i="1" s="1"/>
  <c r="K655" i="1"/>
  <c r="D655" i="1"/>
  <c r="K786" i="1"/>
  <c r="D786" i="1"/>
  <c r="K194" i="1"/>
  <c r="D194" i="1"/>
  <c r="K354" i="1"/>
  <c r="D354" i="1"/>
  <c r="J760" i="1"/>
  <c r="AU760" i="1" s="1"/>
  <c r="K760" i="1"/>
  <c r="D760" i="1"/>
  <c r="K231" i="1"/>
  <c r="D231" i="1"/>
  <c r="K347" i="1"/>
  <c r="D347" i="1"/>
  <c r="K85" i="1"/>
  <c r="D85" i="1"/>
  <c r="J839" i="1"/>
  <c r="AU839" i="1" s="1"/>
  <c r="J732" i="1"/>
  <c r="AU732" i="1" s="1"/>
  <c r="I732" i="1"/>
  <c r="D809" i="1"/>
  <c r="D717" i="1"/>
  <c r="D668" i="1"/>
  <c r="D596" i="1"/>
  <c r="D527" i="1"/>
  <c r="D500" i="1"/>
  <c r="D473" i="1"/>
  <c r="D457" i="1"/>
  <c r="D337" i="1"/>
  <c r="D256" i="1"/>
  <c r="D196" i="1"/>
  <c r="D181" i="1"/>
  <c r="D174" i="1"/>
  <c r="D131" i="1"/>
  <c r="D117" i="1"/>
  <c r="D6" i="1"/>
  <c r="J569" i="1"/>
  <c r="AU569" i="1" s="1"/>
  <c r="J281" i="1"/>
  <c r="AU281" i="1" s="1"/>
  <c r="K439" i="1"/>
  <c r="D439" i="1"/>
  <c r="K328" i="1"/>
  <c r="D328" i="1"/>
  <c r="K650" i="1"/>
  <c r="D650" i="1"/>
  <c r="D564" i="1"/>
  <c r="K564" i="1"/>
  <c r="K140" i="1"/>
  <c r="D140" i="1"/>
  <c r="K264" i="1"/>
  <c r="D264" i="1"/>
  <c r="K570" i="1"/>
  <c r="D570" i="1"/>
  <c r="K268" i="1"/>
  <c r="D268" i="1"/>
  <c r="K557" i="1"/>
  <c r="D557" i="1"/>
  <c r="K296" i="1"/>
  <c r="D296" i="1"/>
  <c r="D686" i="1"/>
  <c r="K686" i="1"/>
  <c r="K682" i="1"/>
  <c r="D682" i="1"/>
  <c r="K149" i="1"/>
  <c r="D149" i="1"/>
  <c r="K333" i="1"/>
  <c r="D333" i="1"/>
  <c r="K244" i="1"/>
  <c r="J244" i="1"/>
  <c r="AU244" i="1" s="1"/>
  <c r="K576" i="1"/>
  <c r="D576" i="1"/>
  <c r="K647" i="1"/>
  <c r="J647" i="1"/>
  <c r="AU647" i="1" s="1"/>
  <c r="K358" i="1"/>
  <c r="D358" i="1"/>
  <c r="K232" i="1"/>
  <c r="J232" i="1"/>
  <c r="AU232" i="1" s="1"/>
  <c r="D232" i="1"/>
  <c r="K416" i="1"/>
  <c r="D416" i="1"/>
  <c r="K792" i="1"/>
  <c r="D792" i="1"/>
  <c r="K726" i="1"/>
  <c r="K629" i="1"/>
  <c r="D629" i="1"/>
  <c r="K104" i="1"/>
  <c r="D104" i="1"/>
  <c r="K215" i="1"/>
  <c r="J215" i="1"/>
  <c r="AU215" i="1" s="1"/>
  <c r="D215" i="1"/>
  <c r="D449" i="1"/>
  <c r="K449" i="1"/>
  <c r="K443" i="1"/>
  <c r="D443" i="1"/>
  <c r="K669" i="1"/>
  <c r="D669" i="1"/>
  <c r="K29" i="1"/>
  <c r="J29" i="1"/>
  <c r="AU29" i="1" s="1"/>
  <c r="K132" i="1"/>
  <c r="D132" i="1"/>
  <c r="J132" i="1"/>
  <c r="AU132" i="1" s="1"/>
  <c r="K73" i="1"/>
  <c r="D73" i="1"/>
  <c r="K81" i="1"/>
  <c r="J81" i="1"/>
  <c r="AU81" i="1" s="1"/>
  <c r="D81" i="1"/>
  <c r="K213" i="1"/>
  <c r="D213" i="1"/>
  <c r="K157" i="1"/>
  <c r="D157" i="1"/>
  <c r="K325" i="1"/>
  <c r="D325" i="1"/>
  <c r="K340" i="1"/>
  <c r="D340" i="1"/>
  <c r="K119" i="1"/>
  <c r="D119" i="1"/>
  <c r="K588" i="1"/>
  <c r="K327" i="1"/>
  <c r="D327" i="1"/>
  <c r="K754" i="1"/>
  <c r="D754" i="1"/>
  <c r="J319" i="1"/>
  <c r="AU319" i="1" s="1"/>
  <c r="D319" i="1"/>
  <c r="K319" i="1"/>
  <c r="J642" i="1"/>
  <c r="AU642" i="1" s="1"/>
  <c r="D642" i="1"/>
  <c r="K624" i="1"/>
  <c r="D624" i="1"/>
  <c r="J624" i="1"/>
  <c r="AU624" i="1" s="1"/>
  <c r="K238" i="1"/>
  <c r="D238" i="1"/>
  <c r="K84" i="1"/>
  <c r="D84" i="1"/>
  <c r="K444" i="1"/>
  <c r="D444" i="1"/>
  <c r="K537" i="1"/>
  <c r="J537" i="1"/>
  <c r="AU537" i="1" s="1"/>
  <c r="D537" i="1"/>
  <c r="K124" i="1"/>
  <c r="D124" i="1"/>
  <c r="K197" i="1"/>
  <c r="D197" i="1"/>
  <c r="K719" i="1"/>
  <c r="D719" i="1"/>
  <c r="K39" i="1"/>
  <c r="D39" i="1"/>
  <c r="K209" i="1"/>
  <c r="D209" i="1"/>
  <c r="D299" i="1"/>
  <c r="K299" i="1"/>
  <c r="K227" i="1"/>
  <c r="D227" i="1"/>
  <c r="K544" i="1"/>
  <c r="D544" i="1"/>
  <c r="K297" i="1"/>
  <c r="D297" i="1"/>
  <c r="K135" i="1"/>
  <c r="D135" i="1"/>
  <c r="D515" i="1"/>
  <c r="K515" i="1"/>
  <c r="K625" i="1"/>
  <c r="D625" i="1"/>
  <c r="K374" i="1"/>
  <c r="D374" i="1"/>
  <c r="K524" i="1"/>
  <c r="D524" i="1"/>
  <c r="K826" i="1"/>
  <c r="D826" i="1"/>
  <c r="K806" i="1"/>
  <c r="K663" i="1"/>
  <c r="D663" i="1"/>
  <c r="J664" i="1"/>
  <c r="AU664" i="1" s="1"/>
  <c r="K664" i="1"/>
  <c r="K289" i="1"/>
  <c r="D289" i="1"/>
  <c r="K163" i="1"/>
  <c r="D163" i="1"/>
  <c r="K396" i="1"/>
  <c r="D396" i="1"/>
  <c r="D535" i="1"/>
  <c r="K535" i="1"/>
  <c r="K508" i="1"/>
  <c r="D508" i="1"/>
  <c r="K315" i="1"/>
  <c r="D315" i="1"/>
  <c r="K594" i="1"/>
  <c r="D594" i="1"/>
  <c r="K233" i="1"/>
  <c r="D233" i="1"/>
  <c r="K637" i="1"/>
  <c r="D637" i="1"/>
  <c r="K604" i="1"/>
  <c r="J604" i="1"/>
  <c r="AU604" i="1" s="1"/>
  <c r="K224" i="1"/>
  <c r="D224" i="1"/>
  <c r="K281" i="1"/>
  <c r="K530" i="1"/>
  <c r="D530" i="1"/>
  <c r="K612" i="1"/>
  <c r="D612" i="1"/>
  <c r="K704" i="1"/>
  <c r="K712" i="1"/>
  <c r="K314" i="1"/>
  <c r="J314" i="1"/>
  <c r="AU314" i="1" s="1"/>
  <c r="K44" i="1"/>
  <c r="D44" i="1"/>
  <c r="K628" i="1"/>
  <c r="D628" i="1"/>
  <c r="D295" i="1"/>
  <c r="K295" i="1"/>
  <c r="D144" i="1"/>
  <c r="K144" i="1"/>
  <c r="K758" i="1"/>
  <c r="D758" i="1"/>
  <c r="K212" i="1"/>
  <c r="D212" i="1"/>
  <c r="J212" i="1"/>
  <c r="AU212" i="1" s="1"/>
  <c r="K82" i="1"/>
  <c r="D82" i="1"/>
  <c r="J583" i="1"/>
  <c r="AU583" i="1" s="1"/>
  <c r="K583" i="1"/>
  <c r="K554" i="1"/>
  <c r="D554" i="1"/>
  <c r="K220" i="1"/>
  <c r="D220" i="1"/>
  <c r="K591" i="1"/>
  <c r="D591" i="1"/>
  <c r="K162" i="1"/>
  <c r="J162" i="1"/>
  <c r="AU162" i="1" s="1"/>
  <c r="D162" i="1"/>
  <c r="K187" i="1"/>
  <c r="D187" i="1"/>
  <c r="K764" i="1"/>
  <c r="J764" i="1"/>
  <c r="AU764" i="1" s="1"/>
  <c r="K312" i="1"/>
  <c r="D312" i="1"/>
  <c r="K206" i="1"/>
  <c r="J206" i="1"/>
  <c r="AU206" i="1" s="1"/>
  <c r="D206" i="1"/>
  <c r="D199" i="1"/>
  <c r="K199" i="1"/>
  <c r="K17" i="1"/>
  <c r="D17" i="1"/>
  <c r="K26" i="1"/>
  <c r="J26" i="1"/>
  <c r="AU26" i="1" s="1"/>
  <c r="K274" i="1"/>
  <c r="D274" i="1"/>
  <c r="K502" i="1"/>
  <c r="D502" i="1"/>
  <c r="K10" i="1"/>
  <c r="D10" i="1"/>
  <c r="K67" i="1"/>
  <c r="D67" i="1"/>
  <c r="K763" i="1"/>
  <c r="D763" i="1"/>
  <c r="K193" i="1"/>
  <c r="D193" i="1"/>
  <c r="J459" i="1"/>
  <c r="AU459" i="1" s="1"/>
  <c r="D459" i="1"/>
  <c r="K459" i="1"/>
  <c r="K267" i="1"/>
  <c r="D267" i="1"/>
  <c r="K708" i="1"/>
  <c r="K56" i="1"/>
  <c r="D56" i="1"/>
  <c r="K367" i="1"/>
  <c r="D367" i="1"/>
  <c r="D48" i="1"/>
  <c r="K48" i="1"/>
  <c r="K125" i="1"/>
  <c r="D125" i="1"/>
  <c r="D15" i="1"/>
  <c r="K15" i="1"/>
  <c r="K343" i="1"/>
  <c r="D343" i="1"/>
  <c r="D362" i="1"/>
  <c r="K362" i="1"/>
  <c r="D229" i="1"/>
  <c r="K229" i="1"/>
  <c r="K752" i="1"/>
  <c r="K176" i="1"/>
  <c r="D176" i="1"/>
  <c r="K880" i="1"/>
  <c r="J868" i="1"/>
  <c r="AU868" i="1" s="1"/>
  <c r="K868" i="1"/>
  <c r="J856" i="1"/>
  <c r="AU856" i="1" s="1"/>
  <c r="K856" i="1"/>
  <c r="K837" i="1"/>
  <c r="J837" i="1"/>
  <c r="AU837" i="1" s="1"/>
  <c r="K815" i="1"/>
  <c r="I217" i="1"/>
  <c r="K217" i="1"/>
  <c r="J23" i="1"/>
  <c r="AU23" i="1" s="1"/>
  <c r="I23" i="1"/>
  <c r="D805" i="1"/>
  <c r="D906" i="1"/>
  <c r="D896" i="1"/>
  <c r="D890" i="1"/>
  <c r="D880" i="1"/>
  <c r="D864" i="1"/>
  <c r="D858" i="1"/>
  <c r="D848" i="1"/>
  <c r="D834" i="1"/>
  <c r="D819" i="1"/>
  <c r="D813" i="1"/>
  <c r="D808" i="1"/>
  <c r="D801" i="1"/>
  <c r="D764" i="1"/>
  <c r="D757" i="1"/>
  <c r="D752" i="1"/>
  <c r="D747" i="1"/>
  <c r="D737" i="1"/>
  <c r="D726" i="1"/>
  <c r="D716" i="1"/>
  <c r="D710" i="1"/>
  <c r="D705" i="1"/>
  <c r="D699" i="1"/>
  <c r="D693" i="1"/>
  <c r="D674" i="1"/>
  <c r="D648" i="1"/>
  <c r="D638" i="1"/>
  <c r="D623" i="1"/>
  <c r="D610" i="1"/>
  <c r="D568" i="1"/>
  <c r="D486" i="1"/>
  <c r="D426" i="1"/>
  <c r="D412" i="1"/>
  <c r="D382" i="1"/>
  <c r="D369" i="1"/>
  <c r="D357" i="1"/>
  <c r="D350" i="1"/>
  <c r="D293" i="1"/>
  <c r="D242" i="1"/>
  <c r="D230" i="1"/>
  <c r="D180" i="1"/>
  <c r="D169" i="1"/>
  <c r="D126" i="1"/>
  <c r="D91" i="1"/>
  <c r="D77" i="1"/>
  <c r="D49" i="1"/>
  <c r="D5" i="1"/>
  <c r="J773" i="1"/>
  <c r="AU773" i="1" s="1"/>
  <c r="J631" i="1"/>
  <c r="AU631" i="1" s="1"/>
  <c r="J99" i="1"/>
  <c r="AU99" i="1" s="1"/>
  <c r="J14" i="1"/>
  <c r="AU14" i="1" s="1"/>
  <c r="K872" i="1"/>
  <c r="K851" i="1"/>
  <c r="K773" i="1"/>
  <c r="K622" i="1"/>
  <c r="K150" i="1"/>
  <c r="K414" i="1"/>
  <c r="J74" i="1"/>
  <c r="AU74" i="1" s="1"/>
  <c r="D74" i="1"/>
  <c r="K74" i="1"/>
  <c r="K167" i="1"/>
  <c r="D167" i="1"/>
  <c r="K585" i="1"/>
  <c r="D585" i="1"/>
  <c r="K477" i="1"/>
  <c r="D477" i="1"/>
  <c r="K25" i="1"/>
  <c r="D25" i="1"/>
  <c r="D572" i="1"/>
  <c r="K572" i="1"/>
  <c r="K634" i="1"/>
  <c r="D634" i="1"/>
  <c r="K579" i="1"/>
  <c r="D579" i="1"/>
  <c r="K76" i="1"/>
  <c r="D76" i="1"/>
  <c r="K488" i="1"/>
  <c r="D488" i="1"/>
  <c r="K417" i="1"/>
  <c r="D417" i="1"/>
  <c r="K525" i="1"/>
  <c r="K410" i="1"/>
  <c r="D410" i="1"/>
  <c r="K208" i="1"/>
  <c r="K83" i="1"/>
  <c r="D83" i="1"/>
  <c r="J83" i="1"/>
  <c r="AU83" i="1" s="1"/>
  <c r="K262" i="1"/>
  <c r="D262" i="1"/>
  <c r="K334" i="1"/>
  <c r="D334" i="1"/>
  <c r="K316" i="1"/>
  <c r="K200" i="1"/>
  <c r="D200" i="1"/>
  <c r="K40" i="1"/>
  <c r="D40" i="1"/>
  <c r="K511" i="1"/>
  <c r="D511" i="1"/>
  <c r="K250" i="1"/>
  <c r="D250" i="1"/>
  <c r="K436" i="1"/>
  <c r="D436" i="1"/>
  <c r="K120" i="1"/>
  <c r="D120" i="1"/>
  <c r="K391" i="1"/>
  <c r="D391" i="1"/>
  <c r="K636" i="1"/>
  <c r="D636" i="1"/>
  <c r="K734" i="1"/>
  <c r="K476" i="1"/>
  <c r="D476" i="1"/>
  <c r="K225" i="1"/>
  <c r="D225" i="1"/>
  <c r="K475" i="1"/>
  <c r="D475" i="1"/>
  <c r="K318" i="1"/>
  <c r="D318" i="1"/>
  <c r="K485" i="1"/>
  <c r="J485" i="1"/>
  <c r="AU485" i="1" s="1"/>
  <c r="D485" i="1"/>
  <c r="K387" i="1"/>
  <c r="D387" i="1"/>
  <c r="K171" i="1"/>
  <c r="D171" i="1"/>
  <c r="K474" i="1"/>
  <c r="D474" i="1"/>
  <c r="K448" i="1"/>
  <c r="D448" i="1"/>
  <c r="K170" i="1"/>
  <c r="D170" i="1"/>
  <c r="K156" i="1"/>
  <c r="D156" i="1"/>
  <c r="J156" i="1"/>
  <c r="AU156" i="1" s="1"/>
  <c r="K569" i="1"/>
  <c r="D30" i="1"/>
  <c r="K30" i="1"/>
  <c r="K799" i="1"/>
  <c r="K467" i="1"/>
  <c r="D284" i="1"/>
  <c r="K284" i="1"/>
  <c r="K562" i="1"/>
  <c r="D562" i="1"/>
  <c r="K214" i="1"/>
  <c r="D214" i="1"/>
  <c r="K484" i="1"/>
  <c r="D484" i="1"/>
  <c r="K528" i="1"/>
  <c r="D528" i="1"/>
  <c r="K800" i="1"/>
  <c r="D800" i="1"/>
  <c r="K182" i="1"/>
  <c r="D182" i="1"/>
  <c r="K574" i="1"/>
  <c r="D574" i="1"/>
  <c r="K353" i="1"/>
  <c r="J353" i="1"/>
  <c r="AU353" i="1" s="1"/>
  <c r="D353" i="1"/>
  <c r="D72" i="1"/>
  <c r="K72" i="1"/>
  <c r="K36" i="1"/>
  <c r="D36" i="1"/>
  <c r="K19" i="1"/>
  <c r="D19" i="1"/>
  <c r="K348" i="1"/>
  <c r="D348" i="1"/>
  <c r="K13" i="1"/>
  <c r="D13" i="1"/>
  <c r="K222" i="1"/>
  <c r="K665" i="1"/>
  <c r="D665" i="1"/>
  <c r="K24" i="1"/>
  <c r="D24" i="1"/>
  <c r="K606" i="1"/>
  <c r="D606" i="1"/>
  <c r="K480" i="1"/>
  <c r="D480" i="1"/>
  <c r="D415" i="1"/>
  <c r="K415" i="1"/>
  <c r="K469" i="1"/>
  <c r="D469" i="1"/>
  <c r="K298" i="1"/>
  <c r="D298" i="1"/>
  <c r="D499" i="1"/>
  <c r="K499" i="1"/>
  <c r="K458" i="1"/>
  <c r="D458" i="1"/>
  <c r="D438" i="1"/>
  <c r="K438" i="1"/>
  <c r="K58" i="1"/>
  <c r="J58" i="1"/>
  <c r="AU58" i="1" s="1"/>
  <c r="K287" i="1"/>
  <c r="D287" i="1"/>
  <c r="K491" i="1"/>
  <c r="D491" i="1"/>
  <c r="K69" i="1"/>
  <c r="D69" i="1"/>
  <c r="K122" i="1"/>
  <c r="D122" i="1"/>
  <c r="K573" i="1"/>
  <c r="D573" i="1"/>
  <c r="K521" i="1"/>
  <c r="D521" i="1"/>
  <c r="K326" i="1"/>
  <c r="J326" i="1"/>
  <c r="AU326" i="1" s="1"/>
  <c r="D326" i="1"/>
  <c r="K721" i="1"/>
  <c r="K498" i="1"/>
  <c r="D498" i="1"/>
  <c r="K33" i="1"/>
  <c r="D33" i="1"/>
  <c r="K249" i="1"/>
  <c r="K121" i="1"/>
  <c r="J121" i="1"/>
  <c r="AU121" i="1" s="1"/>
  <c r="D121" i="1"/>
  <c r="D646" i="1"/>
  <c r="K646" i="1"/>
  <c r="K429" i="1"/>
  <c r="K97" i="1"/>
  <c r="D97" i="1"/>
  <c r="J97" i="1"/>
  <c r="AU97" i="1" s="1"/>
  <c r="K290" i="1"/>
  <c r="D290" i="1"/>
  <c r="K427" i="1"/>
  <c r="D427" i="1"/>
  <c r="K9" i="1"/>
  <c r="J9" i="1"/>
  <c r="AU9" i="1" s="1"/>
  <c r="D9" i="1"/>
  <c r="K690" i="1"/>
  <c r="D690" i="1"/>
  <c r="K407" i="1"/>
  <c r="D407" i="1"/>
  <c r="K641" i="1"/>
  <c r="D641" i="1"/>
  <c r="D614" i="1"/>
  <c r="K614" i="1"/>
  <c r="K672" i="1"/>
  <c r="D672" i="1"/>
  <c r="K221" i="1"/>
  <c r="D221" i="1"/>
  <c r="D373" i="1"/>
  <c r="K373" i="1"/>
  <c r="K649" i="1"/>
  <c r="D649" i="1"/>
  <c r="K155" i="1"/>
  <c r="D155" i="1"/>
  <c r="K158" i="1"/>
  <c r="D158" i="1"/>
  <c r="K331" i="1"/>
  <c r="D331" i="1"/>
  <c r="K619" i="1"/>
  <c r="D619" i="1"/>
  <c r="K420" i="1"/>
  <c r="D420" i="1"/>
  <c r="K607" i="1"/>
  <c r="D607" i="1"/>
  <c r="K370" i="1"/>
  <c r="K154" i="1"/>
  <c r="J154" i="1"/>
  <c r="AU154" i="1" s="1"/>
  <c r="K418" i="1"/>
  <c r="D418" i="1"/>
  <c r="K57" i="1"/>
  <c r="D57" i="1"/>
  <c r="K151" i="1"/>
  <c r="D151" i="1"/>
  <c r="K505" i="1"/>
  <c r="J505" i="1"/>
  <c r="AU505" i="1" s="1"/>
  <c r="K516" i="1"/>
  <c r="D516" i="1"/>
  <c r="K684" i="1"/>
  <c r="K20" i="1"/>
  <c r="J20" i="1"/>
  <c r="AU20" i="1" s="1"/>
  <c r="K408" i="1"/>
  <c r="J408" i="1"/>
  <c r="AU408" i="1" s="1"/>
  <c r="D408" i="1"/>
  <c r="K601" i="1"/>
  <c r="D601" i="1"/>
  <c r="K118" i="1"/>
  <c r="J118" i="1"/>
  <c r="AU118" i="1" s="1"/>
  <c r="J543" i="1"/>
  <c r="AU543" i="1" s="1"/>
  <c r="K543" i="1"/>
  <c r="D543" i="1"/>
  <c r="D703" i="1"/>
  <c r="K703" i="1"/>
  <c r="J728" i="1"/>
  <c r="AU728" i="1" s="1"/>
  <c r="K728" i="1"/>
  <c r="K550" i="1"/>
  <c r="D550" i="1"/>
  <c r="K226" i="1"/>
  <c r="D226" i="1"/>
  <c r="K423" i="1"/>
  <c r="D423" i="1"/>
  <c r="K55" i="1"/>
  <c r="J55" i="1"/>
  <c r="AU55" i="1" s="1"/>
  <c r="D55" i="1"/>
  <c r="K748" i="1"/>
  <c r="K203" i="1"/>
  <c r="D203" i="1"/>
  <c r="K735" i="1"/>
  <c r="J735" i="1"/>
  <c r="AU735" i="1" s="1"/>
  <c r="D735" i="1"/>
  <c r="K472" i="1"/>
  <c r="D472" i="1"/>
  <c r="K445" i="1"/>
  <c r="D445" i="1"/>
  <c r="K751" i="1"/>
  <c r="K523" i="1"/>
  <c r="D523" i="1"/>
  <c r="K261" i="1"/>
  <c r="D261" i="1"/>
  <c r="K542" i="1"/>
  <c r="D542" i="1"/>
  <c r="K368" i="1"/>
  <c r="D368" i="1"/>
  <c r="K142" i="1"/>
  <c r="D142" i="1"/>
  <c r="K139" i="1"/>
  <c r="J139" i="1"/>
  <c r="AU139" i="1" s="1"/>
  <c r="K437" i="1"/>
  <c r="D437" i="1"/>
  <c r="K363" i="1"/>
  <c r="D363" i="1"/>
  <c r="K468" i="1"/>
  <c r="D468" i="1"/>
  <c r="J271" i="1"/>
  <c r="AU271" i="1" s="1"/>
  <c r="D271" i="1"/>
  <c r="K271" i="1"/>
  <c r="K378" i="1"/>
  <c r="D378" i="1"/>
  <c r="K386" i="1"/>
  <c r="D386" i="1"/>
  <c r="K452" i="1"/>
  <c r="D452" i="1"/>
  <c r="K269" i="1"/>
  <c r="D269" i="1"/>
  <c r="K419" i="1"/>
  <c r="J419" i="1"/>
  <c r="AU419" i="1" s="1"/>
  <c r="K161" i="1"/>
  <c r="K744" i="1"/>
  <c r="D21" i="1"/>
  <c r="K21" i="1"/>
  <c r="K907" i="1"/>
  <c r="D907" i="1"/>
  <c r="D903" i="1"/>
  <c r="K903" i="1"/>
  <c r="D899" i="1"/>
  <c r="K899" i="1"/>
  <c r="K891" i="1"/>
  <c r="D891" i="1"/>
  <c r="D887" i="1"/>
  <c r="K887" i="1"/>
  <c r="J883" i="1"/>
  <c r="AU883" i="1" s="1"/>
  <c r="D883" i="1"/>
  <c r="D879" i="1"/>
  <c r="K879" i="1"/>
  <c r="J879" i="1"/>
  <c r="AU879" i="1" s="1"/>
  <c r="K875" i="1"/>
  <c r="D875" i="1"/>
  <c r="J495" i="1"/>
  <c r="AU495" i="1" s="1"/>
  <c r="D495" i="1"/>
  <c r="K495" i="1"/>
  <c r="D867" i="1"/>
  <c r="K867" i="1"/>
  <c r="K859" i="1"/>
  <c r="D859" i="1"/>
  <c r="D855" i="1"/>
  <c r="K855" i="1"/>
  <c r="D847" i="1"/>
  <c r="K847" i="1"/>
  <c r="K843" i="1"/>
  <c r="D843" i="1"/>
  <c r="D840" i="1"/>
  <c r="K840" i="1"/>
  <c r="D836" i="1"/>
  <c r="K836" i="1"/>
  <c r="K89" i="1"/>
  <c r="D89" i="1"/>
  <c r="J71" i="1"/>
  <c r="AU71" i="1" s="1"/>
  <c r="D71" i="1"/>
  <c r="K71" i="1"/>
  <c r="K822" i="1"/>
  <c r="D822" i="1"/>
  <c r="K818" i="1"/>
  <c r="D818" i="1"/>
  <c r="D814" i="1"/>
  <c r="K814" i="1"/>
  <c r="I779" i="1"/>
  <c r="K779" i="1"/>
  <c r="I580" i="1"/>
  <c r="K580" i="1"/>
  <c r="I702" i="1"/>
  <c r="K702" i="1"/>
  <c r="D94" i="1"/>
  <c r="D900" i="1"/>
  <c r="D894" i="1"/>
  <c r="D884" i="1"/>
  <c r="D868" i="1"/>
  <c r="D862" i="1"/>
  <c r="D837" i="1"/>
  <c r="D832" i="1"/>
  <c r="D823" i="1"/>
  <c r="D817" i="1"/>
  <c r="D812" i="1"/>
  <c r="D799" i="1"/>
  <c r="D794" i="1"/>
  <c r="D789" i="1"/>
  <c r="D782" i="1"/>
  <c r="D778" i="1"/>
  <c r="D762" i="1"/>
  <c r="D756" i="1"/>
  <c r="D751" i="1"/>
  <c r="D745" i="1"/>
  <c r="D740" i="1"/>
  <c r="D730" i="1"/>
  <c r="D725" i="1"/>
  <c r="D714" i="1"/>
  <c r="D709" i="1"/>
  <c r="D704" i="1"/>
  <c r="D697" i="1"/>
  <c r="D692" i="1"/>
  <c r="D679" i="1"/>
  <c r="D664" i="1"/>
  <c r="D654" i="1"/>
  <c r="D647" i="1"/>
  <c r="D632" i="1"/>
  <c r="D618" i="1"/>
  <c r="D604" i="1"/>
  <c r="D590" i="1"/>
  <c r="D575" i="1"/>
  <c r="D563" i="1"/>
  <c r="D548" i="1"/>
  <c r="D520" i="1"/>
  <c r="D507" i="1"/>
  <c r="D494" i="1"/>
  <c r="D481" i="1"/>
  <c r="D463" i="1"/>
  <c r="D435" i="1"/>
  <c r="D406" i="1"/>
  <c r="D345" i="1"/>
  <c r="D330" i="1"/>
  <c r="D316" i="1"/>
  <c r="D288" i="1"/>
  <c r="D202" i="1"/>
  <c r="D189" i="1"/>
  <c r="D166" i="1"/>
  <c r="D153" i="1"/>
  <c r="D138" i="1"/>
  <c r="D123" i="1"/>
  <c r="D111" i="1"/>
  <c r="D102" i="1"/>
  <c r="D86" i="1"/>
  <c r="D414" i="1"/>
  <c r="D58" i="1"/>
  <c r="D43" i="1"/>
  <c r="D29" i="1"/>
  <c r="D14" i="1"/>
  <c r="J819" i="1"/>
  <c r="AU819" i="1" s="1"/>
  <c r="J755" i="1"/>
  <c r="AU755" i="1" s="1"/>
  <c r="J406" i="1"/>
  <c r="AU406" i="1" s="1"/>
  <c r="J238" i="1"/>
  <c r="AU238" i="1" s="1"/>
  <c r="J149" i="1"/>
  <c r="AU149" i="1" s="1"/>
  <c r="K863" i="1"/>
  <c r="K732" i="1"/>
  <c r="K603" i="1"/>
  <c r="K402" i="1"/>
  <c r="K288" i="1"/>
  <c r="K252" i="1"/>
  <c r="J252" i="1"/>
  <c r="AU252" i="1" s="1"/>
  <c r="K611" i="1"/>
  <c r="J611" i="1"/>
  <c r="AU611" i="1" s="1"/>
  <c r="K198" i="1"/>
  <c r="D198" i="1"/>
  <c r="K536" i="1"/>
  <c r="D536" i="1"/>
  <c r="K8" i="1"/>
  <c r="D8" i="1"/>
  <c r="J8" i="1"/>
  <c r="AU8" i="1" s="1"/>
  <c r="K397" i="1"/>
  <c r="K11" i="1"/>
  <c r="D11" i="1"/>
  <c r="D384" i="1"/>
  <c r="K384" i="1"/>
  <c r="K549" i="1"/>
  <c r="D549" i="1"/>
  <c r="K192" i="1"/>
  <c r="J192" i="1"/>
  <c r="AU192" i="1" s="1"/>
  <c r="D192" i="1"/>
  <c r="K454" i="1"/>
  <c r="D454" i="1"/>
  <c r="K767" i="1"/>
  <c r="D767" i="1"/>
  <c r="K356" i="1"/>
  <c r="J356" i="1"/>
  <c r="AU356" i="1" s="1"/>
  <c r="K676" i="1"/>
  <c r="D676" i="1"/>
  <c r="K581" i="1"/>
  <c r="D581" i="1"/>
  <c r="K235" i="1"/>
  <c r="D235" i="1"/>
  <c r="D7" i="1"/>
  <c r="K7" i="1"/>
  <c r="K411" i="1"/>
  <c r="D411" i="1"/>
  <c r="K492" i="1"/>
  <c r="D492" i="1"/>
  <c r="K409" i="1"/>
  <c r="D409" i="1"/>
  <c r="K344" i="1"/>
  <c r="D344" i="1"/>
  <c r="D630" i="1"/>
  <c r="K630" i="1"/>
  <c r="K540" i="1"/>
  <c r="D540" i="1"/>
  <c r="K240" i="1"/>
  <c r="D240" i="1"/>
  <c r="K320" i="1"/>
  <c r="D320" i="1"/>
  <c r="K2" i="1"/>
  <c r="J2" i="1"/>
  <c r="AU2" i="1" s="1"/>
  <c r="K152" i="1"/>
  <c r="D152" i="1"/>
  <c r="K279" i="1"/>
  <c r="D279" i="1"/>
  <c r="D400" i="1"/>
  <c r="K400" i="1"/>
  <c r="K278" i="1"/>
  <c r="K101" i="1"/>
  <c r="D101" i="1"/>
  <c r="K341" i="1"/>
  <c r="D341" i="1"/>
  <c r="K309" i="1"/>
  <c r="K546" i="1"/>
  <c r="D546" i="1"/>
  <c r="K311" i="1"/>
  <c r="D311" i="1"/>
  <c r="K558" i="1"/>
  <c r="D558" i="1"/>
  <c r="K338" i="1"/>
  <c r="D338" i="1"/>
  <c r="K783" i="1"/>
  <c r="D783" i="1"/>
  <c r="D128" i="1"/>
  <c r="K128" i="1"/>
  <c r="K219" i="1"/>
  <c r="D219" i="1"/>
  <c r="K109" i="1"/>
  <c r="D109" i="1"/>
  <c r="K405" i="1"/>
  <c r="D405" i="1"/>
  <c r="K141" i="1"/>
  <c r="D141" i="1"/>
  <c r="K41" i="1"/>
  <c r="D41" i="1"/>
  <c r="D177" i="1"/>
  <c r="K177" i="1"/>
  <c r="K909" i="1"/>
  <c r="D909" i="1"/>
  <c r="K336" i="1"/>
  <c r="D667" i="1"/>
  <c r="K667" i="1"/>
  <c r="K503" i="1"/>
  <c r="D503" i="1"/>
  <c r="K522" i="1"/>
  <c r="D522" i="1"/>
  <c r="K322" i="1"/>
  <c r="D322" i="1"/>
  <c r="K403" i="1"/>
  <c r="D403" i="1"/>
  <c r="K643" i="1"/>
  <c r="D643" i="1"/>
  <c r="K66" i="1"/>
  <c r="J66" i="1"/>
  <c r="AU66" i="1" s="1"/>
  <c r="D66" i="1"/>
  <c r="K871" i="1"/>
  <c r="D871" i="1"/>
  <c r="K47" i="1"/>
  <c r="D47" i="1"/>
  <c r="K195" i="1"/>
  <c r="D195" i="1"/>
  <c r="K781" i="1"/>
  <c r="K482" i="1"/>
  <c r="D482" i="1"/>
  <c r="K722" i="1"/>
  <c r="J722" i="1"/>
  <c r="AU722" i="1" s="1"/>
  <c r="K78" i="1"/>
  <c r="D78" i="1"/>
  <c r="K263" i="1"/>
  <c r="D263" i="1"/>
  <c r="K681" i="1"/>
  <c r="D681" i="1"/>
  <c r="K243" i="1"/>
  <c r="D243" i="1"/>
  <c r="K595" i="1"/>
  <c r="J595" i="1"/>
  <c r="AU595" i="1" s="1"/>
  <c r="K375" i="1"/>
  <c r="D375" i="1"/>
  <c r="K276" i="1"/>
  <c r="D276" i="1"/>
  <c r="K662" i="1"/>
  <c r="D662" i="1"/>
  <c r="K657" i="1"/>
  <c r="D657" i="1"/>
  <c r="K428" i="1"/>
  <c r="D428" i="1"/>
  <c r="K75" i="1"/>
  <c r="D75" i="1"/>
  <c r="K190" i="1"/>
  <c r="D190" i="1"/>
  <c r="K260" i="1"/>
  <c r="J260" i="1"/>
  <c r="AU260" i="1" s="1"/>
  <c r="K3" i="1"/>
  <c r="D3" i="1"/>
  <c r="D245" i="1"/>
  <c r="K245" i="1"/>
  <c r="K108" i="1"/>
  <c r="D108" i="1"/>
  <c r="K765" i="1"/>
  <c r="K592" i="1"/>
  <c r="D592" i="1"/>
  <c r="K413" i="1"/>
  <c r="D413" i="1"/>
  <c r="J313" i="1"/>
  <c r="AU313" i="1" s="1"/>
  <c r="K313" i="1"/>
  <c r="D313" i="1"/>
  <c r="K23" i="1"/>
  <c r="D23" i="1"/>
  <c r="K441" i="1"/>
  <c r="K103" i="1"/>
  <c r="J103" i="1"/>
  <c r="AU103" i="1" s="1"/>
  <c r="D103" i="1"/>
  <c r="K291" i="1"/>
  <c r="D291" i="1"/>
  <c r="J291" i="1"/>
  <c r="AU291" i="1" s="1"/>
  <c r="K165" i="1"/>
  <c r="D165" i="1"/>
  <c r="K98" i="1"/>
  <c r="D98" i="1"/>
  <c r="K127" i="1"/>
  <c r="D127" i="1"/>
  <c r="K431" i="1"/>
  <c r="D431" i="1"/>
  <c r="K22" i="1"/>
  <c r="D22" i="1"/>
  <c r="K450" i="1"/>
  <c r="K556" i="1"/>
  <c r="D556" i="1"/>
  <c r="K456" i="1"/>
  <c r="D456" i="1"/>
  <c r="J456" i="1"/>
  <c r="AU456" i="1" s="1"/>
  <c r="K510" i="1"/>
  <c r="D510" i="1"/>
  <c r="K317" i="1"/>
  <c r="D317" i="1"/>
  <c r="K282" i="1"/>
  <c r="D282" i="1"/>
  <c r="K609" i="1"/>
  <c r="D609" i="1"/>
  <c r="K257" i="1"/>
  <c r="D257" i="1"/>
  <c r="K379" i="1"/>
  <c r="D379" i="1"/>
  <c r="D146" i="1"/>
  <c r="K146" i="1"/>
  <c r="D620" i="1"/>
  <c r="K620" i="1"/>
  <c r="K460" i="1"/>
  <c r="D460" i="1"/>
  <c r="K80" i="1"/>
  <c r="D80" i="1"/>
  <c r="D694" i="1"/>
  <c r="K694" i="1"/>
  <c r="J694" i="1"/>
  <c r="AU694" i="1" s="1"/>
  <c r="K95" i="1"/>
  <c r="J95" i="1"/>
  <c r="AU95" i="1" s="1"/>
  <c r="K395" i="1"/>
  <c r="D395" i="1"/>
  <c r="J381" i="1"/>
  <c r="AU381" i="1" s="1"/>
  <c r="K381" i="1"/>
  <c r="D381" i="1"/>
  <c r="J771" i="1"/>
  <c r="AU771" i="1" s="1"/>
  <c r="D771" i="1"/>
  <c r="K771" i="1"/>
  <c r="D561" i="1"/>
  <c r="K561" i="1"/>
  <c r="K323" i="1"/>
  <c r="D323" i="1"/>
  <c r="K51" i="1"/>
  <c r="D51" i="1"/>
  <c r="K178" i="1"/>
  <c r="D178" i="1"/>
  <c r="K567" i="1"/>
  <c r="D567" i="1"/>
  <c r="K446" i="1"/>
  <c r="D446" i="1"/>
  <c r="K113" i="1"/>
  <c r="D113" i="1"/>
  <c r="K399" i="1"/>
  <c r="D399" i="1"/>
  <c r="K688" i="1"/>
  <c r="K589" i="1"/>
  <c r="D589" i="1"/>
  <c r="K645" i="1"/>
  <c r="D645" i="1"/>
  <c r="K96" i="1"/>
  <c r="J96" i="1"/>
  <c r="AU96" i="1" s="1"/>
  <c r="D96" i="1"/>
  <c r="D32" i="1"/>
  <c r="K32" i="1"/>
  <c r="K514" i="1"/>
  <c r="J514" i="1"/>
  <c r="AU514" i="1" s="1"/>
  <c r="D514" i="1"/>
  <c r="K506" i="1"/>
  <c r="D506" i="1"/>
  <c r="K791" i="1"/>
  <c r="K61" i="1"/>
  <c r="D61" i="1"/>
  <c r="K698" i="1"/>
  <c r="D698" i="1"/>
  <c r="K185" i="1"/>
  <c r="D185" i="1"/>
  <c r="K31" i="1"/>
  <c r="D31" i="1"/>
  <c r="K680" i="1"/>
  <c r="K339" i="1"/>
  <c r="D339" i="1"/>
  <c r="K283" i="1"/>
  <c r="D283" i="1"/>
  <c r="J283" i="1"/>
  <c r="AU283" i="1" s="1"/>
  <c r="K483" i="1"/>
  <c r="D483" i="1"/>
  <c r="K28" i="1"/>
  <c r="D28" i="1"/>
  <c r="J28" i="1"/>
  <c r="AU28" i="1" s="1"/>
  <c r="K305" i="1"/>
  <c r="D305" i="1"/>
  <c r="K273" i="1"/>
  <c r="J731" i="1"/>
  <c r="AU731" i="1" s="1"/>
  <c r="D731" i="1"/>
  <c r="K130" i="1"/>
  <c r="D130" i="1"/>
  <c r="J130" i="1"/>
  <c r="AU130" i="1" s="1"/>
  <c r="D422" i="1"/>
  <c r="K422" i="1"/>
  <c r="J422" i="1"/>
  <c r="AU422" i="1" s="1"/>
  <c r="K251" i="1"/>
  <c r="D251" i="1"/>
  <c r="K143" i="1"/>
  <c r="D143" i="1"/>
  <c r="K280" i="1"/>
  <c r="D280" i="1"/>
  <c r="K795" i="1"/>
  <c r="K471" i="1"/>
  <c r="K720" i="1"/>
  <c r="K462" i="1"/>
  <c r="J462" i="1"/>
  <c r="AU462" i="1" s="1"/>
  <c r="K310" i="1"/>
  <c r="D310" i="1"/>
  <c r="K254" i="1"/>
  <c r="D254" i="1"/>
  <c r="K389" i="1"/>
  <c r="J389" i="1"/>
  <c r="AU389" i="1" s="1"/>
  <c r="D389" i="1"/>
  <c r="K878" i="1"/>
  <c r="K874" i="1"/>
  <c r="K870" i="1"/>
  <c r="K854" i="1"/>
  <c r="K850" i="1"/>
  <c r="K846" i="1"/>
  <c r="K831" i="1"/>
  <c r="K839" i="1"/>
  <c r="K829" i="1"/>
  <c r="J829" i="1"/>
  <c r="AU829" i="1" s="1"/>
  <c r="K825" i="1"/>
  <c r="K821" i="1"/>
  <c r="D904" i="1"/>
  <c r="D898" i="1"/>
  <c r="D888" i="1"/>
  <c r="D882" i="1"/>
  <c r="D866" i="1"/>
  <c r="D856" i="1"/>
  <c r="D850" i="1"/>
  <c r="D841" i="1"/>
  <c r="D835" i="1"/>
  <c r="D827" i="1"/>
  <c r="D821" i="1"/>
  <c r="D793" i="1"/>
  <c r="D781" i="1"/>
  <c r="D772" i="1"/>
  <c r="D766" i="1"/>
  <c r="D761" i="1"/>
  <c r="D755" i="1"/>
  <c r="D744" i="1"/>
  <c r="D739" i="1"/>
  <c r="D734" i="1"/>
  <c r="D718" i="1"/>
  <c r="D713" i="1"/>
  <c r="D708" i="1"/>
  <c r="D691" i="1"/>
  <c r="D685" i="1"/>
  <c r="D660" i="1"/>
  <c r="D652" i="1"/>
  <c r="D644" i="1"/>
  <c r="D631" i="1"/>
  <c r="D616" i="1"/>
  <c r="D588" i="1"/>
  <c r="D806" i="1"/>
  <c r="D560" i="1"/>
  <c r="D505" i="1"/>
  <c r="D493" i="1"/>
  <c r="D478" i="1"/>
  <c r="D467" i="1"/>
  <c r="D462" i="1"/>
  <c r="D447" i="1"/>
  <c r="D434" i="1"/>
  <c r="D419" i="1"/>
  <c r="D404" i="1"/>
  <c r="D390" i="1"/>
  <c r="D376" i="1"/>
  <c r="D361" i="1"/>
  <c r="D314" i="1"/>
  <c r="D286" i="1"/>
  <c r="D272" i="1"/>
  <c r="D249" i="1"/>
  <c r="D237" i="1"/>
  <c r="D216" i="1"/>
  <c r="D186" i="1"/>
  <c r="D161" i="1"/>
  <c r="D147" i="1"/>
  <c r="D118" i="1"/>
  <c r="D99" i="1"/>
  <c r="D70" i="1"/>
  <c r="D54" i="1"/>
  <c r="D12" i="1"/>
  <c r="J899" i="1"/>
  <c r="AU899" i="1" s="1"/>
  <c r="J817" i="1"/>
  <c r="AU817" i="1" s="1"/>
  <c r="J688" i="1"/>
  <c r="AU688" i="1" s="1"/>
  <c r="J596" i="1"/>
  <c r="AU596" i="1" s="1"/>
  <c r="J297" i="1"/>
  <c r="AU297" i="1" s="1"/>
  <c r="J226" i="1"/>
  <c r="AU226" i="1" s="1"/>
  <c r="J138" i="1"/>
  <c r="AU138" i="1" s="1"/>
  <c r="K883" i="1"/>
  <c r="K788" i="1"/>
  <c r="K912" i="1"/>
  <c r="K731" i="1"/>
  <c r="K578" i="1"/>
  <c r="I4" i="1"/>
  <c r="K4" i="1"/>
  <c r="I106" i="1"/>
  <c r="K106" i="1"/>
  <c r="I876" i="1"/>
  <c r="J876" i="1"/>
  <c r="AU876" i="1" s="1"/>
  <c r="I832" i="1"/>
  <c r="J832" i="1"/>
  <c r="AU832" i="1" s="1"/>
  <c r="I812" i="1"/>
  <c r="J812" i="1"/>
  <c r="AU812" i="1" s="1"/>
  <c r="I797" i="1"/>
  <c r="J797" i="1"/>
  <c r="AU797" i="1" s="1"/>
  <c r="I783" i="1"/>
  <c r="J783" i="1"/>
  <c r="AU783" i="1" s="1"/>
  <c r="I762" i="1"/>
  <c r="J762" i="1"/>
  <c r="AU762" i="1" s="1"/>
  <c r="I747" i="1"/>
  <c r="J747" i="1"/>
  <c r="AU747" i="1" s="1"/>
  <c r="I725" i="1"/>
  <c r="J725" i="1"/>
  <c r="AU725" i="1" s="1"/>
  <c r="I663" i="1"/>
  <c r="J663" i="1"/>
  <c r="AU663" i="1" s="1"/>
  <c r="I651" i="1"/>
  <c r="J651" i="1"/>
  <c r="AU651" i="1" s="1"/>
  <c r="I630" i="1"/>
  <c r="J630" i="1"/>
  <c r="AU630" i="1" s="1"/>
  <c r="I617" i="1"/>
  <c r="J617" i="1"/>
  <c r="AU617" i="1" s="1"/>
  <c r="I586" i="1"/>
  <c r="J586" i="1"/>
  <c r="AU586" i="1" s="1"/>
  <c r="I574" i="1"/>
  <c r="J574" i="1"/>
  <c r="AU574" i="1" s="1"/>
  <c r="I556" i="1"/>
  <c r="J556" i="1"/>
  <c r="AU556" i="1" s="1"/>
  <c r="I510" i="1"/>
  <c r="J510" i="1"/>
  <c r="AU510" i="1" s="1"/>
  <c r="I494" i="1"/>
  <c r="J494" i="1"/>
  <c r="AU494" i="1" s="1"/>
  <c r="I482" i="1"/>
  <c r="J482" i="1"/>
  <c r="AU482" i="1" s="1"/>
  <c r="I453" i="1"/>
  <c r="J453" i="1"/>
  <c r="AU453" i="1" s="1"/>
  <c r="I440" i="1"/>
  <c r="J440" i="1"/>
  <c r="AU440" i="1" s="1"/>
  <c r="I427" i="1"/>
  <c r="J427" i="1"/>
  <c r="AU427" i="1" s="1"/>
  <c r="I404" i="1"/>
  <c r="J404" i="1"/>
  <c r="AU404" i="1" s="1"/>
  <c r="I391" i="1"/>
  <c r="J391" i="1"/>
  <c r="AU391" i="1" s="1"/>
  <c r="I373" i="1"/>
  <c r="J373" i="1"/>
  <c r="AU373" i="1" s="1"/>
  <c r="I361" i="1"/>
  <c r="J361" i="1"/>
  <c r="AU361" i="1" s="1"/>
  <c r="I343" i="1"/>
  <c r="J343" i="1"/>
  <c r="AU343" i="1" s="1"/>
  <c r="I335" i="1"/>
  <c r="J335" i="1"/>
  <c r="AU335" i="1" s="1"/>
  <c r="I315" i="1"/>
  <c r="J315" i="1"/>
  <c r="AU315" i="1" s="1"/>
  <c r="I299" i="1"/>
  <c r="J299" i="1"/>
  <c r="AU299" i="1" s="1"/>
  <c r="I263" i="1"/>
  <c r="J263" i="1"/>
  <c r="AU263" i="1" s="1"/>
  <c r="I243" i="1"/>
  <c r="J243" i="1"/>
  <c r="AU243" i="1" s="1"/>
  <c r="I230" i="1"/>
  <c r="J230" i="1"/>
  <c r="AU230" i="1" s="1"/>
  <c r="I211" i="1"/>
  <c r="J211" i="1"/>
  <c r="AU211" i="1" s="1"/>
  <c r="I198" i="1"/>
  <c r="J198" i="1"/>
  <c r="AU198" i="1" s="1"/>
  <c r="I177" i="1"/>
  <c r="J177" i="1"/>
  <c r="AU177" i="1" s="1"/>
  <c r="I169" i="1"/>
  <c r="J169" i="1"/>
  <c r="AU169" i="1" s="1"/>
  <c r="I151" i="1"/>
  <c r="J151" i="1"/>
  <c r="AU151" i="1" s="1"/>
  <c r="I133" i="1"/>
  <c r="J133" i="1"/>
  <c r="AU133" i="1" s="1"/>
  <c r="I119" i="1"/>
  <c r="J119" i="1"/>
  <c r="AU119" i="1" s="1"/>
  <c r="I111" i="1"/>
  <c r="J111" i="1"/>
  <c r="AU111" i="1" s="1"/>
  <c r="I579" i="1"/>
  <c r="J579" i="1"/>
  <c r="AU579" i="1" s="1"/>
  <c r="I76" i="1"/>
  <c r="J76" i="1"/>
  <c r="AU76" i="1" s="1"/>
  <c r="I51" i="1"/>
  <c r="J51" i="1"/>
  <c r="AU51" i="1" s="1"/>
  <c r="J680" i="1"/>
  <c r="AU680" i="1" s="1"/>
  <c r="J552" i="1"/>
  <c r="AU552" i="1" s="1"/>
  <c r="I905" i="1"/>
  <c r="J905" i="1"/>
  <c r="AU905" i="1" s="1"/>
  <c r="I889" i="1"/>
  <c r="J889" i="1"/>
  <c r="AU889" i="1" s="1"/>
  <c r="I885" i="1"/>
  <c r="J885" i="1"/>
  <c r="AU885" i="1" s="1"/>
  <c r="I880" i="1"/>
  <c r="J880" i="1"/>
  <c r="AU880" i="1" s="1"/>
  <c r="I875" i="1"/>
  <c r="J875" i="1"/>
  <c r="AU875" i="1" s="1"/>
  <c r="I865" i="1"/>
  <c r="J865" i="1"/>
  <c r="AU865" i="1" s="1"/>
  <c r="I861" i="1"/>
  <c r="J861" i="1"/>
  <c r="AU861" i="1" s="1"/>
  <c r="I855" i="1"/>
  <c r="J855" i="1"/>
  <c r="AU855" i="1" s="1"/>
  <c r="I850" i="1"/>
  <c r="J850" i="1"/>
  <c r="AU850" i="1" s="1"/>
  <c r="I846" i="1"/>
  <c r="J846" i="1"/>
  <c r="AU846" i="1" s="1"/>
  <c r="I831" i="1"/>
  <c r="J831" i="1"/>
  <c r="AU831" i="1" s="1"/>
  <c r="I785" i="1"/>
  <c r="J785" i="1"/>
  <c r="AU785" i="1" s="1"/>
  <c r="I114" i="1"/>
  <c r="J114" i="1"/>
  <c r="AU114" i="1" s="1"/>
  <c r="I825" i="1"/>
  <c r="J825" i="1"/>
  <c r="AU825" i="1" s="1"/>
  <c r="I811" i="1"/>
  <c r="J811" i="1"/>
  <c r="AU811" i="1" s="1"/>
  <c r="I838" i="1"/>
  <c r="J838" i="1"/>
  <c r="AU838" i="1" s="1"/>
  <c r="I800" i="1"/>
  <c r="J800" i="1"/>
  <c r="AU800" i="1" s="1"/>
  <c r="I796" i="1"/>
  <c r="J796" i="1"/>
  <c r="AU796" i="1" s="1"/>
  <c r="I792" i="1"/>
  <c r="J792" i="1"/>
  <c r="AU792" i="1" s="1"/>
  <c r="I788" i="1"/>
  <c r="J788" i="1"/>
  <c r="AU788" i="1" s="1"/>
  <c r="I782" i="1"/>
  <c r="J782" i="1"/>
  <c r="AU782" i="1" s="1"/>
  <c r="I778" i="1"/>
  <c r="J778" i="1"/>
  <c r="AU778" i="1" s="1"/>
  <c r="I766" i="1"/>
  <c r="J766" i="1"/>
  <c r="AU766" i="1" s="1"/>
  <c r="I756" i="1"/>
  <c r="J756" i="1"/>
  <c r="AU756" i="1" s="1"/>
  <c r="I750" i="1"/>
  <c r="J750" i="1"/>
  <c r="AU750" i="1" s="1"/>
  <c r="I740" i="1"/>
  <c r="J740" i="1"/>
  <c r="AU740" i="1" s="1"/>
  <c r="I737" i="1"/>
  <c r="J737" i="1"/>
  <c r="AU737" i="1" s="1"/>
  <c r="I730" i="1"/>
  <c r="J730" i="1"/>
  <c r="AU730" i="1" s="1"/>
  <c r="I723" i="1"/>
  <c r="J723" i="1"/>
  <c r="AU723" i="1" s="1"/>
  <c r="I719" i="1"/>
  <c r="J719" i="1"/>
  <c r="AU719" i="1" s="1"/>
  <c r="I714" i="1"/>
  <c r="J714" i="1"/>
  <c r="AU714" i="1" s="1"/>
  <c r="I710" i="1"/>
  <c r="J710" i="1"/>
  <c r="AU710" i="1" s="1"/>
  <c r="I698" i="1"/>
  <c r="J698" i="1"/>
  <c r="AU698" i="1" s="1"/>
  <c r="I693" i="1"/>
  <c r="J693" i="1"/>
  <c r="AU693" i="1" s="1"/>
  <c r="I687" i="1"/>
  <c r="J687" i="1"/>
  <c r="AU687" i="1" s="1"/>
  <c r="I683" i="1"/>
  <c r="J683" i="1"/>
  <c r="AU683" i="1" s="1"/>
  <c r="I678" i="1"/>
  <c r="J678" i="1"/>
  <c r="AU678" i="1" s="1"/>
  <c r="I674" i="1"/>
  <c r="J674" i="1"/>
  <c r="AU674" i="1" s="1"/>
  <c r="I666" i="1"/>
  <c r="J666" i="1"/>
  <c r="AU666" i="1" s="1"/>
  <c r="I662" i="1"/>
  <c r="J662" i="1"/>
  <c r="AU662" i="1" s="1"/>
  <c r="I658" i="1"/>
  <c r="J658" i="1"/>
  <c r="AU658" i="1" s="1"/>
  <c r="I650" i="1"/>
  <c r="J650" i="1"/>
  <c r="AU650" i="1" s="1"/>
  <c r="I645" i="1"/>
  <c r="J645" i="1"/>
  <c r="AU645" i="1" s="1"/>
  <c r="I640" i="1"/>
  <c r="J640" i="1"/>
  <c r="AU640" i="1" s="1"/>
  <c r="I634" i="1"/>
  <c r="J634" i="1"/>
  <c r="AU634" i="1" s="1"/>
  <c r="I629" i="1"/>
  <c r="J629" i="1"/>
  <c r="AU629" i="1" s="1"/>
  <c r="I625" i="1"/>
  <c r="J625" i="1"/>
  <c r="AU625" i="1" s="1"/>
  <c r="I620" i="1"/>
  <c r="J620" i="1"/>
  <c r="AU620" i="1" s="1"/>
  <c r="I612" i="1"/>
  <c r="J612" i="1"/>
  <c r="AU612" i="1" s="1"/>
  <c r="I608" i="1"/>
  <c r="J608" i="1"/>
  <c r="AU608" i="1" s="1"/>
  <c r="I826" i="1"/>
  <c r="J826" i="1"/>
  <c r="AU826" i="1" s="1"/>
  <c r="I599" i="1"/>
  <c r="J599" i="1"/>
  <c r="AU599" i="1" s="1"/>
  <c r="I593" i="1"/>
  <c r="J593" i="1"/>
  <c r="AU593" i="1" s="1"/>
  <c r="I585" i="1"/>
  <c r="J585" i="1"/>
  <c r="AU585" i="1" s="1"/>
  <c r="I807" i="1"/>
  <c r="J807" i="1"/>
  <c r="AU807" i="1" s="1"/>
  <c r="I573" i="1"/>
  <c r="J573" i="1"/>
  <c r="AU573" i="1" s="1"/>
  <c r="I567" i="1"/>
  <c r="J567" i="1"/>
  <c r="AU567" i="1" s="1"/>
  <c r="I563" i="1"/>
  <c r="J563" i="1"/>
  <c r="AU563" i="1" s="1"/>
  <c r="I559" i="1"/>
  <c r="J559" i="1"/>
  <c r="AU559" i="1" s="1"/>
  <c r="I555" i="1"/>
  <c r="J555" i="1"/>
  <c r="AU555" i="1" s="1"/>
  <c r="I551" i="1"/>
  <c r="J551" i="1"/>
  <c r="AU551" i="1" s="1"/>
  <c r="I547" i="1"/>
  <c r="J547" i="1"/>
  <c r="AU547" i="1" s="1"/>
  <c r="I542" i="1"/>
  <c r="J542" i="1"/>
  <c r="AU542" i="1" s="1"/>
  <c r="I536" i="1"/>
  <c r="J536" i="1"/>
  <c r="AU536" i="1" s="1"/>
  <c r="I532" i="1"/>
  <c r="J532" i="1"/>
  <c r="AU532" i="1" s="1"/>
  <c r="I527" i="1"/>
  <c r="J527" i="1"/>
  <c r="AU527" i="1" s="1"/>
  <c r="I523" i="1"/>
  <c r="J523" i="1"/>
  <c r="AU523" i="1" s="1"/>
  <c r="I519" i="1"/>
  <c r="J519" i="1"/>
  <c r="AU519" i="1" s="1"/>
  <c r="I515" i="1"/>
  <c r="J515" i="1"/>
  <c r="AU515" i="1" s="1"/>
  <c r="I508" i="1"/>
  <c r="J508" i="1"/>
  <c r="AU508" i="1" s="1"/>
  <c r="I503" i="1"/>
  <c r="J503" i="1"/>
  <c r="AU503" i="1" s="1"/>
  <c r="I759" i="1"/>
  <c r="J759" i="1"/>
  <c r="AU759" i="1" s="1"/>
  <c r="I489" i="1"/>
  <c r="J489" i="1"/>
  <c r="AU489" i="1" s="1"/>
  <c r="I481" i="1"/>
  <c r="J481" i="1"/>
  <c r="AU481" i="1" s="1"/>
  <c r="I473" i="1"/>
  <c r="J473" i="1"/>
  <c r="AU473" i="1" s="1"/>
  <c r="I464" i="1"/>
  <c r="J464" i="1"/>
  <c r="AU464" i="1" s="1"/>
  <c r="I457" i="1"/>
  <c r="J457" i="1"/>
  <c r="AU457" i="1" s="1"/>
  <c r="I452" i="1"/>
  <c r="J452" i="1"/>
  <c r="AU452" i="1" s="1"/>
  <c r="I447" i="1"/>
  <c r="J447" i="1"/>
  <c r="AU447" i="1" s="1"/>
  <c r="I443" i="1"/>
  <c r="J443" i="1"/>
  <c r="AU443" i="1" s="1"/>
  <c r="I439" i="1"/>
  <c r="J439" i="1"/>
  <c r="AU439" i="1" s="1"/>
  <c r="I435" i="1"/>
  <c r="J435" i="1"/>
  <c r="AU435" i="1" s="1"/>
  <c r="I431" i="1"/>
  <c r="J431" i="1"/>
  <c r="AU431" i="1" s="1"/>
  <c r="I426" i="1"/>
  <c r="J426" i="1"/>
  <c r="AU426" i="1" s="1"/>
  <c r="I420" i="1"/>
  <c r="J420" i="1"/>
  <c r="AU420" i="1" s="1"/>
  <c r="I415" i="1"/>
  <c r="J415" i="1"/>
  <c r="AU415" i="1" s="1"/>
  <c r="I409" i="1"/>
  <c r="J409" i="1"/>
  <c r="AU409" i="1" s="1"/>
  <c r="I403" i="1"/>
  <c r="J403" i="1"/>
  <c r="AU403" i="1" s="1"/>
  <c r="I399" i="1"/>
  <c r="J399" i="1"/>
  <c r="AU399" i="1" s="1"/>
  <c r="I395" i="1"/>
  <c r="J395" i="1"/>
  <c r="AU395" i="1" s="1"/>
  <c r="I390" i="1"/>
  <c r="J390" i="1"/>
  <c r="AU390" i="1" s="1"/>
  <c r="I380" i="1"/>
  <c r="J380" i="1"/>
  <c r="AU380" i="1" s="1"/>
  <c r="I376" i="1"/>
  <c r="J376" i="1"/>
  <c r="AU376" i="1" s="1"/>
  <c r="I368" i="1"/>
  <c r="J368" i="1"/>
  <c r="AU368" i="1" s="1"/>
  <c r="I364" i="1"/>
  <c r="J364" i="1"/>
  <c r="AU364" i="1" s="1"/>
  <c r="I360" i="1"/>
  <c r="J360" i="1"/>
  <c r="AU360" i="1" s="1"/>
  <c r="I350" i="1"/>
  <c r="J350" i="1"/>
  <c r="AU350" i="1" s="1"/>
  <c r="I346" i="1"/>
  <c r="J346" i="1"/>
  <c r="AU346" i="1" s="1"/>
  <c r="I342" i="1"/>
  <c r="J342" i="1"/>
  <c r="AU342" i="1" s="1"/>
  <c r="I338" i="1"/>
  <c r="J338" i="1"/>
  <c r="AU338" i="1" s="1"/>
  <c r="I334" i="1"/>
  <c r="J334" i="1"/>
  <c r="AU334" i="1" s="1"/>
  <c r="I330" i="1"/>
  <c r="J330" i="1"/>
  <c r="AU330" i="1" s="1"/>
  <c r="I325" i="1"/>
  <c r="J325" i="1"/>
  <c r="AU325" i="1" s="1"/>
  <c r="I318" i="1"/>
  <c r="J318" i="1"/>
  <c r="AU318" i="1" s="1"/>
  <c r="I312" i="1"/>
  <c r="J312" i="1"/>
  <c r="AU312" i="1" s="1"/>
  <c r="I306" i="1"/>
  <c r="J306" i="1"/>
  <c r="AU306" i="1" s="1"/>
  <c r="I302" i="1"/>
  <c r="J302" i="1"/>
  <c r="AU302" i="1" s="1"/>
  <c r="I298" i="1"/>
  <c r="J298" i="1"/>
  <c r="AU298" i="1" s="1"/>
  <c r="I293" i="1"/>
  <c r="J293" i="1"/>
  <c r="AU293" i="1" s="1"/>
  <c r="I287" i="1"/>
  <c r="J287" i="1"/>
  <c r="AU287" i="1" s="1"/>
  <c r="I280" i="1"/>
  <c r="J280" i="1"/>
  <c r="AU280" i="1" s="1"/>
  <c r="I275" i="1"/>
  <c r="J275" i="1"/>
  <c r="AU275" i="1" s="1"/>
  <c r="I270" i="1"/>
  <c r="J270" i="1"/>
  <c r="AU270" i="1" s="1"/>
  <c r="I266" i="1"/>
  <c r="J266" i="1"/>
  <c r="AU266" i="1" s="1"/>
  <c r="I262" i="1"/>
  <c r="J262" i="1"/>
  <c r="AU262" i="1" s="1"/>
  <c r="I257" i="1"/>
  <c r="J257" i="1"/>
  <c r="AU257" i="1" s="1"/>
  <c r="I251" i="1"/>
  <c r="J251" i="1"/>
  <c r="AU251" i="1" s="1"/>
  <c r="I247" i="1"/>
  <c r="J247" i="1"/>
  <c r="AU247" i="1" s="1"/>
  <c r="I242" i="1"/>
  <c r="J242" i="1"/>
  <c r="AU242" i="1" s="1"/>
  <c r="I237" i="1"/>
  <c r="J237" i="1"/>
  <c r="AU237" i="1" s="1"/>
  <c r="I233" i="1"/>
  <c r="J233" i="1"/>
  <c r="AU233" i="1" s="1"/>
  <c r="I229" i="1"/>
  <c r="J229" i="1"/>
  <c r="AU229" i="1" s="1"/>
  <c r="I224" i="1"/>
  <c r="J224" i="1"/>
  <c r="AU224" i="1" s="1"/>
  <c r="J894" i="1"/>
  <c r="AU894" i="1" s="1"/>
  <c r="J878" i="1"/>
  <c r="AU878" i="1" s="1"/>
  <c r="J867" i="1"/>
  <c r="AU867" i="1" s="1"/>
  <c r="J765" i="1"/>
  <c r="AU765" i="1" s="1"/>
  <c r="J757" i="1"/>
  <c r="AU757" i="1" s="1"/>
  <c r="J746" i="1"/>
  <c r="AU746" i="1" s="1"/>
  <c r="J716" i="1"/>
  <c r="AU716" i="1" s="1"/>
  <c r="J911" i="1"/>
  <c r="AU911" i="1" s="1"/>
  <c r="J659" i="1"/>
  <c r="AU659" i="1" s="1"/>
  <c r="J643" i="1"/>
  <c r="AU643" i="1" s="1"/>
  <c r="J606" i="1"/>
  <c r="AU606" i="1" s="1"/>
  <c r="J594" i="1"/>
  <c r="AU594" i="1" s="1"/>
  <c r="J544" i="1"/>
  <c r="AU544" i="1" s="1"/>
  <c r="J531" i="1"/>
  <c r="AU531" i="1" s="1"/>
  <c r="J477" i="1"/>
  <c r="AU477" i="1" s="1"/>
  <c r="J401" i="1"/>
  <c r="AU401" i="1" s="1"/>
  <c r="J385" i="1"/>
  <c r="AU385" i="1" s="1"/>
  <c r="J44" i="1"/>
  <c r="AU44" i="1" s="1"/>
  <c r="I94" i="1"/>
  <c r="J94" i="1"/>
  <c r="AU94" i="1" s="1"/>
  <c r="I902" i="1"/>
  <c r="J902" i="1"/>
  <c r="AU902" i="1" s="1"/>
  <c r="I886" i="1"/>
  <c r="J886" i="1"/>
  <c r="AU886" i="1" s="1"/>
  <c r="I851" i="1"/>
  <c r="J851" i="1"/>
  <c r="AU851" i="1" s="1"/>
  <c r="I840" i="1"/>
  <c r="J840" i="1"/>
  <c r="AU840" i="1" s="1"/>
  <c r="I822" i="1"/>
  <c r="J822" i="1"/>
  <c r="AU822" i="1" s="1"/>
  <c r="I789" i="1"/>
  <c r="J789" i="1"/>
  <c r="AU789" i="1" s="1"/>
  <c r="I772" i="1"/>
  <c r="J772" i="1"/>
  <c r="AU772" i="1" s="1"/>
  <c r="I605" i="1"/>
  <c r="J605" i="1"/>
  <c r="AU605" i="1" s="1"/>
  <c r="I720" i="1"/>
  <c r="J720" i="1"/>
  <c r="AU720" i="1" s="1"/>
  <c r="I703" i="1"/>
  <c r="J703" i="1"/>
  <c r="AU703" i="1" s="1"/>
  <c r="I671" i="1"/>
  <c r="J671" i="1"/>
  <c r="AU671" i="1" s="1"/>
  <c r="I641" i="1"/>
  <c r="J641" i="1"/>
  <c r="AU641" i="1" s="1"/>
  <c r="I626" i="1"/>
  <c r="J626" i="1"/>
  <c r="AU626" i="1" s="1"/>
  <c r="I609" i="1"/>
  <c r="J609" i="1"/>
  <c r="AU609" i="1" s="1"/>
  <c r="I577" i="1"/>
  <c r="J577" i="1"/>
  <c r="AU577" i="1" s="1"/>
  <c r="I564" i="1"/>
  <c r="J564" i="1"/>
  <c r="AU564" i="1" s="1"/>
  <c r="I548" i="1"/>
  <c r="J548" i="1"/>
  <c r="AU548" i="1" s="1"/>
  <c r="I533" i="1"/>
  <c r="J533" i="1"/>
  <c r="AU533" i="1" s="1"/>
  <c r="I520" i="1"/>
  <c r="J520" i="1"/>
  <c r="AU520" i="1" s="1"/>
  <c r="I500" i="1"/>
  <c r="J500" i="1"/>
  <c r="AU500" i="1" s="1"/>
  <c r="I490" i="1"/>
  <c r="J490" i="1"/>
  <c r="AU490" i="1" s="1"/>
  <c r="I474" i="1"/>
  <c r="J474" i="1"/>
  <c r="AU474" i="1" s="1"/>
  <c r="I466" i="1"/>
  <c r="J466" i="1"/>
  <c r="AU466" i="1" s="1"/>
  <c r="I444" i="1"/>
  <c r="J444" i="1"/>
  <c r="AU444" i="1" s="1"/>
  <c r="I432" i="1"/>
  <c r="J432" i="1"/>
  <c r="AU432" i="1" s="1"/>
  <c r="I410" i="1"/>
  <c r="J410" i="1"/>
  <c r="AU410" i="1" s="1"/>
  <c r="I396" i="1"/>
  <c r="J396" i="1"/>
  <c r="AU396" i="1" s="1"/>
  <c r="I377" i="1"/>
  <c r="J377" i="1"/>
  <c r="AU377" i="1" s="1"/>
  <c r="I365" i="1"/>
  <c r="J365" i="1"/>
  <c r="AU365" i="1" s="1"/>
  <c r="I352" i="1"/>
  <c r="J352" i="1"/>
  <c r="AU352" i="1" s="1"/>
  <c r="I331" i="1"/>
  <c r="J331" i="1"/>
  <c r="AU331" i="1" s="1"/>
  <c r="I308" i="1"/>
  <c r="J308" i="1"/>
  <c r="AU308" i="1" s="1"/>
  <c r="I294" i="1"/>
  <c r="J294" i="1"/>
  <c r="AU294" i="1" s="1"/>
  <c r="I272" i="1"/>
  <c r="J272" i="1"/>
  <c r="AU272" i="1" s="1"/>
  <c r="I258" i="1"/>
  <c r="J258" i="1"/>
  <c r="AU258" i="1" s="1"/>
  <c r="I239" i="1"/>
  <c r="J239" i="1"/>
  <c r="AU239" i="1" s="1"/>
  <c r="I225" i="1"/>
  <c r="J225" i="1"/>
  <c r="AU225" i="1" s="1"/>
  <c r="I207" i="1"/>
  <c r="J207" i="1"/>
  <c r="AU207" i="1" s="1"/>
  <c r="I194" i="1"/>
  <c r="J194" i="1"/>
  <c r="AU194" i="1" s="1"/>
  <c r="I181" i="1"/>
  <c r="J181" i="1"/>
  <c r="AU181" i="1" s="1"/>
  <c r="I164" i="1"/>
  <c r="J164" i="1"/>
  <c r="AU164" i="1" s="1"/>
  <c r="I155" i="1"/>
  <c r="J155" i="1"/>
  <c r="AU155" i="1" s="1"/>
  <c r="I137" i="1"/>
  <c r="J137" i="1"/>
  <c r="AU137" i="1" s="1"/>
  <c r="I123" i="1"/>
  <c r="J123" i="1"/>
  <c r="AU123" i="1" s="1"/>
  <c r="I107" i="1"/>
  <c r="J107" i="1"/>
  <c r="AU107" i="1" s="1"/>
  <c r="I85" i="1"/>
  <c r="J85" i="1"/>
  <c r="AU85" i="1" s="1"/>
  <c r="I414" i="1"/>
  <c r="J414" i="1"/>
  <c r="AU414" i="1" s="1"/>
  <c r="J516" i="1"/>
  <c r="AU516" i="1" s="1"/>
  <c r="I901" i="1"/>
  <c r="J901" i="1"/>
  <c r="AU901" i="1" s="1"/>
  <c r="I893" i="1"/>
  <c r="J893" i="1"/>
  <c r="AU893" i="1" s="1"/>
  <c r="I870" i="1"/>
  <c r="J870" i="1"/>
  <c r="AU870" i="1" s="1"/>
  <c r="I805" i="1"/>
  <c r="J805" i="1"/>
  <c r="AU805" i="1" s="1"/>
  <c r="I700" i="1"/>
  <c r="J700" i="1"/>
  <c r="AU700" i="1" s="1"/>
  <c r="I900" i="1"/>
  <c r="J900" i="1"/>
  <c r="AU900" i="1" s="1"/>
  <c r="I896" i="1"/>
  <c r="J896" i="1"/>
  <c r="AU896" i="1" s="1"/>
  <c r="I892" i="1"/>
  <c r="J892" i="1"/>
  <c r="AU892" i="1" s="1"/>
  <c r="I884" i="1"/>
  <c r="J884" i="1"/>
  <c r="AU884" i="1" s="1"/>
  <c r="I874" i="1"/>
  <c r="J874" i="1"/>
  <c r="AU874" i="1" s="1"/>
  <c r="I869" i="1"/>
  <c r="J869" i="1"/>
  <c r="AU869" i="1" s="1"/>
  <c r="I864" i="1"/>
  <c r="J864" i="1"/>
  <c r="AU864" i="1" s="1"/>
  <c r="I860" i="1"/>
  <c r="J860" i="1"/>
  <c r="AU860" i="1" s="1"/>
  <c r="I854" i="1"/>
  <c r="J854" i="1"/>
  <c r="AU854" i="1" s="1"/>
  <c r="I849" i="1"/>
  <c r="J849" i="1"/>
  <c r="AU849" i="1" s="1"/>
  <c r="I845" i="1"/>
  <c r="J845" i="1"/>
  <c r="AU845" i="1" s="1"/>
  <c r="I842" i="1"/>
  <c r="J842" i="1"/>
  <c r="AU842" i="1" s="1"/>
  <c r="I804" i="1"/>
  <c r="J804" i="1"/>
  <c r="AU804" i="1" s="1"/>
  <c r="I830" i="1"/>
  <c r="J830" i="1"/>
  <c r="AU830" i="1" s="1"/>
  <c r="I824" i="1"/>
  <c r="J824" i="1"/>
  <c r="AU824" i="1" s="1"/>
  <c r="I820" i="1"/>
  <c r="J820" i="1"/>
  <c r="AU820" i="1" s="1"/>
  <c r="I814" i="1"/>
  <c r="J814" i="1"/>
  <c r="AU814" i="1" s="1"/>
  <c r="I809" i="1"/>
  <c r="J809" i="1"/>
  <c r="AU809" i="1" s="1"/>
  <c r="I803" i="1"/>
  <c r="J803" i="1"/>
  <c r="AU803" i="1" s="1"/>
  <c r="I799" i="1"/>
  <c r="J799" i="1"/>
  <c r="AU799" i="1" s="1"/>
  <c r="I791" i="1"/>
  <c r="J791" i="1"/>
  <c r="AU791" i="1" s="1"/>
  <c r="I786" i="1"/>
  <c r="J786" i="1"/>
  <c r="AU786" i="1" s="1"/>
  <c r="I781" i="1"/>
  <c r="J781" i="1"/>
  <c r="AU781" i="1" s="1"/>
  <c r="I777" i="1"/>
  <c r="J777" i="1"/>
  <c r="AU777" i="1" s="1"/>
  <c r="I769" i="1"/>
  <c r="J769" i="1"/>
  <c r="AU769" i="1" s="1"/>
  <c r="I754" i="1"/>
  <c r="J754" i="1"/>
  <c r="AU754" i="1" s="1"/>
  <c r="I749" i="1"/>
  <c r="J749" i="1"/>
  <c r="AU749" i="1" s="1"/>
  <c r="I745" i="1"/>
  <c r="J745" i="1"/>
  <c r="AU745" i="1" s="1"/>
  <c r="I739" i="1"/>
  <c r="J739" i="1"/>
  <c r="AU739" i="1" s="1"/>
  <c r="I718" i="1"/>
  <c r="J718" i="1"/>
  <c r="AU718" i="1" s="1"/>
  <c r="I713" i="1"/>
  <c r="J713" i="1"/>
  <c r="AU713" i="1" s="1"/>
  <c r="I709" i="1"/>
  <c r="J709" i="1"/>
  <c r="AU709" i="1" s="1"/>
  <c r="I705" i="1"/>
  <c r="J705" i="1"/>
  <c r="AU705" i="1" s="1"/>
  <c r="I701" i="1"/>
  <c r="J701" i="1"/>
  <c r="AU701" i="1" s="1"/>
  <c r="I697" i="1"/>
  <c r="J697" i="1"/>
  <c r="AU697" i="1" s="1"/>
  <c r="I692" i="1"/>
  <c r="J692" i="1"/>
  <c r="AU692" i="1" s="1"/>
  <c r="I682" i="1"/>
  <c r="J682" i="1"/>
  <c r="AU682" i="1" s="1"/>
  <c r="I677" i="1"/>
  <c r="J677" i="1"/>
  <c r="AU677" i="1" s="1"/>
  <c r="I673" i="1"/>
  <c r="J673" i="1"/>
  <c r="AU673" i="1" s="1"/>
  <c r="I669" i="1"/>
  <c r="J669" i="1"/>
  <c r="AU669" i="1" s="1"/>
  <c r="I665" i="1"/>
  <c r="J665" i="1"/>
  <c r="AU665" i="1" s="1"/>
  <c r="I661" i="1"/>
  <c r="J661" i="1"/>
  <c r="AU661" i="1" s="1"/>
  <c r="I657" i="1"/>
  <c r="J657" i="1"/>
  <c r="AU657" i="1" s="1"/>
  <c r="I653" i="1"/>
  <c r="J653" i="1"/>
  <c r="AU653" i="1" s="1"/>
  <c r="I649" i="1"/>
  <c r="J649" i="1"/>
  <c r="AU649" i="1" s="1"/>
  <c r="I644" i="1"/>
  <c r="J644" i="1"/>
  <c r="AU644" i="1" s="1"/>
  <c r="I633" i="1"/>
  <c r="J633" i="1"/>
  <c r="AU633" i="1" s="1"/>
  <c r="I628" i="1"/>
  <c r="J628" i="1"/>
  <c r="AU628" i="1" s="1"/>
  <c r="I623" i="1"/>
  <c r="J623" i="1"/>
  <c r="AU623" i="1" s="1"/>
  <c r="I619" i="1"/>
  <c r="J619" i="1"/>
  <c r="AU619" i="1" s="1"/>
  <c r="I615" i="1"/>
  <c r="J615" i="1"/>
  <c r="AU615" i="1" s="1"/>
  <c r="I607" i="1"/>
  <c r="J607" i="1"/>
  <c r="AU607" i="1" s="1"/>
  <c r="I603" i="1"/>
  <c r="J603" i="1"/>
  <c r="AU603" i="1" s="1"/>
  <c r="I592" i="1"/>
  <c r="J592" i="1"/>
  <c r="AU592" i="1" s="1"/>
  <c r="I588" i="1"/>
  <c r="J588" i="1"/>
  <c r="AU588" i="1" s="1"/>
  <c r="I909" i="1"/>
  <c r="J909" i="1"/>
  <c r="AU909" i="1" s="1"/>
  <c r="I575" i="1"/>
  <c r="J575" i="1"/>
  <c r="AU575" i="1" s="1"/>
  <c r="I572" i="1"/>
  <c r="J572" i="1"/>
  <c r="AU572" i="1" s="1"/>
  <c r="I566" i="1"/>
  <c r="J566" i="1"/>
  <c r="AU566" i="1" s="1"/>
  <c r="I562" i="1"/>
  <c r="J562" i="1"/>
  <c r="AU562" i="1" s="1"/>
  <c r="I558" i="1"/>
  <c r="J558" i="1"/>
  <c r="AU558" i="1" s="1"/>
  <c r="I554" i="1"/>
  <c r="J554" i="1"/>
  <c r="AU554" i="1" s="1"/>
  <c r="I550" i="1"/>
  <c r="J550" i="1"/>
  <c r="AU550" i="1" s="1"/>
  <c r="I546" i="1"/>
  <c r="J546" i="1"/>
  <c r="AU546" i="1" s="1"/>
  <c r="I541" i="1"/>
  <c r="J541" i="1"/>
  <c r="AU541" i="1" s="1"/>
  <c r="I535" i="1"/>
  <c r="J535" i="1"/>
  <c r="AU535" i="1" s="1"/>
  <c r="I526" i="1"/>
  <c r="J526" i="1"/>
  <c r="AU526" i="1" s="1"/>
  <c r="I522" i="1"/>
  <c r="J522" i="1"/>
  <c r="AU522" i="1" s="1"/>
  <c r="I518" i="1"/>
  <c r="J518" i="1"/>
  <c r="AU518" i="1" s="1"/>
  <c r="I513" i="1"/>
  <c r="J513" i="1"/>
  <c r="AU513" i="1" s="1"/>
  <c r="I507" i="1"/>
  <c r="J507" i="1"/>
  <c r="AU507" i="1" s="1"/>
  <c r="I502" i="1"/>
  <c r="J502" i="1"/>
  <c r="AU502" i="1" s="1"/>
  <c r="I498" i="1"/>
  <c r="J498" i="1"/>
  <c r="AU498" i="1" s="1"/>
  <c r="I871" i="1"/>
  <c r="J871" i="1"/>
  <c r="AU871" i="1" s="1"/>
  <c r="I492" i="1"/>
  <c r="J492" i="1"/>
  <c r="AU492" i="1" s="1"/>
  <c r="I488" i="1"/>
  <c r="J488" i="1"/>
  <c r="AU488" i="1" s="1"/>
  <c r="I484" i="1"/>
  <c r="J484" i="1"/>
  <c r="AU484" i="1" s="1"/>
  <c r="I480" i="1"/>
  <c r="J480" i="1"/>
  <c r="AU480" i="1" s="1"/>
  <c r="I476" i="1"/>
  <c r="J476" i="1"/>
  <c r="AU476" i="1" s="1"/>
  <c r="I472" i="1"/>
  <c r="J472" i="1"/>
  <c r="AU472" i="1" s="1"/>
  <c r="I468" i="1"/>
  <c r="J468" i="1"/>
  <c r="AU468" i="1" s="1"/>
  <c r="I463" i="1"/>
  <c r="J463" i="1"/>
  <c r="AU463" i="1" s="1"/>
  <c r="I455" i="1"/>
  <c r="J455" i="1"/>
  <c r="AU455" i="1" s="1"/>
  <c r="I451" i="1"/>
  <c r="J451" i="1"/>
  <c r="AU451" i="1" s="1"/>
  <c r="I446" i="1"/>
  <c r="J446" i="1"/>
  <c r="AU446" i="1" s="1"/>
  <c r="I438" i="1"/>
  <c r="J438" i="1"/>
  <c r="AU438" i="1" s="1"/>
  <c r="I430" i="1"/>
  <c r="J430" i="1"/>
  <c r="AU430" i="1" s="1"/>
  <c r="I424" i="1"/>
  <c r="J424" i="1"/>
  <c r="AU424" i="1" s="1"/>
  <c r="I418" i="1"/>
  <c r="J418" i="1"/>
  <c r="AU418" i="1" s="1"/>
  <c r="I412" i="1"/>
  <c r="J412" i="1"/>
  <c r="AU412" i="1" s="1"/>
  <c r="I407" i="1"/>
  <c r="J407" i="1"/>
  <c r="AU407" i="1" s="1"/>
  <c r="I402" i="1"/>
  <c r="J402" i="1"/>
  <c r="AU402" i="1" s="1"/>
  <c r="I398" i="1"/>
  <c r="J398" i="1"/>
  <c r="AU398" i="1" s="1"/>
  <c r="I388" i="1"/>
  <c r="J388" i="1"/>
  <c r="AU388" i="1" s="1"/>
  <c r="I384" i="1"/>
  <c r="J384" i="1"/>
  <c r="AU384" i="1" s="1"/>
  <c r="I379" i="1"/>
  <c r="J379" i="1"/>
  <c r="AU379" i="1" s="1"/>
  <c r="I375" i="1"/>
  <c r="J375" i="1"/>
  <c r="AU375" i="1" s="1"/>
  <c r="I371" i="1"/>
  <c r="J371" i="1"/>
  <c r="AU371" i="1" s="1"/>
  <c r="I367" i="1"/>
  <c r="J367" i="1"/>
  <c r="AU367" i="1" s="1"/>
  <c r="I363" i="1"/>
  <c r="J363" i="1"/>
  <c r="AU363" i="1" s="1"/>
  <c r="I359" i="1"/>
  <c r="J359" i="1"/>
  <c r="AU359" i="1" s="1"/>
  <c r="I355" i="1"/>
  <c r="J355" i="1"/>
  <c r="AU355" i="1" s="1"/>
  <c r="I349" i="1"/>
  <c r="J349" i="1"/>
  <c r="AU349" i="1" s="1"/>
  <c r="I345" i="1"/>
  <c r="J345" i="1"/>
  <c r="AU345" i="1" s="1"/>
  <c r="I341" i="1"/>
  <c r="J341" i="1"/>
  <c r="AU341" i="1" s="1"/>
  <c r="I337" i="1"/>
  <c r="J337" i="1"/>
  <c r="AU337" i="1" s="1"/>
  <c r="I333" i="1"/>
  <c r="J333" i="1"/>
  <c r="AU333" i="1" s="1"/>
  <c r="I329" i="1"/>
  <c r="J329" i="1"/>
  <c r="AU329" i="1" s="1"/>
  <c r="I324" i="1"/>
  <c r="J324" i="1"/>
  <c r="AU324" i="1" s="1"/>
  <c r="I317" i="1"/>
  <c r="J317" i="1"/>
  <c r="AU317" i="1" s="1"/>
  <c r="I310" i="1"/>
  <c r="J310" i="1"/>
  <c r="AU310" i="1" s="1"/>
  <c r="I305" i="1"/>
  <c r="J305" i="1"/>
  <c r="AU305" i="1" s="1"/>
  <c r="I301" i="1"/>
  <c r="J301" i="1"/>
  <c r="AU301" i="1" s="1"/>
  <c r="I292" i="1"/>
  <c r="J292" i="1"/>
  <c r="AU292" i="1" s="1"/>
  <c r="I286" i="1"/>
  <c r="J286" i="1"/>
  <c r="AU286" i="1" s="1"/>
  <c r="I279" i="1"/>
  <c r="J279" i="1"/>
  <c r="AU279" i="1" s="1"/>
  <c r="I274" i="1"/>
  <c r="J274" i="1"/>
  <c r="AU274" i="1" s="1"/>
  <c r="I269" i="1"/>
  <c r="J269" i="1"/>
  <c r="AU269" i="1" s="1"/>
  <c r="I265" i="1"/>
  <c r="J265" i="1"/>
  <c r="AU265" i="1" s="1"/>
  <c r="J888" i="1"/>
  <c r="AU888" i="1" s="1"/>
  <c r="J872" i="1"/>
  <c r="AU872" i="1" s="1"/>
  <c r="J862" i="1"/>
  <c r="AU862" i="1" s="1"/>
  <c r="J848" i="1"/>
  <c r="AU848" i="1" s="1"/>
  <c r="J834" i="1"/>
  <c r="AU834" i="1" s="1"/>
  <c r="J815" i="1"/>
  <c r="AU815" i="1" s="1"/>
  <c r="J801" i="1"/>
  <c r="AU801" i="1" s="1"/>
  <c r="J727" i="1"/>
  <c r="AU727" i="1" s="1"/>
  <c r="J695" i="1"/>
  <c r="AU695" i="1" s="1"/>
  <c r="J675" i="1"/>
  <c r="AU675" i="1" s="1"/>
  <c r="J654" i="1"/>
  <c r="AU654" i="1" s="1"/>
  <c r="J632" i="1"/>
  <c r="AU632" i="1" s="1"/>
  <c r="J622" i="1"/>
  <c r="AU622" i="1" s="1"/>
  <c r="J589" i="1"/>
  <c r="AU589" i="1" s="1"/>
  <c r="J580" i="1"/>
  <c r="AU580" i="1" s="1"/>
  <c r="J568" i="1"/>
  <c r="AU568" i="1" s="1"/>
  <c r="J499" i="1"/>
  <c r="AU499" i="1" s="1"/>
  <c r="J702" i="1"/>
  <c r="AU702" i="1" s="1"/>
  <c r="J442" i="1"/>
  <c r="AU442" i="1" s="1"/>
  <c r="J296" i="1"/>
  <c r="AU296" i="1" s="1"/>
  <c r="I906" i="1"/>
  <c r="J906" i="1"/>
  <c r="AU906" i="1" s="1"/>
  <c r="I898" i="1"/>
  <c r="J898" i="1"/>
  <c r="AU898" i="1" s="1"/>
  <c r="I890" i="1"/>
  <c r="J890" i="1"/>
  <c r="AU890" i="1" s="1"/>
  <c r="I881" i="1"/>
  <c r="J881" i="1"/>
  <c r="AU881" i="1" s="1"/>
  <c r="I866" i="1"/>
  <c r="J866" i="1"/>
  <c r="AU866" i="1" s="1"/>
  <c r="I858" i="1"/>
  <c r="J858" i="1"/>
  <c r="AU858" i="1" s="1"/>
  <c r="I847" i="1"/>
  <c r="J847" i="1"/>
  <c r="AU847" i="1" s="1"/>
  <c r="I835" i="1"/>
  <c r="J835" i="1"/>
  <c r="AU835" i="1" s="1"/>
  <c r="I827" i="1"/>
  <c r="J827" i="1"/>
  <c r="AU827" i="1" s="1"/>
  <c r="I816" i="1"/>
  <c r="J816" i="1"/>
  <c r="AU816" i="1" s="1"/>
  <c r="I793" i="1"/>
  <c r="J793" i="1"/>
  <c r="AU793" i="1" s="1"/>
  <c r="I767" i="1"/>
  <c r="J767" i="1"/>
  <c r="AU767" i="1" s="1"/>
  <c r="I743" i="1"/>
  <c r="J743" i="1"/>
  <c r="AU743" i="1" s="1"/>
  <c r="I733" i="1"/>
  <c r="J733" i="1"/>
  <c r="AU733" i="1" s="1"/>
  <c r="I707" i="1"/>
  <c r="J707" i="1"/>
  <c r="AU707" i="1" s="1"/>
  <c r="I699" i="1"/>
  <c r="J699" i="1"/>
  <c r="AU699" i="1" s="1"/>
  <c r="I684" i="1"/>
  <c r="J684" i="1"/>
  <c r="AU684" i="1" s="1"/>
  <c r="I667" i="1"/>
  <c r="J667" i="1"/>
  <c r="AU667" i="1" s="1"/>
  <c r="I655" i="1"/>
  <c r="J655" i="1"/>
  <c r="AU655" i="1" s="1"/>
  <c r="I646" i="1"/>
  <c r="J646" i="1"/>
  <c r="AU646" i="1" s="1"/>
  <c r="I636" i="1"/>
  <c r="J636" i="1"/>
  <c r="AU636" i="1" s="1"/>
  <c r="I621" i="1"/>
  <c r="J621" i="1"/>
  <c r="AU621" i="1" s="1"/>
  <c r="I613" i="1"/>
  <c r="J613" i="1"/>
  <c r="AU613" i="1" s="1"/>
  <c r="I590" i="1"/>
  <c r="J590" i="1"/>
  <c r="AU590" i="1" s="1"/>
  <c r="I538" i="1"/>
  <c r="J538" i="1"/>
  <c r="AU538" i="1" s="1"/>
  <c r="I528" i="1"/>
  <c r="J528" i="1"/>
  <c r="AU528" i="1" s="1"/>
  <c r="I504" i="1"/>
  <c r="J504" i="1"/>
  <c r="AU504" i="1" s="1"/>
  <c r="I908" i="1"/>
  <c r="J908" i="1"/>
  <c r="AU908" i="1" s="1"/>
  <c r="I486" i="1"/>
  <c r="J486" i="1"/>
  <c r="AU486" i="1" s="1"/>
  <c r="I478" i="1"/>
  <c r="J478" i="1"/>
  <c r="AU478" i="1" s="1"/>
  <c r="I470" i="1"/>
  <c r="J470" i="1"/>
  <c r="AU470" i="1" s="1"/>
  <c r="I458" i="1"/>
  <c r="J458" i="1"/>
  <c r="AU458" i="1" s="1"/>
  <c r="I436" i="1"/>
  <c r="J436" i="1"/>
  <c r="AU436" i="1" s="1"/>
  <c r="I416" i="1"/>
  <c r="J416" i="1"/>
  <c r="AU416" i="1" s="1"/>
  <c r="I400" i="1"/>
  <c r="J400" i="1"/>
  <c r="AU400" i="1" s="1"/>
  <c r="I386" i="1"/>
  <c r="J386" i="1"/>
  <c r="AU386" i="1" s="1"/>
  <c r="I382" i="1"/>
  <c r="J382" i="1"/>
  <c r="AU382" i="1" s="1"/>
  <c r="I369" i="1"/>
  <c r="J369" i="1"/>
  <c r="AU369" i="1" s="1"/>
  <c r="I357" i="1"/>
  <c r="J357" i="1"/>
  <c r="AU357" i="1" s="1"/>
  <c r="I347" i="1"/>
  <c r="J347" i="1"/>
  <c r="AU347" i="1" s="1"/>
  <c r="I339" i="1"/>
  <c r="J339" i="1"/>
  <c r="AU339" i="1" s="1"/>
  <c r="I327" i="1"/>
  <c r="J327" i="1"/>
  <c r="AU327" i="1" s="1"/>
  <c r="I320" i="1"/>
  <c r="J320" i="1"/>
  <c r="AU320" i="1" s="1"/>
  <c r="I303" i="1"/>
  <c r="J303" i="1"/>
  <c r="AU303" i="1" s="1"/>
  <c r="I289" i="1"/>
  <c r="J289" i="1"/>
  <c r="AU289" i="1" s="1"/>
  <c r="I282" i="1"/>
  <c r="J282" i="1"/>
  <c r="AU282" i="1" s="1"/>
  <c r="I267" i="1"/>
  <c r="J267" i="1"/>
  <c r="AU267" i="1" s="1"/>
  <c r="I254" i="1"/>
  <c r="J254" i="1"/>
  <c r="AU254" i="1" s="1"/>
  <c r="I248" i="1"/>
  <c r="J248" i="1"/>
  <c r="AU248" i="1" s="1"/>
  <c r="I234" i="1"/>
  <c r="J234" i="1"/>
  <c r="AU234" i="1" s="1"/>
  <c r="I221" i="1"/>
  <c r="J221" i="1"/>
  <c r="AU221" i="1" s="1"/>
  <c r="I202" i="1"/>
  <c r="J202" i="1"/>
  <c r="AU202" i="1" s="1"/>
  <c r="I190" i="1"/>
  <c r="J190" i="1"/>
  <c r="AU190" i="1" s="1"/>
  <c r="I186" i="1"/>
  <c r="J186" i="1"/>
  <c r="AU186" i="1" s="1"/>
  <c r="I174" i="1"/>
  <c r="J174" i="1"/>
  <c r="AU174" i="1" s="1"/>
  <c r="I160" i="1"/>
  <c r="J160" i="1"/>
  <c r="AU160" i="1" s="1"/>
  <c r="I147" i="1"/>
  <c r="J147" i="1"/>
  <c r="AU147" i="1" s="1"/>
  <c r="I143" i="1"/>
  <c r="J143" i="1"/>
  <c r="AU143" i="1" s="1"/>
  <c r="I127" i="1"/>
  <c r="J127" i="1"/>
  <c r="AU127" i="1" s="1"/>
  <c r="I68" i="1"/>
  <c r="J68" i="1"/>
  <c r="AU68" i="1" s="1"/>
  <c r="I102" i="1"/>
  <c r="J102" i="1"/>
  <c r="AU102" i="1" s="1"/>
  <c r="I93" i="1"/>
  <c r="J93" i="1"/>
  <c r="AU93" i="1" s="1"/>
  <c r="I80" i="1"/>
  <c r="J80" i="1"/>
  <c r="AU80" i="1" s="1"/>
  <c r="I67" i="1"/>
  <c r="J67" i="1"/>
  <c r="AU67" i="1" s="1"/>
  <c r="I60" i="1"/>
  <c r="J60" i="1"/>
  <c r="AU60" i="1" s="1"/>
  <c r="J751" i="1"/>
  <c r="AU751" i="1" s="1"/>
  <c r="J690" i="1"/>
  <c r="AU690" i="1" s="1"/>
  <c r="J449" i="1"/>
  <c r="AU449" i="1" s="1"/>
  <c r="J277" i="1"/>
  <c r="AU277" i="1" s="1"/>
  <c r="I897" i="1"/>
  <c r="J897" i="1"/>
  <c r="AU897" i="1" s="1"/>
  <c r="I21" i="1"/>
  <c r="J21" i="1"/>
  <c r="AU21" i="1" s="1"/>
  <c r="I907" i="1"/>
  <c r="J907" i="1"/>
  <c r="AU907" i="1" s="1"/>
  <c r="I903" i="1"/>
  <c r="J903" i="1"/>
  <c r="AU903" i="1" s="1"/>
  <c r="I895" i="1"/>
  <c r="J895" i="1"/>
  <c r="AU895" i="1" s="1"/>
  <c r="I891" i="1"/>
  <c r="J891" i="1"/>
  <c r="AU891" i="1" s="1"/>
  <c r="I887" i="1"/>
  <c r="J887" i="1"/>
  <c r="AU887" i="1" s="1"/>
  <c r="I882" i="1"/>
  <c r="J882" i="1"/>
  <c r="AU882" i="1" s="1"/>
  <c r="I877" i="1"/>
  <c r="J877" i="1"/>
  <c r="AU877" i="1" s="1"/>
  <c r="I873" i="1"/>
  <c r="J873" i="1"/>
  <c r="AU873" i="1" s="1"/>
  <c r="I863" i="1"/>
  <c r="J863" i="1"/>
  <c r="AU863" i="1" s="1"/>
  <c r="I859" i="1"/>
  <c r="J859" i="1"/>
  <c r="AU859" i="1" s="1"/>
  <c r="I852" i="1"/>
  <c r="J852" i="1"/>
  <c r="AU852" i="1" s="1"/>
  <c r="I844" i="1"/>
  <c r="J844" i="1"/>
  <c r="AU844" i="1" s="1"/>
  <c r="I841" i="1"/>
  <c r="J841" i="1"/>
  <c r="AU841" i="1" s="1"/>
  <c r="I836" i="1"/>
  <c r="J836" i="1"/>
  <c r="AU836" i="1" s="1"/>
  <c r="I833" i="1"/>
  <c r="J833" i="1"/>
  <c r="AU833" i="1" s="1"/>
  <c r="I823" i="1"/>
  <c r="J823" i="1"/>
  <c r="AU823" i="1" s="1"/>
  <c r="I818" i="1"/>
  <c r="J818" i="1"/>
  <c r="AU818" i="1" s="1"/>
  <c r="I813" i="1"/>
  <c r="J813" i="1"/>
  <c r="AU813" i="1" s="1"/>
  <c r="I808" i="1"/>
  <c r="J808" i="1"/>
  <c r="AU808" i="1" s="1"/>
  <c r="I802" i="1"/>
  <c r="J802" i="1"/>
  <c r="AU802" i="1" s="1"/>
  <c r="I798" i="1"/>
  <c r="J798" i="1"/>
  <c r="AU798" i="1" s="1"/>
  <c r="I794" i="1"/>
  <c r="J794" i="1"/>
  <c r="AU794" i="1" s="1"/>
  <c r="I784" i="1"/>
  <c r="J784" i="1"/>
  <c r="AU784" i="1" s="1"/>
  <c r="I780" i="1"/>
  <c r="J780" i="1"/>
  <c r="AU780" i="1" s="1"/>
  <c r="I774" i="1"/>
  <c r="J774" i="1"/>
  <c r="AU774" i="1" s="1"/>
  <c r="I768" i="1"/>
  <c r="J768" i="1"/>
  <c r="AU768" i="1" s="1"/>
  <c r="I763" i="1"/>
  <c r="J763" i="1"/>
  <c r="AU763" i="1" s="1"/>
  <c r="I912" i="1"/>
  <c r="J912" i="1"/>
  <c r="AU912" i="1" s="1"/>
  <c r="I752" i="1"/>
  <c r="J752" i="1"/>
  <c r="AU752" i="1" s="1"/>
  <c r="I748" i="1"/>
  <c r="J748" i="1"/>
  <c r="AU748" i="1" s="1"/>
  <c r="I744" i="1"/>
  <c r="J744" i="1"/>
  <c r="AU744" i="1" s="1"/>
  <c r="I738" i="1"/>
  <c r="J738" i="1"/>
  <c r="AU738" i="1" s="1"/>
  <c r="I734" i="1"/>
  <c r="J734" i="1"/>
  <c r="AU734" i="1" s="1"/>
  <c r="I726" i="1"/>
  <c r="J726" i="1"/>
  <c r="AU726" i="1" s="1"/>
  <c r="I721" i="1"/>
  <c r="J721" i="1"/>
  <c r="AU721" i="1" s="1"/>
  <c r="I717" i="1"/>
  <c r="J717" i="1"/>
  <c r="AU717" i="1" s="1"/>
  <c r="I712" i="1"/>
  <c r="J712" i="1"/>
  <c r="AU712" i="1" s="1"/>
  <c r="I708" i="1"/>
  <c r="J708" i="1"/>
  <c r="AU708" i="1" s="1"/>
  <c r="I704" i="1"/>
  <c r="J704" i="1"/>
  <c r="AU704" i="1" s="1"/>
  <c r="I696" i="1"/>
  <c r="J696" i="1"/>
  <c r="AU696" i="1" s="1"/>
  <c r="I691" i="1"/>
  <c r="J691" i="1"/>
  <c r="AU691" i="1" s="1"/>
  <c r="I685" i="1"/>
  <c r="J685" i="1"/>
  <c r="AU685" i="1" s="1"/>
  <c r="I681" i="1"/>
  <c r="J681" i="1"/>
  <c r="AU681" i="1" s="1"/>
  <c r="I676" i="1"/>
  <c r="J676" i="1"/>
  <c r="AU676" i="1" s="1"/>
  <c r="I672" i="1"/>
  <c r="J672" i="1"/>
  <c r="AU672" i="1" s="1"/>
  <c r="I668" i="1"/>
  <c r="J668" i="1"/>
  <c r="AU668" i="1" s="1"/>
  <c r="I660" i="1"/>
  <c r="J660" i="1"/>
  <c r="AU660" i="1" s="1"/>
  <c r="I656" i="1"/>
  <c r="J656" i="1"/>
  <c r="AU656" i="1" s="1"/>
  <c r="I652" i="1"/>
  <c r="J652" i="1"/>
  <c r="AU652" i="1" s="1"/>
  <c r="I637" i="1"/>
  <c r="J637" i="1"/>
  <c r="AU637" i="1" s="1"/>
  <c r="I618" i="1"/>
  <c r="J618" i="1"/>
  <c r="AU618" i="1" s="1"/>
  <c r="I614" i="1"/>
  <c r="J614" i="1"/>
  <c r="AU614" i="1" s="1"/>
  <c r="I610" i="1"/>
  <c r="J610" i="1"/>
  <c r="AU610" i="1" s="1"/>
  <c r="I602" i="1"/>
  <c r="J602" i="1"/>
  <c r="AU602" i="1" s="1"/>
  <c r="I913" i="1"/>
  <c r="J913" i="1"/>
  <c r="AU913" i="1" s="1"/>
  <c r="I591" i="1"/>
  <c r="J591" i="1"/>
  <c r="AU591" i="1" s="1"/>
  <c r="I587" i="1"/>
  <c r="J587" i="1"/>
  <c r="AU587" i="1" s="1"/>
  <c r="I581" i="1"/>
  <c r="J581" i="1"/>
  <c r="AU581" i="1" s="1"/>
  <c r="I578" i="1"/>
  <c r="J578" i="1"/>
  <c r="AU578" i="1" s="1"/>
  <c r="I570" i="1"/>
  <c r="J570" i="1"/>
  <c r="AU570" i="1" s="1"/>
  <c r="I565" i="1"/>
  <c r="J565" i="1"/>
  <c r="AU565" i="1" s="1"/>
  <c r="I561" i="1"/>
  <c r="J561" i="1"/>
  <c r="AU561" i="1" s="1"/>
  <c r="I557" i="1"/>
  <c r="J557" i="1"/>
  <c r="AU557" i="1" s="1"/>
  <c r="I553" i="1"/>
  <c r="J553" i="1"/>
  <c r="AU553" i="1" s="1"/>
  <c r="I549" i="1"/>
  <c r="J549" i="1"/>
  <c r="AU549" i="1" s="1"/>
  <c r="I545" i="1"/>
  <c r="J545" i="1"/>
  <c r="AU545" i="1" s="1"/>
  <c r="I539" i="1"/>
  <c r="J539" i="1"/>
  <c r="AU539" i="1" s="1"/>
  <c r="I534" i="1"/>
  <c r="J534" i="1"/>
  <c r="AU534" i="1" s="1"/>
  <c r="I530" i="1"/>
  <c r="J530" i="1"/>
  <c r="AU530" i="1" s="1"/>
  <c r="I525" i="1"/>
  <c r="J525" i="1"/>
  <c r="AU525" i="1" s="1"/>
  <c r="I521" i="1"/>
  <c r="J521" i="1"/>
  <c r="AU521" i="1" s="1"/>
  <c r="I517" i="1"/>
  <c r="J517" i="1"/>
  <c r="AU517" i="1" s="1"/>
  <c r="I506" i="1"/>
  <c r="J506" i="1"/>
  <c r="AU506" i="1" s="1"/>
  <c r="I501" i="1"/>
  <c r="J501" i="1"/>
  <c r="AU501" i="1" s="1"/>
  <c r="I497" i="1"/>
  <c r="J497" i="1"/>
  <c r="AU497" i="1" s="1"/>
  <c r="I758" i="1"/>
  <c r="J758" i="1"/>
  <c r="AU758" i="1" s="1"/>
  <c r="I491" i="1"/>
  <c r="J491" i="1"/>
  <c r="AU491" i="1" s="1"/>
  <c r="I487" i="1"/>
  <c r="J487" i="1"/>
  <c r="AU487" i="1" s="1"/>
  <c r="I483" i="1"/>
  <c r="J483" i="1"/>
  <c r="AU483" i="1" s="1"/>
  <c r="I479" i="1"/>
  <c r="J479" i="1"/>
  <c r="AU479" i="1" s="1"/>
  <c r="I475" i="1"/>
  <c r="J475" i="1"/>
  <c r="AU475" i="1" s="1"/>
  <c r="I471" i="1"/>
  <c r="J471" i="1"/>
  <c r="AU471" i="1" s="1"/>
  <c r="I467" i="1"/>
  <c r="J467" i="1"/>
  <c r="AU467" i="1" s="1"/>
  <c r="I460" i="1"/>
  <c r="J460" i="1"/>
  <c r="AU460" i="1" s="1"/>
  <c r="I454" i="1"/>
  <c r="J454" i="1"/>
  <c r="AU454" i="1" s="1"/>
  <c r="I450" i="1"/>
  <c r="J450" i="1"/>
  <c r="AU450" i="1" s="1"/>
  <c r="I445" i="1"/>
  <c r="J445" i="1"/>
  <c r="AU445" i="1" s="1"/>
  <c r="I441" i="1"/>
  <c r="J441" i="1"/>
  <c r="AU441" i="1" s="1"/>
  <c r="I437" i="1"/>
  <c r="J437" i="1"/>
  <c r="AU437" i="1" s="1"/>
  <c r="I433" i="1"/>
  <c r="J433" i="1"/>
  <c r="AU433" i="1" s="1"/>
  <c r="I429" i="1"/>
  <c r="J429" i="1"/>
  <c r="AU429" i="1" s="1"/>
  <c r="I423" i="1"/>
  <c r="J423" i="1"/>
  <c r="AU423" i="1" s="1"/>
  <c r="I417" i="1"/>
  <c r="J417" i="1"/>
  <c r="AU417" i="1" s="1"/>
  <c r="I411" i="1"/>
  <c r="J411" i="1"/>
  <c r="AU411" i="1" s="1"/>
  <c r="I405" i="1"/>
  <c r="J405" i="1"/>
  <c r="AU405" i="1" s="1"/>
  <c r="I397" i="1"/>
  <c r="J397" i="1"/>
  <c r="AU397" i="1" s="1"/>
  <c r="I392" i="1"/>
  <c r="J392" i="1"/>
  <c r="AU392" i="1" s="1"/>
  <c r="I387" i="1"/>
  <c r="J387" i="1"/>
  <c r="AU387" i="1" s="1"/>
  <c r="I383" i="1"/>
  <c r="J383" i="1"/>
  <c r="AU383" i="1" s="1"/>
  <c r="I378" i="1"/>
  <c r="J378" i="1"/>
  <c r="AU378" i="1" s="1"/>
  <c r="I374" i="1"/>
  <c r="J374" i="1"/>
  <c r="AU374" i="1" s="1"/>
  <c r="I370" i="1"/>
  <c r="J370" i="1"/>
  <c r="AU370" i="1" s="1"/>
  <c r="I366" i="1"/>
  <c r="J366" i="1"/>
  <c r="AU366" i="1" s="1"/>
  <c r="I362" i="1"/>
  <c r="J362" i="1"/>
  <c r="AU362" i="1" s="1"/>
  <c r="I358" i="1"/>
  <c r="J358" i="1"/>
  <c r="AU358" i="1" s="1"/>
  <c r="I354" i="1"/>
  <c r="J354" i="1"/>
  <c r="AU354" i="1" s="1"/>
  <c r="I344" i="1"/>
  <c r="J344" i="1"/>
  <c r="AU344" i="1" s="1"/>
  <c r="I340" i="1"/>
  <c r="J340" i="1"/>
  <c r="AU340" i="1" s="1"/>
  <c r="I336" i="1"/>
  <c r="J336" i="1"/>
  <c r="AU336" i="1" s="1"/>
  <c r="I328" i="1"/>
  <c r="J328" i="1"/>
  <c r="AU328" i="1" s="1"/>
  <c r="I322" i="1"/>
  <c r="J322" i="1"/>
  <c r="AU322" i="1" s="1"/>
  <c r="I316" i="1"/>
  <c r="J316" i="1"/>
  <c r="AU316" i="1" s="1"/>
  <c r="I309" i="1"/>
  <c r="J309" i="1"/>
  <c r="AU309" i="1" s="1"/>
  <c r="I304" i="1"/>
  <c r="J304" i="1"/>
  <c r="AU304" i="1" s="1"/>
  <c r="I300" i="1"/>
  <c r="J300" i="1"/>
  <c r="AU300" i="1" s="1"/>
  <c r="I295" i="1"/>
  <c r="J295" i="1"/>
  <c r="AU295" i="1" s="1"/>
  <c r="I290" i="1"/>
  <c r="J290" i="1"/>
  <c r="AU290" i="1" s="1"/>
  <c r="I284" i="1"/>
  <c r="J284" i="1"/>
  <c r="AU284" i="1" s="1"/>
  <c r="I278" i="1"/>
  <c r="J278" i="1"/>
  <c r="AU278" i="1" s="1"/>
  <c r="I273" i="1"/>
  <c r="J273" i="1"/>
  <c r="AU273" i="1" s="1"/>
  <c r="I268" i="1"/>
  <c r="J268" i="1"/>
  <c r="AU268" i="1" s="1"/>
  <c r="I259" i="1"/>
  <c r="J259" i="1"/>
  <c r="AU259" i="1" s="1"/>
  <c r="I255" i="1"/>
  <c r="J255" i="1"/>
  <c r="AU255" i="1" s="1"/>
  <c r="I249" i="1"/>
  <c r="J249" i="1"/>
  <c r="AU249" i="1" s="1"/>
  <c r="I245" i="1"/>
  <c r="J245" i="1"/>
  <c r="AU245" i="1" s="1"/>
  <c r="I240" i="1"/>
  <c r="J240" i="1"/>
  <c r="AU240" i="1" s="1"/>
  <c r="I235" i="1"/>
  <c r="J235" i="1"/>
  <c r="AU235" i="1" s="1"/>
  <c r="I231" i="1"/>
  <c r="J231" i="1"/>
  <c r="AU231" i="1" s="1"/>
  <c r="I227" i="1"/>
  <c r="J227" i="1"/>
  <c r="AU227" i="1" s="1"/>
  <c r="I222" i="1"/>
  <c r="J222" i="1"/>
  <c r="AU222" i="1" s="1"/>
  <c r="I218" i="1"/>
  <c r="J218" i="1"/>
  <c r="AU218" i="1" s="1"/>
  <c r="I213" i="1"/>
  <c r="J213" i="1"/>
  <c r="AU213" i="1" s="1"/>
  <c r="I208" i="1"/>
  <c r="J208" i="1"/>
  <c r="AU208" i="1" s="1"/>
  <c r="I203" i="1"/>
  <c r="J203" i="1"/>
  <c r="AU203" i="1" s="1"/>
  <c r="I199" i="1"/>
  <c r="J199" i="1"/>
  <c r="AU199" i="1" s="1"/>
  <c r="I195" i="1"/>
  <c r="J195" i="1"/>
  <c r="AU195" i="1" s="1"/>
  <c r="I191" i="1"/>
  <c r="J191" i="1"/>
  <c r="AU191" i="1" s="1"/>
  <c r="I187" i="1"/>
  <c r="J187" i="1"/>
  <c r="AU187" i="1" s="1"/>
  <c r="I182" i="1"/>
  <c r="J182" i="1"/>
  <c r="AU182" i="1" s="1"/>
  <c r="I178" i="1"/>
  <c r="J178" i="1"/>
  <c r="AU178" i="1" s="1"/>
  <c r="I175" i="1"/>
  <c r="J175" i="1"/>
  <c r="AU175" i="1" s="1"/>
  <c r="I170" i="1"/>
  <c r="J170" i="1"/>
  <c r="AU170" i="1" s="1"/>
  <c r="I165" i="1"/>
  <c r="J165" i="1"/>
  <c r="AU165" i="1" s="1"/>
  <c r="I161" i="1"/>
  <c r="J161" i="1"/>
  <c r="AU161" i="1" s="1"/>
  <c r="I157" i="1"/>
  <c r="J157" i="1"/>
  <c r="AU157" i="1" s="1"/>
  <c r="I152" i="1"/>
  <c r="J152" i="1"/>
  <c r="AU152" i="1" s="1"/>
  <c r="I148" i="1"/>
  <c r="J148" i="1"/>
  <c r="AU148" i="1" s="1"/>
  <c r="I144" i="1"/>
  <c r="J144" i="1"/>
  <c r="AU144" i="1" s="1"/>
  <c r="I140" i="1"/>
  <c r="J140" i="1"/>
  <c r="AU140" i="1" s="1"/>
  <c r="I134" i="1"/>
  <c r="J134" i="1"/>
  <c r="AU134" i="1" s="1"/>
  <c r="I128" i="1"/>
  <c r="J128" i="1"/>
  <c r="AU128" i="1" s="1"/>
  <c r="I124" i="1"/>
  <c r="J124" i="1"/>
  <c r="AU124" i="1" s="1"/>
  <c r="I120" i="1"/>
  <c r="J120" i="1"/>
  <c r="AU120" i="1" s="1"/>
  <c r="I115" i="1"/>
  <c r="J115" i="1"/>
  <c r="AU115" i="1" s="1"/>
  <c r="I112" i="1"/>
  <c r="J112" i="1"/>
  <c r="AU112" i="1" s="1"/>
  <c r="I108" i="1"/>
  <c r="J108" i="1"/>
  <c r="AU108" i="1" s="1"/>
  <c r="I104" i="1"/>
  <c r="J104" i="1"/>
  <c r="AU104" i="1" s="1"/>
  <c r="I98" i="1"/>
  <c r="J98" i="1"/>
  <c r="AU98" i="1" s="1"/>
  <c r="I86" i="1"/>
  <c r="J86" i="1"/>
  <c r="AU86" i="1" s="1"/>
  <c r="I82" i="1"/>
  <c r="J82" i="1"/>
  <c r="AU82" i="1" s="1"/>
  <c r="I77" i="1"/>
  <c r="J77" i="1"/>
  <c r="AU77" i="1" s="1"/>
  <c r="J72" i="1"/>
  <c r="AU72" i="1" s="1"/>
  <c r="I72" i="1"/>
  <c r="I413" i="1"/>
  <c r="J413" i="1"/>
  <c r="AU413" i="1" s="1"/>
  <c r="I61" i="1"/>
  <c r="J61" i="1"/>
  <c r="AU61" i="1" s="1"/>
  <c r="I56" i="1"/>
  <c r="J56" i="1"/>
  <c r="AU56" i="1" s="1"/>
  <c r="I53" i="1"/>
  <c r="J53" i="1"/>
  <c r="AU53" i="1" s="1"/>
  <c r="I48" i="1"/>
  <c r="J48" i="1"/>
  <c r="AU48" i="1" s="1"/>
  <c r="I40" i="1"/>
  <c r="J40" i="1"/>
  <c r="AU40" i="1" s="1"/>
  <c r="I36" i="1"/>
  <c r="J36" i="1"/>
  <c r="AU36" i="1" s="1"/>
  <c r="I32" i="1"/>
  <c r="J32" i="1"/>
  <c r="AU32" i="1" s="1"/>
  <c r="J787" i="1"/>
  <c r="AU787" i="1" s="1"/>
  <c r="J904" i="1"/>
  <c r="AU904" i="1" s="1"/>
  <c r="J843" i="1"/>
  <c r="AU843" i="1" s="1"/>
  <c r="J89" i="1"/>
  <c r="AU89" i="1" s="1"/>
  <c r="J821" i="1"/>
  <c r="AU821" i="1" s="1"/>
  <c r="J795" i="1"/>
  <c r="AU795" i="1" s="1"/>
  <c r="J779" i="1"/>
  <c r="AU779" i="1" s="1"/>
  <c r="J761" i="1"/>
  <c r="AU761" i="1" s="1"/>
  <c r="J711" i="1"/>
  <c r="AU711" i="1" s="1"/>
  <c r="J686" i="1"/>
  <c r="AU686" i="1" s="1"/>
  <c r="J670" i="1"/>
  <c r="AU670" i="1" s="1"/>
  <c r="J648" i="1"/>
  <c r="AU648" i="1" s="1"/>
  <c r="J616" i="1"/>
  <c r="AU616" i="1" s="1"/>
  <c r="J601" i="1"/>
  <c r="AU601" i="1" s="1"/>
  <c r="J584" i="1"/>
  <c r="AU584" i="1" s="1"/>
  <c r="J806" i="1"/>
  <c r="AU806" i="1" s="1"/>
  <c r="J560" i="1"/>
  <c r="AU560" i="1" s="1"/>
  <c r="J524" i="1"/>
  <c r="AU524" i="1" s="1"/>
  <c r="J511" i="1"/>
  <c r="AU511" i="1" s="1"/>
  <c r="J493" i="1"/>
  <c r="AU493" i="1" s="1"/>
  <c r="J434" i="1"/>
  <c r="AU434" i="1" s="1"/>
  <c r="J421" i="1"/>
  <c r="AU421" i="1" s="1"/>
  <c r="J393" i="1"/>
  <c r="AU393" i="1" s="1"/>
  <c r="J372" i="1"/>
  <c r="AU372" i="1" s="1"/>
  <c r="J348" i="1"/>
  <c r="AU348" i="1" s="1"/>
  <c r="J264" i="1"/>
  <c r="AU264" i="1" s="1"/>
  <c r="J217" i="1"/>
  <c r="AU217" i="1" s="1"/>
  <c r="I47" i="1"/>
  <c r="J47" i="1"/>
  <c r="AU47" i="1" s="1"/>
  <c r="I43" i="1"/>
  <c r="J43" i="1"/>
  <c r="AU43" i="1" s="1"/>
  <c r="J39" i="1"/>
  <c r="AU39" i="1" s="1"/>
  <c r="I39" i="1"/>
  <c r="I35" i="1"/>
  <c r="J35" i="1"/>
  <c r="AU35" i="1" s="1"/>
  <c r="I31" i="1"/>
  <c r="J31" i="1"/>
  <c r="AU31" i="1" s="1"/>
  <c r="I22" i="1"/>
  <c r="J22" i="1"/>
  <c r="AU22" i="1" s="1"/>
  <c r="I17" i="1"/>
  <c r="J17" i="1"/>
  <c r="AU17" i="1" s="1"/>
  <c r="I11" i="1"/>
  <c r="J11" i="1"/>
  <c r="AU11" i="1" s="1"/>
  <c r="I469" i="1"/>
  <c r="J469" i="1"/>
  <c r="AU469" i="1" s="1"/>
  <c r="J261" i="1"/>
  <c r="AU261" i="1" s="1"/>
  <c r="J205" i="1"/>
  <c r="AU205" i="1" s="1"/>
  <c r="J189" i="1"/>
  <c r="AU189" i="1" s="1"/>
  <c r="I216" i="1"/>
  <c r="J216" i="1"/>
  <c r="AU216" i="1" s="1"/>
  <c r="I210" i="1"/>
  <c r="J210" i="1"/>
  <c r="AU210" i="1" s="1"/>
  <c r="I201" i="1"/>
  <c r="J201" i="1"/>
  <c r="AU201" i="1" s="1"/>
  <c r="I193" i="1"/>
  <c r="J193" i="1"/>
  <c r="AU193" i="1" s="1"/>
  <c r="I185" i="1"/>
  <c r="J185" i="1"/>
  <c r="AU185" i="1" s="1"/>
  <c r="I180" i="1"/>
  <c r="J180" i="1"/>
  <c r="AU180" i="1" s="1"/>
  <c r="I172" i="1"/>
  <c r="J172" i="1"/>
  <c r="AU172" i="1" s="1"/>
  <c r="I167" i="1"/>
  <c r="J167" i="1"/>
  <c r="AU167" i="1" s="1"/>
  <c r="I163" i="1"/>
  <c r="J163" i="1"/>
  <c r="AU163" i="1" s="1"/>
  <c r="I159" i="1"/>
  <c r="J159" i="1"/>
  <c r="AU159" i="1" s="1"/>
  <c r="I150" i="1"/>
  <c r="J150" i="1"/>
  <c r="AU150" i="1" s="1"/>
  <c r="I142" i="1"/>
  <c r="J142" i="1"/>
  <c r="AU142" i="1" s="1"/>
  <c r="I136" i="1"/>
  <c r="J136" i="1"/>
  <c r="AU136" i="1" s="1"/>
  <c r="I131" i="1"/>
  <c r="J131" i="1"/>
  <c r="AU131" i="1" s="1"/>
  <c r="I122" i="1"/>
  <c r="J122" i="1"/>
  <c r="AU122" i="1" s="1"/>
  <c r="I110" i="1"/>
  <c r="J110" i="1"/>
  <c r="AU110" i="1" s="1"/>
  <c r="I101" i="1"/>
  <c r="J101" i="1"/>
  <c r="AU101" i="1" s="1"/>
  <c r="I92" i="1"/>
  <c r="J92" i="1"/>
  <c r="AU92" i="1" s="1"/>
  <c r="I84" i="1"/>
  <c r="J84" i="1"/>
  <c r="AU84" i="1" s="1"/>
  <c r="I79" i="1"/>
  <c r="J79" i="1"/>
  <c r="AU79" i="1" s="1"/>
  <c r="I70" i="1"/>
  <c r="J70" i="1"/>
  <c r="AU70" i="1" s="1"/>
  <c r="I54" i="1"/>
  <c r="J54" i="1"/>
  <c r="AU54" i="1" s="1"/>
  <c r="I50" i="1"/>
  <c r="J50" i="1"/>
  <c r="AU50" i="1" s="1"/>
  <c r="I46" i="1"/>
  <c r="J46" i="1"/>
  <c r="AU46" i="1" s="1"/>
  <c r="I42" i="1"/>
  <c r="J42" i="1"/>
  <c r="AU42" i="1" s="1"/>
  <c r="I38" i="1"/>
  <c r="J38" i="1"/>
  <c r="AU38" i="1" s="1"/>
  <c r="I34" i="1"/>
  <c r="J34" i="1"/>
  <c r="AU34" i="1" s="1"/>
  <c r="I30" i="1"/>
  <c r="J30" i="1"/>
  <c r="AU30" i="1" s="1"/>
  <c r="I25" i="1"/>
  <c r="J25" i="1"/>
  <c r="AU25" i="1" s="1"/>
  <c r="I15" i="1"/>
  <c r="J15" i="1"/>
  <c r="AU15" i="1" s="1"/>
  <c r="I10" i="1"/>
  <c r="J10" i="1"/>
  <c r="AU10" i="1" s="1"/>
  <c r="I7" i="1"/>
  <c r="J7" i="1"/>
  <c r="AU7" i="1" s="1"/>
  <c r="I3" i="1"/>
  <c r="J3" i="1"/>
  <c r="AU3" i="1" s="1"/>
  <c r="J200" i="1"/>
  <c r="AU200" i="1" s="1"/>
  <c r="J146" i="1"/>
  <c r="AU146" i="1" s="1"/>
  <c r="J129" i="1"/>
  <c r="AU129" i="1" s="1"/>
  <c r="J106" i="1"/>
  <c r="AU106" i="1" s="1"/>
  <c r="I250" i="1"/>
  <c r="J250" i="1"/>
  <c r="AU250" i="1" s="1"/>
  <c r="I246" i="1"/>
  <c r="J246" i="1"/>
  <c r="AU246" i="1" s="1"/>
  <c r="I241" i="1"/>
  <c r="J241" i="1"/>
  <c r="AU241" i="1" s="1"/>
  <c r="I236" i="1"/>
  <c r="J236" i="1"/>
  <c r="AU236" i="1" s="1"/>
  <c r="I228" i="1"/>
  <c r="J228" i="1"/>
  <c r="AU228" i="1" s="1"/>
  <c r="I223" i="1"/>
  <c r="J223" i="1"/>
  <c r="AU223" i="1" s="1"/>
  <c r="I219" i="1"/>
  <c r="J219" i="1"/>
  <c r="AU219" i="1" s="1"/>
  <c r="I214" i="1"/>
  <c r="J214" i="1"/>
  <c r="AU214" i="1" s="1"/>
  <c r="I209" i="1"/>
  <c r="J209" i="1"/>
  <c r="AU209" i="1" s="1"/>
  <c r="I204" i="1"/>
  <c r="J204" i="1"/>
  <c r="AU204" i="1" s="1"/>
  <c r="I196" i="1"/>
  <c r="J196" i="1"/>
  <c r="AU196" i="1" s="1"/>
  <c r="I188" i="1"/>
  <c r="J188" i="1"/>
  <c r="AU188" i="1" s="1"/>
  <c r="I183" i="1"/>
  <c r="J183" i="1"/>
  <c r="AU183" i="1" s="1"/>
  <c r="I179" i="1"/>
  <c r="J179" i="1"/>
  <c r="AU179" i="1" s="1"/>
  <c r="I176" i="1"/>
  <c r="J176" i="1"/>
  <c r="AU176" i="1" s="1"/>
  <c r="I171" i="1"/>
  <c r="J171" i="1"/>
  <c r="AU171" i="1" s="1"/>
  <c r="I166" i="1"/>
  <c r="J166" i="1"/>
  <c r="AU166" i="1" s="1"/>
  <c r="I158" i="1"/>
  <c r="J158" i="1"/>
  <c r="AU158" i="1" s="1"/>
  <c r="I153" i="1"/>
  <c r="J153" i="1"/>
  <c r="AU153" i="1" s="1"/>
  <c r="I145" i="1"/>
  <c r="J145" i="1"/>
  <c r="AU145" i="1" s="1"/>
  <c r="I135" i="1"/>
  <c r="J135" i="1"/>
  <c r="AU135" i="1" s="1"/>
  <c r="I125" i="1"/>
  <c r="J125" i="1"/>
  <c r="AU125" i="1" s="1"/>
  <c r="I117" i="1"/>
  <c r="J117" i="1"/>
  <c r="AU117" i="1" s="1"/>
  <c r="I113" i="1"/>
  <c r="J113" i="1"/>
  <c r="AU113" i="1" s="1"/>
  <c r="I109" i="1"/>
  <c r="J109" i="1"/>
  <c r="AU109" i="1" s="1"/>
  <c r="I105" i="1"/>
  <c r="J105" i="1"/>
  <c r="AU105" i="1" s="1"/>
  <c r="I91" i="1"/>
  <c r="J91" i="1"/>
  <c r="AU91" i="1" s="1"/>
  <c r="I87" i="1"/>
  <c r="J87" i="1"/>
  <c r="AU87" i="1" s="1"/>
  <c r="I78" i="1"/>
  <c r="J78" i="1"/>
  <c r="AU78" i="1" s="1"/>
  <c r="I73" i="1"/>
  <c r="J73" i="1"/>
  <c r="AU73" i="1" s="1"/>
  <c r="I69" i="1"/>
  <c r="J69" i="1"/>
  <c r="AU69" i="1" s="1"/>
  <c r="I62" i="1"/>
  <c r="J62" i="1"/>
  <c r="AU62" i="1" s="1"/>
  <c r="I57" i="1"/>
  <c r="J57" i="1"/>
  <c r="AU57" i="1" s="1"/>
  <c r="I576" i="1"/>
  <c r="J576" i="1"/>
  <c r="AU576" i="1" s="1"/>
  <c r="I49" i="1"/>
  <c r="J49" i="1"/>
  <c r="AU49" i="1" s="1"/>
  <c r="I41" i="1"/>
  <c r="J41" i="1"/>
  <c r="AU41" i="1" s="1"/>
  <c r="I33" i="1"/>
  <c r="J33" i="1"/>
  <c r="AU33" i="1" s="1"/>
  <c r="I24" i="1"/>
  <c r="J24" i="1"/>
  <c r="AU24" i="1" s="1"/>
  <c r="I13" i="1"/>
  <c r="J13" i="1"/>
  <c r="AU13" i="1" s="1"/>
  <c r="I6" i="1"/>
  <c r="J6" i="1"/>
  <c r="AU6" i="1" s="1"/>
  <c r="J256" i="1"/>
  <c r="AU256" i="1" s="1"/>
  <c r="J220" i="1"/>
  <c r="AU220" i="1" s="1"/>
  <c r="J197" i="1"/>
  <c r="AU197" i="1" s="1"/>
  <c r="J141" i="1"/>
  <c r="AU141" i="1" s="1"/>
  <c r="J126" i="1"/>
  <c r="AU126" i="1" s="1"/>
  <c r="J88" i="1"/>
  <c r="AU88" i="1" s="1"/>
  <c r="J75" i="1"/>
  <c r="AU75" i="1" s="1"/>
  <c r="J59" i="1"/>
  <c r="AU59" i="1" s="1"/>
  <c r="J45" i="1"/>
  <c r="AU45" i="1" s="1"/>
  <c r="I27" i="1"/>
  <c r="J27" i="1"/>
  <c r="AU27" i="1" s="1"/>
  <c r="I19" i="1"/>
  <c r="J19" i="1"/>
  <c r="AU19" i="1" s="1"/>
  <c r="J12" i="1"/>
  <c r="AU12" i="1" s="1"/>
  <c r="J5" i="1"/>
  <c r="AU5" i="1" s="1"/>
  <c r="N252" i="1"/>
  <c r="N300" i="1"/>
  <c r="N270" i="1"/>
  <c r="N389" i="1"/>
  <c r="N744" i="1"/>
  <c r="N176" i="1"/>
  <c r="N597" i="1"/>
  <c r="N513" i="1"/>
  <c r="N161" i="1"/>
  <c r="N752" i="1"/>
  <c r="N598" i="1"/>
  <c r="N254" i="1"/>
  <c r="N419" i="1"/>
  <c r="N797" i="1"/>
  <c r="N425" i="1"/>
  <c r="N310" i="1"/>
  <c r="N269" i="1"/>
  <c r="N229" i="1"/>
  <c r="N675" i="1"/>
  <c r="N259" i="1"/>
  <c r="N455" i="1"/>
  <c r="N462" i="1"/>
  <c r="N452" i="1"/>
  <c r="N745" i="1"/>
  <c r="N85" i="1"/>
  <c r="N345" i="1"/>
  <c r="N386" i="1"/>
  <c r="N778" i="1"/>
  <c r="N346" i="1"/>
  <c r="N720" i="1"/>
  <c r="N50" i="1"/>
  <c r="N638" i="1"/>
  <c r="N385" i="1"/>
  <c r="N255" i="1"/>
  <c r="N471" i="1"/>
  <c r="N180" i="1"/>
  <c r="N362" i="1"/>
  <c r="N696" i="1"/>
  <c r="N210" i="1"/>
  <c r="N378" i="1"/>
  <c r="N343" i="1"/>
  <c r="N398" i="1"/>
  <c r="N795" i="1"/>
  <c r="N271" i="1"/>
  <c r="N217" i="1"/>
  <c r="N15" i="1"/>
  <c r="N246" i="1"/>
  <c r="N280" i="1"/>
  <c r="N468" i="1"/>
  <c r="N125" i="1"/>
  <c r="N803" i="1"/>
  <c r="N143" i="1"/>
  <c r="N363" i="1"/>
  <c r="N553" i="1"/>
  <c r="N615" i="1"/>
  <c r="N660" i="1"/>
  <c r="N437" i="1"/>
  <c r="N48" i="1"/>
  <c r="N301" i="1"/>
  <c r="N251" i="1"/>
  <c r="N241" i="1"/>
  <c r="N139" i="1"/>
  <c r="N367" i="1"/>
  <c r="N27" i="1"/>
  <c r="N422" i="1"/>
  <c r="N142" i="1"/>
  <c r="N743" i="1"/>
  <c r="N478" i="1"/>
  <c r="N347" i="1"/>
  <c r="N130" i="1"/>
  <c r="N730" i="1"/>
  <c r="N580" i="1"/>
  <c r="N56" i="1"/>
  <c r="N552" i="1"/>
  <c r="N518" i="1"/>
  <c r="N731" i="1"/>
  <c r="N368" i="1"/>
  <c r="N708" i="1"/>
  <c r="N678" i="1"/>
  <c r="N774" i="1"/>
  <c r="N273" i="1"/>
  <c r="N542" i="1"/>
  <c r="N267" i="1"/>
  <c r="N364" i="1"/>
  <c r="N330" i="1"/>
  <c r="N261" i="1"/>
  <c r="N230" i="1"/>
  <c r="N265" i="1"/>
  <c r="N106" i="1"/>
  <c r="N305" i="1"/>
  <c r="N605" i="1"/>
  <c r="N523" i="1"/>
  <c r="N459" i="1"/>
  <c r="N231" i="1"/>
  <c r="N201" i="1"/>
  <c r="N751" i="1"/>
  <c r="N193" i="1"/>
  <c r="N711" i="1"/>
  <c r="N28" i="1"/>
  <c r="N445" i="1"/>
  <c r="N763" i="1"/>
  <c r="N218" i="1"/>
  <c r="N671" i="1"/>
  <c r="N483" i="1"/>
  <c r="N472" i="1"/>
  <c r="N223" i="1"/>
  <c r="N67" i="1"/>
  <c r="N365" i="1"/>
  <c r="N283" i="1"/>
  <c r="N735" i="1"/>
  <c r="N355" i="1"/>
  <c r="N651" i="1"/>
  <c r="N10" i="1"/>
  <c r="N60" i="1"/>
  <c r="N324" i="1"/>
  <c r="N426" i="1"/>
  <c r="N502" i="1"/>
  <c r="N62" i="1"/>
  <c r="N339" i="1"/>
  <c r="N203" i="1"/>
  <c r="N274" i="1"/>
  <c r="N732" i="1"/>
  <c r="N392" i="1"/>
  <c r="N4" i="1"/>
  <c r="N253" i="1"/>
  <c r="N680" i="1"/>
  <c r="N772" i="1"/>
  <c r="N702" i="1"/>
  <c r="N412" i="1"/>
  <c r="N247" i="1"/>
  <c r="N31" i="1"/>
  <c r="N779" i="1"/>
  <c r="N369" i="1"/>
  <c r="N26" i="1"/>
  <c r="N673" i="1"/>
  <c r="N738" i="1"/>
  <c r="N493" i="1"/>
  <c r="N748" i="1"/>
  <c r="N17" i="1"/>
  <c r="N479" i="1"/>
  <c r="N185" i="1"/>
  <c r="N105" i="1"/>
  <c r="N55" i="1"/>
  <c r="N107" i="1"/>
  <c r="N199" i="1"/>
  <c r="N571" i="1"/>
  <c r="N698" i="1"/>
  <c r="N423" i="1"/>
  <c r="N494" i="1"/>
  <c r="N35" i="1"/>
  <c r="N86" i="1"/>
  <c r="N226" i="1"/>
  <c r="N206" i="1"/>
  <c r="N770" i="1"/>
  <c r="N61" i="1"/>
  <c r="N464" i="1"/>
  <c r="N550" i="1"/>
  <c r="N359" i="1"/>
  <c r="N312" i="1"/>
  <c r="N470" i="1"/>
  <c r="N791" i="1"/>
  <c r="N692" i="1"/>
  <c r="N91" i="1"/>
  <c r="N768" i="1"/>
  <c r="N760" i="1"/>
  <c r="N813" i="1"/>
  <c r="N506" i="1"/>
  <c r="N728" i="1"/>
  <c r="N814" i="1"/>
  <c r="N764" i="1"/>
  <c r="N753" i="1"/>
  <c r="N514" i="1"/>
  <c r="N703" i="1"/>
  <c r="N150" i="1"/>
  <c r="N777" i="1"/>
  <c r="N32" i="1"/>
  <c r="N543" i="1"/>
  <c r="N187" i="1"/>
  <c r="N329" i="1"/>
  <c r="N96" i="1"/>
  <c r="N294" i="1"/>
  <c r="N761" i="1"/>
  <c r="N354" i="1"/>
  <c r="N645" i="1"/>
  <c r="N118" i="1"/>
  <c r="N162" i="1"/>
  <c r="N248" i="1"/>
  <c r="N589" i="1"/>
  <c r="N601" i="1"/>
  <c r="N591" i="1"/>
  <c r="N582" i="1"/>
  <c r="N357" i="1"/>
  <c r="N408" i="1"/>
  <c r="N220" i="1"/>
  <c r="N465" i="1"/>
  <c r="N688" i="1"/>
  <c r="N20" i="1"/>
  <c r="N554" i="1"/>
  <c r="N194" i="1"/>
  <c r="N399" i="1"/>
  <c r="N652" i="1"/>
  <c r="N695" i="1"/>
  <c r="N551" i="1"/>
  <c r="N113" i="1"/>
  <c r="N684" i="1"/>
  <c r="N583" i="1"/>
  <c r="N815" i="1"/>
  <c r="N239" i="1"/>
  <c r="N816" i="1"/>
  <c r="N817" i="1"/>
  <c r="N818" i="1"/>
  <c r="N819" i="1"/>
  <c r="N820" i="1"/>
  <c r="N166" i="1"/>
  <c r="N99" i="1"/>
  <c r="N82" i="1"/>
  <c r="N786" i="1"/>
  <c r="N555" i="1"/>
  <c r="N516" i="1"/>
  <c r="N212" i="1"/>
  <c r="N92" i="1"/>
  <c r="N446" i="1"/>
  <c r="N821" i="1"/>
  <c r="N505" i="1"/>
  <c r="N758" i="1"/>
  <c r="N302" i="1"/>
  <c r="N567" i="1"/>
  <c r="N237" i="1"/>
  <c r="N144" i="1"/>
  <c r="N655" i="1"/>
  <c r="N178" i="1"/>
  <c r="N151" i="1"/>
  <c r="N618" i="1"/>
  <c r="N351" i="1"/>
  <c r="N51" i="1"/>
  <c r="N57" i="1"/>
  <c r="N822" i="1"/>
  <c r="N295" i="1"/>
  <c r="N394" i="1"/>
  <c r="N323" i="1"/>
  <c r="N418" i="1"/>
  <c r="N628" i="1"/>
  <c r="N490" i="1"/>
  <c r="N697" i="1"/>
  <c r="N823" i="1"/>
  <c r="N824" i="1"/>
  <c r="N154" i="1"/>
  <c r="N825" i="1"/>
  <c r="N44" i="1"/>
  <c r="N440" i="1"/>
  <c r="N71" i="1"/>
  <c r="N561" i="1"/>
  <c r="N648" i="1"/>
  <c r="N314" i="1"/>
  <c r="N432" i="1"/>
  <c r="N481" i="1"/>
  <c r="N370" i="1"/>
  <c r="N712" i="1"/>
  <c r="N430" i="1"/>
  <c r="N827" i="1"/>
  <c r="N771" i="1"/>
  <c r="N828" i="1"/>
  <c r="N607" i="1"/>
  <c r="N704" i="1"/>
  <c r="N168" i="1"/>
  <c r="N381" i="1"/>
  <c r="N590" i="1"/>
  <c r="N612" i="1"/>
  <c r="N829" i="1"/>
  <c r="N784" i="1"/>
  <c r="N395" i="1"/>
  <c r="N420" i="1"/>
  <c r="N89" i="1"/>
  <c r="N830" i="1"/>
  <c r="N126" i="1"/>
  <c r="N63" i="1"/>
  <c r="N95" i="1"/>
  <c r="N619" i="1"/>
  <c r="N530" i="1"/>
  <c r="N303" i="1"/>
  <c r="N114" i="1"/>
  <c r="N694" i="1"/>
  <c r="N331" i="1"/>
  <c r="N832" i="1"/>
  <c r="N281" i="1"/>
  <c r="N723" i="1"/>
  <c r="N80" i="1"/>
  <c r="N158" i="1"/>
  <c r="N224" i="1"/>
  <c r="N639" i="1"/>
  <c r="N733" i="1"/>
  <c r="N155" i="1"/>
  <c r="N520" i="1"/>
  <c r="N234" i="1"/>
  <c r="N679" i="1"/>
  <c r="N649" i="1"/>
  <c r="N604" i="1"/>
  <c r="N366" i="1"/>
  <c r="N460" i="1"/>
  <c r="N373" i="1"/>
  <c r="N138" i="1"/>
  <c r="N613" i="1"/>
  <c r="N620" i="1"/>
  <c r="N221" i="1"/>
  <c r="N189" i="1"/>
  <c r="N148" i="1"/>
  <c r="N507" i="1"/>
  <c r="N672" i="1"/>
  <c r="N637" i="1"/>
  <c r="N833" i="1"/>
  <c r="N236" i="1"/>
  <c r="N146" i="1"/>
  <c r="N834" i="1"/>
  <c r="N616" i="1"/>
  <c r="N785" i="1"/>
  <c r="N233" i="1"/>
  <c r="N65" i="1"/>
  <c r="N746" i="1"/>
  <c r="N145" i="1"/>
  <c r="N288" i="1"/>
  <c r="N134" i="1"/>
  <c r="N835" i="1"/>
  <c r="N379" i="1"/>
  <c r="N77" i="1"/>
  <c r="N699" i="1"/>
  <c r="N836" i="1"/>
  <c r="N689" i="1"/>
  <c r="N257" i="1"/>
  <c r="N614" i="1"/>
  <c r="N594" i="1"/>
  <c r="N837" i="1"/>
  <c r="N401" i="1"/>
  <c r="N609" i="1"/>
  <c r="N641" i="1"/>
  <c r="N315" i="1"/>
  <c r="N804" i="1"/>
  <c r="N100" i="1"/>
  <c r="N282" i="1"/>
  <c r="N407" i="1"/>
  <c r="N508" i="1"/>
  <c r="N18" i="1"/>
  <c r="N756" i="1"/>
  <c r="N693" i="1"/>
  <c r="N535" i="1"/>
  <c r="N93" i="1"/>
  <c r="N317" i="1"/>
  <c r="N690" i="1"/>
  <c r="N396" i="1"/>
  <c r="N45" i="1"/>
  <c r="N775" i="1"/>
  <c r="N9" i="1"/>
  <c r="N603" i="1"/>
  <c r="N724" i="1"/>
  <c r="N510" i="1"/>
  <c r="N427" i="1"/>
  <c r="N163" i="1"/>
  <c r="N653" i="1"/>
  <c r="N456" i="1"/>
  <c r="N757" i="1"/>
  <c r="N289" i="1"/>
  <c r="N211" i="1"/>
  <c r="N556" i="1"/>
  <c r="N290" i="1"/>
  <c r="N664" i="1"/>
  <c r="N839" i="1"/>
  <c r="N207" i="1"/>
  <c r="N450" i="1"/>
  <c r="N97" i="1"/>
  <c r="N663" i="1"/>
  <c r="N461" i="1"/>
  <c r="N840" i="1"/>
  <c r="N22" i="1"/>
  <c r="N725" i="1"/>
  <c r="N806" i="1"/>
  <c r="N519" i="1"/>
  <c r="N431" i="1"/>
  <c r="N429" i="1"/>
  <c r="N826" i="1"/>
  <c r="N602" i="1"/>
  <c r="N841" i="1"/>
  <c r="N127" i="1"/>
  <c r="N766" i="1"/>
  <c r="N524" i="1"/>
  <c r="N656" i="1"/>
  <c r="N98" i="1"/>
  <c r="N646" i="1"/>
  <c r="N808" i="1"/>
  <c r="N715" i="1"/>
  <c r="N165" i="1"/>
  <c r="N123" i="1"/>
  <c r="N374" i="1"/>
  <c r="N501" i="1"/>
  <c r="N842" i="1"/>
  <c r="N291" i="1"/>
  <c r="N121" i="1"/>
  <c r="N196" i="1"/>
  <c r="N577" i="1"/>
  <c r="N632" i="1"/>
  <c r="N249" i="1"/>
  <c r="N831" i="1"/>
  <c r="N625" i="1"/>
  <c r="N533" i="1"/>
  <c r="N103" i="1"/>
  <c r="N843" i="1"/>
  <c r="N33" i="1"/>
  <c r="N844" i="1"/>
  <c r="N515" i="1"/>
  <c r="N164" i="1"/>
  <c r="N441" i="1"/>
  <c r="N498" i="1"/>
  <c r="N135" i="1"/>
  <c r="N736" i="1"/>
  <c r="N23" i="1"/>
  <c r="N721" i="1"/>
  <c r="N297" i="1"/>
  <c r="N845" i="1"/>
  <c r="N442" i="1"/>
  <c r="N846" i="1"/>
  <c r="N313" i="1"/>
  <c r="N773" i="1"/>
  <c r="N544" i="1"/>
  <c r="N847" i="1"/>
  <c r="N534" i="1"/>
  <c r="N413" i="1"/>
  <c r="N848" i="1"/>
  <c r="N326" i="1"/>
  <c r="N227" i="1"/>
  <c r="N584" i="1"/>
  <c r="N541" i="1"/>
  <c r="N521" i="1"/>
  <c r="N299" i="1"/>
  <c r="N52" i="1"/>
  <c r="N849" i="1"/>
  <c r="N850" i="1"/>
  <c r="N801" i="1"/>
  <c r="N573" i="1"/>
  <c r="N209" i="1"/>
  <c r="N64" i="1"/>
  <c r="N592" i="1"/>
  <c r="N659" i="1"/>
  <c r="N39" i="1"/>
  <c r="N335" i="1"/>
  <c r="N447" i="1"/>
  <c r="N122" i="1"/>
  <c r="N719" i="1"/>
  <c r="N306" i="1"/>
  <c r="N765" i="1"/>
  <c r="N716" i="1"/>
  <c r="N851" i="1"/>
  <c r="N197" i="1"/>
  <c r="N811" i="1"/>
  <c r="N108" i="1"/>
  <c r="N159" i="1"/>
  <c r="N527" i="1"/>
  <c r="N547" i="1"/>
  <c r="N245" i="1"/>
  <c r="N69" i="1"/>
  <c r="N124" i="1"/>
  <c r="N53" i="1"/>
  <c r="N852" i="1"/>
  <c r="N780" i="1"/>
  <c r="N853" i="1"/>
  <c r="N854" i="1"/>
  <c r="N491" i="1"/>
  <c r="N537" i="1"/>
  <c r="N34" i="1"/>
  <c r="N3" i="1"/>
  <c r="N287" i="1"/>
  <c r="N444" i="1"/>
  <c r="N16" i="1"/>
  <c r="N260" i="1"/>
  <c r="N58" i="1"/>
  <c r="N84" i="1"/>
  <c r="N380" i="1"/>
  <c r="N190" i="1"/>
  <c r="N434" i="1"/>
  <c r="N238" i="1"/>
  <c r="N855" i="1"/>
  <c r="N308" i="1"/>
  <c r="N75" i="1"/>
  <c r="N438" i="1"/>
  <c r="N624" i="1"/>
  <c r="N856" i="1"/>
  <c r="N424" i="1"/>
  <c r="N428" i="1"/>
  <c r="N458" i="1"/>
  <c r="N642" i="1"/>
  <c r="N635" i="1"/>
  <c r="N352" i="1"/>
  <c r="N49" i="1"/>
  <c r="N319" i="1"/>
  <c r="N587" i="1"/>
  <c r="N657" i="1"/>
  <c r="N499" i="1"/>
  <c r="N382" i="1"/>
  <c r="N307" i="1"/>
  <c r="N662" i="1"/>
  <c r="N298" i="1"/>
  <c r="N754" i="1"/>
  <c r="N421" i="1"/>
  <c r="N857" i="1"/>
  <c r="N276" i="1"/>
  <c r="N469" i="1"/>
  <c r="N327" i="1"/>
  <c r="N497" i="1"/>
  <c r="N375" i="1"/>
  <c r="N415" i="1"/>
  <c r="N578" i="1"/>
  <c r="N115" i="1"/>
  <c r="N595" i="1"/>
  <c r="N858" i="1"/>
  <c r="N859" i="1"/>
  <c r="N480" i="1"/>
  <c r="N654" i="1"/>
  <c r="N383" i="1"/>
  <c r="N802" i="1"/>
  <c r="N860" i="1"/>
  <c r="N606" i="1"/>
  <c r="N588" i="1"/>
  <c r="N661" i="1"/>
  <c r="N243" i="1"/>
  <c r="N548" i="1"/>
  <c r="N861" i="1"/>
  <c r="N119" i="1"/>
  <c r="N393" i="1"/>
  <c r="N862" i="1"/>
  <c r="N681" i="1"/>
  <c r="N782" i="1"/>
  <c r="N340" i="1"/>
  <c r="N46" i="1"/>
  <c r="N863" i="1"/>
  <c r="N263" i="1"/>
  <c r="N788" i="1"/>
  <c r="N293" i="1"/>
  <c r="N864" i="1"/>
  <c r="N172" i="1"/>
  <c r="N568" i="1"/>
  <c r="N24" i="1"/>
  <c r="N325" i="1"/>
  <c r="N565" i="1"/>
  <c r="N78" i="1"/>
  <c r="N665" i="1"/>
  <c r="N865" i="1"/>
  <c r="N242" i="1"/>
  <c r="N466" i="1"/>
  <c r="N866" i="1"/>
  <c r="N722" i="1"/>
  <c r="N169" i="1"/>
  <c r="N181" i="1"/>
  <c r="N838" i="1"/>
  <c r="N266" i="1"/>
  <c r="N79" i="1"/>
  <c r="N463" i="1"/>
  <c r="N867" i="1"/>
  <c r="N349" i="1"/>
  <c r="N482" i="1"/>
  <c r="N222" i="1"/>
  <c r="N157" i="1"/>
  <c r="N750" i="1"/>
  <c r="N781" i="1"/>
  <c r="N13" i="1"/>
  <c r="N674" i="1"/>
  <c r="N160" i="1"/>
  <c r="N195" i="1"/>
  <c r="N348" i="1"/>
  <c r="N709" i="1"/>
  <c r="N277" i="1"/>
  <c r="N47" i="1"/>
  <c r="N19" i="1"/>
  <c r="N713" i="1"/>
  <c r="N729" i="1"/>
  <c r="N871" i="1"/>
  <c r="N36" i="1"/>
  <c r="N868" i="1"/>
  <c r="N70" i="1"/>
  <c r="N538" i="1"/>
  <c r="N66" i="1"/>
  <c r="N869" i="1"/>
  <c r="N72" i="1"/>
  <c r="N213" i="1"/>
  <c r="N529" i="1"/>
  <c r="N714" i="1"/>
  <c r="N353" i="1"/>
  <c r="N81" i="1"/>
  <c r="N129" i="1"/>
  <c r="N643" i="1"/>
  <c r="N574" i="1"/>
  <c r="N691" i="1"/>
  <c r="N539" i="1"/>
  <c r="N403" i="1"/>
  <c r="N182" i="1"/>
  <c r="N73" i="1"/>
  <c r="N87" i="1"/>
  <c r="N870" i="1"/>
  <c r="N322" i="1"/>
  <c r="N800" i="1"/>
  <c r="N132" i="1"/>
  <c r="N666" i="1"/>
  <c r="N495" i="1"/>
  <c r="N286" i="1"/>
  <c r="N528" i="1"/>
  <c r="N29" i="1"/>
  <c r="N360" i="1"/>
  <c r="N522" i="1"/>
  <c r="N484" i="1"/>
  <c r="N669" i="1"/>
  <c r="N512" i="1"/>
  <c r="N503" i="1"/>
  <c r="N214" i="1"/>
  <c r="N443" i="1"/>
  <c r="N173" i="1"/>
  <c r="N667" i="1"/>
  <c r="N562" i="1"/>
  <c r="N337" i="1"/>
  <c r="N59" i="1"/>
  <c r="N336" i="1"/>
  <c r="N284" i="1"/>
  <c r="N872" i="1"/>
  <c r="N256" i="1"/>
  <c r="N873" i="1"/>
  <c r="N285" i="1"/>
  <c r="N390" i="1"/>
  <c r="N467" i="1"/>
  <c r="N272" i="1"/>
  <c r="N874" i="1"/>
  <c r="N875" i="1"/>
  <c r="N621" i="1"/>
  <c r="N876" i="1"/>
  <c r="N789" i="1"/>
  <c r="N794" i="1"/>
  <c r="N131" i="1"/>
  <c r="N133" i="1"/>
  <c r="N909" i="1"/>
  <c r="N877" i="1"/>
  <c r="N799" i="1"/>
  <c r="N174" i="1"/>
  <c r="N332" i="1"/>
  <c r="N177" i="1"/>
  <c r="N30" i="1"/>
  <c r="N878" i="1"/>
  <c r="N449" i="1"/>
  <c r="N566" i="1"/>
  <c r="N879" i="1"/>
  <c r="N41" i="1"/>
  <c r="N569" i="1"/>
  <c r="N5" i="1"/>
  <c r="N880" i="1"/>
  <c r="N433" i="1"/>
  <c r="N141" i="1"/>
  <c r="N718" i="1"/>
  <c r="N881" i="1"/>
  <c r="N705" i="1"/>
  <c r="N882" i="1"/>
  <c r="N559" i="1"/>
  <c r="N812" i="1"/>
  <c r="N883" i="1"/>
  <c r="N156" i="1"/>
  <c r="N668" i="1"/>
  <c r="N633" i="1"/>
  <c r="N457" i="1"/>
  <c r="N884" i="1"/>
  <c r="N170" i="1"/>
  <c r="N12" i="1"/>
  <c r="N42" i="1"/>
  <c r="N405" i="1"/>
  <c r="N448" i="1"/>
  <c r="N215" i="1"/>
  <c r="N599" i="1"/>
  <c r="N885" i="1"/>
  <c r="N109" i="1"/>
  <c r="N474" i="1"/>
  <c r="N104" i="1"/>
  <c r="N304" i="1"/>
  <c r="N500" i="1"/>
  <c r="N171" i="1"/>
  <c r="N629" i="1"/>
  <c r="N910" i="1"/>
  <c r="N219" i="1"/>
  <c r="N387" i="1"/>
  <c r="N726" i="1"/>
  <c r="N183" i="1"/>
  <c r="N128" i="1"/>
  <c r="N485" i="1"/>
  <c r="N685" i="1"/>
  <c r="N687" i="1"/>
  <c r="N783" i="1"/>
  <c r="N111" i="1"/>
  <c r="N792" i="1"/>
  <c r="N517" i="1"/>
  <c r="N338" i="1"/>
  <c r="N376" i="1"/>
  <c r="N416" i="1"/>
  <c r="N790" i="1"/>
  <c r="N558" i="1"/>
  <c r="N911" i="1"/>
  <c r="N232" i="1"/>
  <c r="N769" i="1"/>
  <c r="N435" i="1"/>
  <c r="N318" i="1"/>
  <c r="N202" i="1"/>
  <c r="N321" i="1"/>
  <c r="N147" i="1"/>
  <c r="N475" i="1"/>
  <c r="N358" i="1"/>
  <c r="N496" i="1"/>
  <c r="N311" i="1"/>
  <c r="N225" i="1"/>
  <c r="N647" i="1"/>
  <c r="N886" i="1"/>
  <c r="N453" i="1"/>
  <c r="N406" i="1"/>
  <c r="N476" i="1"/>
  <c r="N576" i="1"/>
  <c r="N626" i="1"/>
  <c r="N546" i="1"/>
  <c r="N734" i="1"/>
  <c r="N739" i="1"/>
  <c r="N798" i="1"/>
  <c r="N309" i="1"/>
  <c r="N912" i="1"/>
  <c r="N244" i="1"/>
  <c r="N640" i="1"/>
  <c r="N341" i="1"/>
  <c r="N636" i="1"/>
  <c r="N333" i="1"/>
  <c r="N593" i="1"/>
  <c r="N14" i="1"/>
  <c r="N350" i="1"/>
  <c r="N6" i="1"/>
  <c r="N913" i="1"/>
  <c r="N887" i="1"/>
  <c r="N101" i="1"/>
  <c r="N391" i="1"/>
  <c r="N216" i="1"/>
  <c r="N292" i="1"/>
  <c r="N278" i="1"/>
  <c r="N404" i="1"/>
  <c r="N54" i="1"/>
  <c r="N509" i="1"/>
  <c r="N400" i="1"/>
  <c r="N120" i="1"/>
  <c r="N888" i="1"/>
  <c r="N889" i="1"/>
  <c r="N809" i="1"/>
  <c r="N727" i="1"/>
  <c r="N361" i="1"/>
  <c r="N436" i="1"/>
  <c r="N149" i="1"/>
  <c r="N184" i="1"/>
  <c r="N102" i="1"/>
  <c r="N486" i="1"/>
  <c r="N682" i="1"/>
  <c r="N110" i="1"/>
  <c r="N279" i="1"/>
  <c r="N563" i="1"/>
  <c r="N686" i="1"/>
  <c r="N890" i="1"/>
  <c r="N701" i="1"/>
  <c r="N152" i="1"/>
  <c r="N250" i="1"/>
  <c r="N296" i="1"/>
  <c r="N741" i="1"/>
  <c r="N2" i="1"/>
  <c r="N737" i="1"/>
  <c r="N575" i="1"/>
  <c r="N658" i="1"/>
  <c r="N320" i="1"/>
  <c r="N153" i="1"/>
  <c r="N557" i="1"/>
  <c r="N371" i="1"/>
  <c r="N891" i="1"/>
  <c r="N240" i="1"/>
  <c r="N892" i="1"/>
  <c r="N511" i="1"/>
  <c r="N710" i="1"/>
  <c r="N136" i="1"/>
  <c r="N631" i="1"/>
  <c r="N40" i="1"/>
  <c r="N893" i="1"/>
  <c r="N894" i="1"/>
  <c r="N268" i="1"/>
  <c r="N37" i="1"/>
  <c r="N540" i="1"/>
  <c r="N200" i="1"/>
  <c r="N570" i="1"/>
  <c r="N175" i="1"/>
  <c r="N630" i="1"/>
  <c r="N316" i="1"/>
  <c r="N264" i="1"/>
  <c r="N531" i="1"/>
  <c r="N186" i="1"/>
  <c r="N334" i="1"/>
  <c r="N622" i="1"/>
  <c r="N179" i="1"/>
  <c r="N644" i="1"/>
  <c r="N262" i="1"/>
  <c r="N895" i="1"/>
  <c r="N140" i="1"/>
  <c r="N670" i="1"/>
  <c r="N344" i="1"/>
  <c r="N83" i="1"/>
  <c r="N793" i="1"/>
  <c r="N504" i="1"/>
  <c r="N409" i="1"/>
  <c r="N762" i="1"/>
  <c r="N564" i="1"/>
  <c r="N377" i="1"/>
  <c r="N492" i="1"/>
  <c r="N747" i="1"/>
  <c r="N650" i="1"/>
  <c r="N88" i="1"/>
  <c r="N411" i="1"/>
  <c r="N208" i="1"/>
  <c r="N623" i="1"/>
  <c r="N706" i="1"/>
  <c r="N7" i="1"/>
  <c r="N896" i="1"/>
  <c r="N560" i="1"/>
  <c r="N328" i="1"/>
  <c r="N897" i="1"/>
  <c r="N487" i="1"/>
  <c r="N235" i="1"/>
  <c r="N410" i="1"/>
  <c r="N439" i="1"/>
  <c r="N545" i="1"/>
  <c r="N581" i="1"/>
  <c r="N717" i="1"/>
  <c r="N388" i="1"/>
  <c r="N796" i="1"/>
  <c r="N898" i="1"/>
  <c r="N676" i="1"/>
  <c r="N525" i="1"/>
  <c r="N608" i="1"/>
  <c r="N191" i="1"/>
  <c r="N356" i="1"/>
  <c r="N899" i="1"/>
  <c r="N417" i="1"/>
  <c r="N776" i="1"/>
  <c r="N526" i="1"/>
  <c r="N900" i="1"/>
  <c r="N767" i="1"/>
  <c r="N488" i="1"/>
  <c r="N116" i="1"/>
  <c r="N683" i="1"/>
  <c r="N454" i="1"/>
  <c r="N76" i="1"/>
  <c r="N137" i="1"/>
  <c r="N600" i="1"/>
  <c r="N610" i="1"/>
  <c r="N579" i="1"/>
  <c r="N228" i="1"/>
  <c r="N112" i="1"/>
  <c r="N117" i="1"/>
  <c r="N596" i="1"/>
  <c r="N901" i="1"/>
  <c r="N258" i="1"/>
  <c r="N204" i="1"/>
  <c r="N192" i="1"/>
  <c r="N43" i="1"/>
  <c r="N902" i="1"/>
  <c r="N38" i="1"/>
  <c r="N532" i="1"/>
  <c r="N549" i="1"/>
  <c r="N634" i="1"/>
  <c r="N749" i="1"/>
  <c r="N489" i="1"/>
  <c r="N903" i="1"/>
  <c r="N384" i="1"/>
  <c r="N572" i="1"/>
  <c r="N617" i="1"/>
  <c r="N627" i="1"/>
  <c r="N904" i="1"/>
  <c r="N11" i="1"/>
  <c r="N473" i="1"/>
  <c r="N677" i="1"/>
  <c r="N275" i="1"/>
  <c r="N905" i="1"/>
  <c r="N740" i="1"/>
  <c r="N25" i="1"/>
  <c r="N742" i="1"/>
  <c r="N90" i="1"/>
  <c r="N397" i="1"/>
  <c r="N477" i="1"/>
  <c r="N586" i="1"/>
  <c r="N451" i="1"/>
  <c r="N8" i="1"/>
  <c r="N585" i="1"/>
  <c r="N205" i="1"/>
  <c r="N707" i="1"/>
  <c r="N536" i="1"/>
  <c r="N167" i="1"/>
  <c r="N342" i="1"/>
  <c r="N810" i="1"/>
  <c r="N198" i="1"/>
  <c r="N74" i="1"/>
  <c r="N372" i="1"/>
  <c r="N906" i="1"/>
  <c r="N907" i="1"/>
  <c r="N188" i="1"/>
  <c r="N611" i="1"/>
  <c r="N402" i="1"/>
  <c r="N700" i="1"/>
  <c r="N807" i="1"/>
  <c r="N759" i="1"/>
  <c r="N787" i="1"/>
  <c r="N755" i="1"/>
  <c r="N414" i="1"/>
  <c r="N908" i="1"/>
  <c r="N68" i="1"/>
  <c r="N94" i="1"/>
  <c r="N21" i="1"/>
  <c r="N805" i="1"/>
</calcChain>
</file>

<file path=xl/sharedStrings.xml><?xml version="1.0" encoding="utf-8"?>
<sst xmlns="http://schemas.openxmlformats.org/spreadsheetml/2006/main" count="13723" uniqueCount="4116">
  <si>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</si>
  <si>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</si>
  <si>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</si>
  <si>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</si>
  <si>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</si>
  <si>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</si>
  <si>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</si>
  <si>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</si>
  <si>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</si>
  <si>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</si>
  <si>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</si>
  <si>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</si>
  <si>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</si>
  <si>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</si>
  <si>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</si>
  <si>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</si>
  <si>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</si>
  <si>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</si>
  <si>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</si>
  <si>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</si>
  <si>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</si>
  <si>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</si>
  <si>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</si>
  <si>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</si>
  <si>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</si>
  <si>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</si>
  <si>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</si>
  <si>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</si>
  <si>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</si>
  <si>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</si>
  <si>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</si>
  <si>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</si>
  <si>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</si>
  <si>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</si>
  <si>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</si>
  <si>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</si>
  <si>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</si>
  <si>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</si>
  <si>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</si>
  <si>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</si>
  <si>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</si>
  <si>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</si>
  <si>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</si>
  <si>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</si>
  <si>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</si>
  <si>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</si>
  <si>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</si>
  <si>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</si>
  <si>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</si>
  <si>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</si>
  <si>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</si>
  <si>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</si>
  <si>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</si>
  <si>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</si>
  <si>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</si>
  <si>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</si>
  <si>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</si>
  <si>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</si>
  <si>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</si>
  <si>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</si>
  <si>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</si>
  <si>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</si>
  <si>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</si>
  <si>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</si>
  <si>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</si>
  <si>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</si>
  <si>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</si>
  <si>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</si>
  <si>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</si>
  <si>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</si>
  <si>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</si>
  <si>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</si>
  <si>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</si>
  <si>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</si>
  <si>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</si>
  <si>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</si>
  <si>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</si>
  <si>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</si>
  <si>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</si>
  <si>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</si>
  <si>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</si>
  <si>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</si>
  <si>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</si>
  <si>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</si>
  <si>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</si>
  <si>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</si>
  <si>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</si>
  <si>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</si>
  <si>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</si>
  <si>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</si>
  <si>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</si>
  <si>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</si>
  <si>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</si>
  <si>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</si>
  <si>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</si>
  <si>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</si>
  <si>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</si>
  <si>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</si>
  <si>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</si>
  <si>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</si>
  <si>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</si>
  <si>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</si>
  <si>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</si>
  <si>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</si>
  <si>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</si>
  <si>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</si>
  <si>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</si>
  <si>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</si>
  <si>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</si>
  <si>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</si>
  <si>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</si>
  <si>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</si>
  <si>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</si>
  <si>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</si>
  <si>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</si>
  <si>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</si>
  <si>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</si>
  <si>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</si>
  <si>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</si>
  <si>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</si>
  <si>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</si>
  <si>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</si>
  <si>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</si>
  <si>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</si>
  <si>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</si>
  <si>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</si>
  <si>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</si>
  <si>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</si>
  <si>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</si>
  <si>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</si>
  <si>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</si>
  <si>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</si>
  <si>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</si>
  <si>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</si>
  <si>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</si>
  <si>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</si>
  <si>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</si>
  <si>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</si>
  <si>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</si>
  <si>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</si>
  <si>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</si>
  <si>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</si>
  <si>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</si>
  <si>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</si>
  <si>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</si>
  <si>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</si>
  <si>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</si>
  <si>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</si>
  <si>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</si>
  <si>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</si>
  <si>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</si>
  <si>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</si>
  <si>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</si>
  <si>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</si>
  <si>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</si>
  <si>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</si>
  <si>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</si>
  <si>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</si>
  <si>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</si>
  <si>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</si>
  <si>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</si>
  <si>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</si>
  <si>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</si>
  <si>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</si>
  <si>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</si>
  <si>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</si>
  <si>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</si>
  <si>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</si>
  <si>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</si>
  <si>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</si>
  <si>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</si>
  <si>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</si>
  <si>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</si>
  <si>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</si>
  <si>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</si>
  <si>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</si>
  <si>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</si>
  <si>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</si>
  <si>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</si>
  <si>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</si>
  <si>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</si>
  <si>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</si>
  <si>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</si>
  <si>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</si>
  <si>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</si>
  <si>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</si>
  <si>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</si>
  <si>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</si>
  <si>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</si>
  <si>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</si>
  <si>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</si>
  <si>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</si>
  <si>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</si>
  <si>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</si>
  <si>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</si>
  <si>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</si>
  <si>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</si>
  <si>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</si>
  <si>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</si>
  <si>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</si>
  <si>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</si>
  <si>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</si>
  <si>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</si>
  <si>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</si>
  <si>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</si>
  <si>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</si>
  <si>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</si>
  <si>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</si>
  <si>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</si>
  <si>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</si>
  <si>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</si>
  <si>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</si>
  <si>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</si>
  <si>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</si>
  <si>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</si>
  <si>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</si>
  <si>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</si>
  <si>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</si>
  <si>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</si>
  <si>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</si>
  <si>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</si>
  <si>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</si>
  <si>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</si>
  <si>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</si>
  <si>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</si>
  <si>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</si>
  <si>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</si>
  <si>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</si>
  <si>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</si>
  <si>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</si>
  <si>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</si>
  <si>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</si>
  <si>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</si>
  <si>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</si>
  <si>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</si>
  <si>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</si>
  <si>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</si>
  <si>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</si>
  <si>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</si>
  <si>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</si>
  <si>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</si>
  <si>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</si>
  <si>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</si>
  <si>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</si>
  <si>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</si>
  <si>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</si>
  <si>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</si>
  <si>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</si>
  <si>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</si>
  <si>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</si>
  <si>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</si>
  <si>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</si>
  <si>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</si>
  <si>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</si>
  <si>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</si>
  <si>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</si>
  <si>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</si>
  <si>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</si>
  <si>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</si>
  <si>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</si>
  <si>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</si>
  <si>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</si>
  <si>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</si>
  <si>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</si>
  <si>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</si>
  <si>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</si>
  <si>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</si>
  <si>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</si>
  <si>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</si>
  <si>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</si>
  <si>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</si>
  <si>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</si>
  <si>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</si>
  <si>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</si>
  <si>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</si>
  <si>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</si>
  <si>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</si>
  <si>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</si>
  <si>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</si>
  <si>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</si>
  <si>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</si>
  <si>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</si>
  <si>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</si>
  <si>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</si>
  <si>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</si>
  <si>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</si>
  <si>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</si>
  <si>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</si>
  <si>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</si>
  <si>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</si>
  <si>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</si>
  <si>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</si>
  <si>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</si>
  <si>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</si>
  <si>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</si>
  <si>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</si>
  <si>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</si>
  <si>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</si>
  <si>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</si>
  <si>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</si>
  <si>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</si>
  <si>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</si>
  <si>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</si>
  <si>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</si>
  <si>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</si>
  <si>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</si>
  <si>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</si>
  <si>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</si>
  <si>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</si>
  <si>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</si>
  <si>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</si>
  <si>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</si>
  <si>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</si>
  <si>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</si>
  <si>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</si>
  <si>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</si>
  <si>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</si>
  <si>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</si>
  <si>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</si>
  <si>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</si>
  <si>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</si>
  <si>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</si>
  <si>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</si>
  <si>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</si>
  <si>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</si>
  <si>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</si>
  <si>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</si>
  <si>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</si>
  <si>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</si>
  <si>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</si>
  <si>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</si>
  <si>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</si>
  <si>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</si>
  <si>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</si>
  <si>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</si>
  <si>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</si>
  <si>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</si>
  <si>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</si>
  <si>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</si>
  <si>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</si>
  <si>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</si>
  <si>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</si>
  <si>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</si>
  <si>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</si>
  <si>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</si>
  <si>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</si>
  <si>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</si>
  <si>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</si>
  <si>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</si>
  <si>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</si>
  <si>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</si>
  <si>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</si>
  <si>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</si>
  <si>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</si>
  <si>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</si>
  <si>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</si>
  <si>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</si>
  <si>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</si>
  <si>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</si>
  <si>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</si>
  <si>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</si>
  <si>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</si>
  <si>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</si>
  <si>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</si>
  <si>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</si>
  <si>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</si>
  <si>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</si>
  <si>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</si>
  <si>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</si>
  <si>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</si>
  <si>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</si>
  <si>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</si>
  <si>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</si>
  <si>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</si>
  <si>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</si>
  <si>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</si>
  <si>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</si>
  <si>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</si>
  <si>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</si>
  <si>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</si>
  <si>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</si>
  <si>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</si>
  <si>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</si>
  <si>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</si>
  <si>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</si>
  <si>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</si>
  <si>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</si>
  <si>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</si>
  <si>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</si>
  <si>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</si>
  <si>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</si>
  <si>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</si>
  <si>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</si>
  <si>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</si>
  <si>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</si>
  <si>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</si>
  <si>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</si>
  <si>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</si>
  <si>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</si>
  <si>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</si>
  <si>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</si>
  <si>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</si>
  <si>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</si>
  <si>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</si>
  <si>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</si>
  <si>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</si>
  <si>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</si>
  <si>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</si>
  <si>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</si>
  <si>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</si>
  <si>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</si>
  <si>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</si>
  <si>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</si>
  <si>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</si>
  <si>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</si>
  <si>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</si>
  <si>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</si>
  <si>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</si>
  <si>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</si>
  <si>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</si>
  <si>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</si>
  <si>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</si>
  <si>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</si>
  <si>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</si>
  <si>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</si>
  <si>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</si>
  <si>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</si>
  <si>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</si>
  <si>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</si>
  <si>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</si>
  <si>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</si>
  <si>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</si>
  <si>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</si>
  <si>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</si>
  <si>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</si>
  <si>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</si>
  <si>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</si>
  <si>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</si>
  <si>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</si>
  <si>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</si>
  <si>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</si>
  <si>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</si>
  <si>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</si>
  <si>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</si>
  <si>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</si>
  <si>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</si>
  <si>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</si>
  <si>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</si>
  <si>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</si>
  <si>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</si>
  <si>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</si>
  <si>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</si>
  <si>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</si>
  <si>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</si>
  <si>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</si>
  <si>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</si>
  <si>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</si>
  <si>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</si>
  <si>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</si>
  <si>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</si>
  <si>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</si>
  <si>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</si>
  <si>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</si>
  <si>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</si>
  <si>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</si>
  <si>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</si>
  <si>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</si>
  <si>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</si>
  <si>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</si>
  <si>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</si>
  <si>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</si>
  <si>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</si>
  <si>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</si>
  <si>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</si>
  <si>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</si>
  <si>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</si>
  <si>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</si>
  <si>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</si>
  <si>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</si>
  <si>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</si>
  <si>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</si>
  <si>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</si>
  <si>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</si>
  <si>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</si>
  <si>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</si>
  <si>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</si>
  <si>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</si>
  <si>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</si>
  <si>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</si>
  <si>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</si>
  <si>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</si>
  <si>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</si>
  <si>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</si>
  <si>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</si>
  <si>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</si>
  <si>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</si>
  <si>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</si>
  <si>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</si>
  <si>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</si>
  <si>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</si>
  <si>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</si>
  <si>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</si>
  <si>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</si>
  <si>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</si>
  <si>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</si>
  <si>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</si>
  <si>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</si>
  <si>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</si>
  <si>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</si>
  <si>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</si>
  <si>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</si>
  <si>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</si>
  <si>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</si>
  <si>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</si>
  <si>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</si>
  <si>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</si>
  <si>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</si>
  <si>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</si>
  <si>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</si>
  <si>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</si>
  <si>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</si>
  <si>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</si>
  <si>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</si>
  <si>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</si>
  <si>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</si>
  <si>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</si>
  <si>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</si>
  <si>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</si>
  <si>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</si>
  <si>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</si>
  <si>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</si>
  <si>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</si>
  <si>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</si>
  <si>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</si>
  <si>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</si>
  <si>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</si>
  <si>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</si>
  <si>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</si>
  <si>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</si>
  <si>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</si>
  <si>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</si>
  <si>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</si>
  <si>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</si>
  <si>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</si>
  <si>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</si>
  <si>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</si>
  <si>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</si>
  <si>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</si>
  <si>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</si>
  <si>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</si>
  <si>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</si>
  <si>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</si>
  <si>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</si>
  <si>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</si>
  <si>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</si>
  <si>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</si>
  <si>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</si>
  <si>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</si>
  <si>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</si>
  <si>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</si>
  <si>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</si>
  <si>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</si>
  <si>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</si>
  <si>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</si>
  <si>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</si>
  <si>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</si>
  <si>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</si>
  <si>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</si>
  <si>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</si>
  <si>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</si>
  <si>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</si>
  <si>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</si>
  <si>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</si>
  <si>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</si>
  <si>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</si>
  <si>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</si>
  <si>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</si>
  <si>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</si>
  <si>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</si>
  <si>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</si>
  <si>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</si>
  <si>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</si>
  <si>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</si>
  <si>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</si>
  <si>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</si>
  <si>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</si>
  <si>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</si>
  <si>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</si>
  <si>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</si>
  <si>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</si>
  <si>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</si>
  <si>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</si>
  <si>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</si>
  <si>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</si>
  <si>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</si>
  <si>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</si>
  <si>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</si>
  <si>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</si>
  <si>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</si>
  <si>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</si>
  <si>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</si>
  <si>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</si>
  <si>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</si>
  <si>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</si>
  <si>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</si>
  <si>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</si>
  <si>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</si>
  <si>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</si>
  <si>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</si>
  <si>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</si>
  <si>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</si>
  <si>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</si>
  <si>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</si>
  <si>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</si>
  <si>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</si>
  <si>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</si>
  <si>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</si>
  <si>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</si>
  <si>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</si>
  <si>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</si>
  <si>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</si>
  <si>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</si>
  <si>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</si>
  <si>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</si>
  <si>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</si>
  <si>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</si>
  <si>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</si>
  <si>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</si>
  <si>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</si>
  <si>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</si>
  <si>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</si>
  <si>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</si>
  <si>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</si>
  <si>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</si>
  <si>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</si>
  <si>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</si>
  <si>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</si>
  <si>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</si>
  <si>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</si>
  <si>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</si>
  <si>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</si>
  <si>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</si>
  <si>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</si>
  <si>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</si>
  <si>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</si>
  <si>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</si>
  <si>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</si>
  <si>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</si>
  <si>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</si>
  <si>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</si>
  <si>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</si>
  <si>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</si>
  <si>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</si>
  <si>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</si>
  <si>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</si>
  <si>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</si>
  <si>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</si>
  <si>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</si>
  <si>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</si>
  <si>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</si>
  <si>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</si>
  <si>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</si>
  <si>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</si>
  <si>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</si>
  <si>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</si>
  <si>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</si>
  <si>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</si>
  <si>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</si>
  <si>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</si>
  <si>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</si>
  <si>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</si>
  <si>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</si>
  <si>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</si>
  <si>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</si>
  <si>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</si>
  <si>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</si>
  <si>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</si>
  <si>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</si>
  <si>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</si>
  <si>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</si>
  <si>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</si>
  <si>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</si>
  <si>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</si>
  <si>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</si>
  <si>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</si>
  <si>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</si>
  <si>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</si>
  <si>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</si>
  <si>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</si>
  <si>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</si>
  <si>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</si>
  <si>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</si>
  <si>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</si>
  <si>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</si>
  <si>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</si>
  <si>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</si>
  <si>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</si>
  <si>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</si>
  <si>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</si>
  <si>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</si>
  <si>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</si>
  <si>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</si>
  <si>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</si>
  <si>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</si>
  <si>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</si>
  <si>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</si>
  <si>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</si>
  <si>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</si>
  <si>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</si>
  <si>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</si>
  <si>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</si>
  <si>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</si>
  <si>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</si>
  <si>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</si>
  <si>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</si>
  <si>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</si>
  <si>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</si>
  <si>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</si>
  <si>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</si>
  <si>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</si>
  <si>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</si>
  <si>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</si>
  <si>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</si>
  <si>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</si>
  <si>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</si>
  <si>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</si>
  <si>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</si>
  <si>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</si>
  <si>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</si>
  <si>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</si>
  <si>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</si>
  <si>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</si>
  <si>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</si>
  <si>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</si>
  <si>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</si>
  <si>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</si>
  <si>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</si>
  <si>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</si>
  <si>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</si>
  <si>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</si>
  <si>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</si>
  <si>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</si>
  <si>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</si>
  <si>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</si>
  <si>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</si>
  <si>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</si>
  <si>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</si>
  <si>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</si>
  <si>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</si>
  <si>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</si>
  <si>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</si>
  <si>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</si>
  <si>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</si>
  <si>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</si>
  <si>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</si>
  <si>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</si>
  <si>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</si>
  <si>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</si>
  <si>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</si>
  <si>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</si>
  <si>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</si>
  <si>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</si>
  <si>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</si>
  <si>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</si>
  <si>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</si>
  <si>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</si>
  <si>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</si>
  <si>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</si>
  <si>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</si>
  <si>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</si>
  <si>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</si>
  <si>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</si>
  <si>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</si>
  <si>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</si>
  <si>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</si>
  <si>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</si>
  <si>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</si>
  <si>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</si>
  <si>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</si>
  <si>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</si>
  <si>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</si>
  <si>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</si>
  <si>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</si>
  <si>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</si>
  <si>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</si>
  <si>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</si>
  <si>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</si>
  <si>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</si>
  <si>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</si>
  <si>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</si>
  <si>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</si>
  <si>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</si>
  <si>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</si>
  <si>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</si>
  <si>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</si>
  <si>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</si>
  <si>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</si>
  <si>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</si>
  <si>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</si>
  <si>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</si>
  <si>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</si>
  <si>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</si>
  <si>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</si>
  <si>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</si>
  <si>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</si>
  <si>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</si>
  <si>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</si>
  <si>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</si>
  <si>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</si>
  <si>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</si>
  <si>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</si>
  <si>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</si>
  <si>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</si>
  <si>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</si>
  <si>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</si>
  <si>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</si>
  <si>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</si>
  <si>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</si>
  <si>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</si>
  <si>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</si>
  <si>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</si>
  <si>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</si>
  <si>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</si>
  <si>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</si>
  <si>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</si>
  <si>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</si>
  <si>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</si>
  <si>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</si>
  <si>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</si>
  <si>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</si>
  <si>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</si>
  <si>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</si>
  <si>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</si>
  <si>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</si>
  <si>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</si>
  <si>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</si>
  <si>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</si>
  <si>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</si>
  <si>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</si>
  <si>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</si>
  <si>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</si>
  <si>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</si>
  <si>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</si>
  <si>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</si>
  <si>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</si>
  <si>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</si>
  <si>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</si>
  <si>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</si>
  <si>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</si>
  <si>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</si>
  <si>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</si>
  <si>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</si>
  <si>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</si>
  <si>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</si>
  <si>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</si>
  <si>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</si>
  <si>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</si>
  <si>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</si>
  <si>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</si>
  <si>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</si>
  <si>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</si>
  <si>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</si>
  <si>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</si>
  <si>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</si>
  <si>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</si>
  <si>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</si>
  <si>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</si>
  <si>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</si>
  <si>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</si>
  <si>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</si>
  <si>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</si>
  <si>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</si>
  <si>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</si>
  <si>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</si>
  <si>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</si>
  <si>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</si>
  <si>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</si>
  <si>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</si>
  <si>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</si>
  <si>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</si>
  <si>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</si>
  <si>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</si>
  <si>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</si>
  <si>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</si>
  <si>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</si>
  <si>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</si>
  <si>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</si>
  <si>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</si>
  <si>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</si>
  <si>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</si>
  <si>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</si>
  <si>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</si>
  <si>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</si>
  <si>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</si>
  <si>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</si>
  <si>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</si>
  <si>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</si>
  <si>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</si>
  <si>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</si>
  <si>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</si>
  <si>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</si>
  <si>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</si>
  <si>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</si>
  <si>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</si>
  <si>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</si>
  <si>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</si>
  <si>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</si>
  <si>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</si>
  <si>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</si>
  <si>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</si>
  <si>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</si>
  <si>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</si>
  <si>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</si>
  <si>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</si>
  <si>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</si>
  <si>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</si>
  <si>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</si>
  <si>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</si>
  <si>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</si>
  <si>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</si>
  <si>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</si>
  <si>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</si>
  <si>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</si>
  <si>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</si>
  <si>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</si>
  <si>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</si>
  <si>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</si>
  <si>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</si>
  <si>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</si>
  <si>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</si>
  <si>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</si>
  <si>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</si>
  <si>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</si>
  <si>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</si>
  <si>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</si>
  <si>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</si>
  <si>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</si>
  <si>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</si>
  <si>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</si>
  <si>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</si>
  <si>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</si>
  <si>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</si>
  <si>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</si>
  <si>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</si>
  <si>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</si>
  <si>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</si>
  <si>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</si>
  <si>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</si>
  <si>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</si>
  <si>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</si>
  <si>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</si>
  <si>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</si>
  <si>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</si>
  <si>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</si>
  <si>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</si>
  <si>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</si>
  <si>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</si>
  <si>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</si>
  <si>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</si>
  <si>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</si>
  <si>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</si>
  <si>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</si>
  <si>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</si>
  <si>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</si>
  <si>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</si>
  <si>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</si>
  <si>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</si>
  <si>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</si>
  <si>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</si>
  <si>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</si>
  <si>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</si>
  <si>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</si>
  <si>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</si>
  <si>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</si>
  <si>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</si>
  <si>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</si>
  <si>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</si>
  <si>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</si>
  <si>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</si>
  <si>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</si>
  <si>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</si>
  <si>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</si>
  <si>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</si>
  <si>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</si>
  <si>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</si>
  <si>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</si>
  <si>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</si>
  <si>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</si>
  <si>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</si>
  <si>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</si>
  <si>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</si>
  <si>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</si>
  <si>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</si>
  <si>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</si>
  <si>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</si>
  <si>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</si>
  <si>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</si>
  <si>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</si>
  <si>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</si>
  <si>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</si>
  <si>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</si>
  <si>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</si>
  <si>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</si>
  <si>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</si>
  <si>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</si>
  <si>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</si>
  <si>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</si>
  <si>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</si>
  <si>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</si>
  <si>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</si>
  <si>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</si>
  <si>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</si>
  <si>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</si>
  <si>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</si>
  <si>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</si>
  <si>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</si>
  <si>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</si>
  <si>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</si>
  <si>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</si>
  <si>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</si>
  <si>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</si>
  <si>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</si>
  <si>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</si>
  <si>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</si>
  <si>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</si>
  <si>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</si>
  <si>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</si>
  <si>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</si>
  <si>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</si>
  <si>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</si>
  <si>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</si>
  <si>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</si>
  <si>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</si>
  <si>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</si>
  <si>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</si>
  <si>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</si>
  <si>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</si>
  <si>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</si>
  <si>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</si>
  <si>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</si>
  <si>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</si>
  <si>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</si>
  <si>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</si>
  <si>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</si>
  <si>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</si>
  <si>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</si>
  <si>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</si>
  <si>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</si>
  <si>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</si>
  <si>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</si>
  <si>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</si>
  <si>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</si>
  <si>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</si>
  <si>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</si>
  <si>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</si>
  <si>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</si>
  <si>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</si>
  <si>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</si>
  <si>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</si>
  <si>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</si>
  <si>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</si>
  <si>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</si>
  <si>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</si>
  <si>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</si>
  <si>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</si>
  <si>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</si>
  <si>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</si>
  <si>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</si>
  <si>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</si>
  <si>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</si>
  <si>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</si>
  <si>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</si>
  <si>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</si>
  <si>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</si>
  <si>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</si>
  <si>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</si>
  <si>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</si>
  <si>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</si>
  <si>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</si>
  <si>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</si>
  <si>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</si>
  <si>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</si>
  <si>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</si>
  <si>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</si>
  <si>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</si>
  <si>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</si>
  <si>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</si>
  <si>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</si>
  <si>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</si>
  <si>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</si>
  <si>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</si>
  <si>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</si>
  <si>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</si>
  <si>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</si>
  <si>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</si>
  <si>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</si>
  <si>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</si>
  <si>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</si>
  <si>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</si>
  <si>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</si>
  <si>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</si>
  <si>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</si>
  <si>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</si>
  <si>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</si>
  <si>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</si>
  <si>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</si>
  <si>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</si>
  <si>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</si>
  <si>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</si>
  <si>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</si>
  <si>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</si>
  <si>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</si>
  <si>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</si>
  <si>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</si>
  <si>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</si>
  <si>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</si>
  <si>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</si>
  <si>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</si>
  <si>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</si>
  <si>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</si>
  <si>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</si>
  <si>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</si>
  <si>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</si>
  <si>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</si>
  <si>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</si>
  <si>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</si>
  <si>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</si>
  <si>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</si>
  <si>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</si>
  <si>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</si>
  <si>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</si>
  <si>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</si>
  <si>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</si>
  <si>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</si>
  <si>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</si>
  <si>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</si>
  <si>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</si>
  <si>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</si>
  <si>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</si>
  <si>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</si>
  <si>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</si>
  <si>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</si>
  <si>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</si>
  <si>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</si>
  <si>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</si>
  <si>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</si>
  <si>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</si>
  <si>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</si>
  <si>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</si>
  <si>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</si>
  <si>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</si>
  <si>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</si>
  <si>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</si>
  <si>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</si>
  <si>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</si>
  <si>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</si>
  <si>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</si>
  <si>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</si>
  <si>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</si>
  <si>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</si>
  <si>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</si>
  <si>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</si>
  <si>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</si>
  <si>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</si>
  <si>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</si>
  <si>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</si>
  <si>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</si>
  <si>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</si>
  <si>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</si>
  <si>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</si>
  <si>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</si>
  <si>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</si>
  <si>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</si>
  <si>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</si>
  <si>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</si>
  <si>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</si>
  <si>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</si>
  <si>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</si>
  <si>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</si>
  <si>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</si>
  <si>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</si>
  <si>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</si>
  <si>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</si>
  <si>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</si>
  <si>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</si>
  <si>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</si>
  <si>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</si>
  <si>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</si>
  <si>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</si>
  <si>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</si>
  <si>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</si>
  <si>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</si>
  <si>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</si>
  <si>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</si>
  <si>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</si>
  <si>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</si>
  <si>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</si>
  <si>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</si>
  <si>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</si>
  <si>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</si>
  <si>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</si>
  <si>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</si>
  <si>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</si>
  <si>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</si>
  <si>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</si>
  <si>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</si>
  <si>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</si>
  <si>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</si>
  <si>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</si>
  <si>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</si>
  <si>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</si>
  <si>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</si>
  <si>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</si>
  <si>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</si>
  <si>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</si>
  <si>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</si>
  <si>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</si>
  <si>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</si>
  <si>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</si>
  <si>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</si>
  <si>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</si>
  <si>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</si>
  <si>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</si>
  <si>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</si>
  <si>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</si>
  <si>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</si>
  <si>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</si>
  <si>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</si>
  <si>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</si>
  <si>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</si>
  <si>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</si>
  <si>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</si>
  <si>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</si>
  <si>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</si>
  <si>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</si>
  <si>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</si>
  <si>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</si>
  <si>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</si>
  <si>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</si>
  <si>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</si>
  <si>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</si>
  <si>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</si>
  <si>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</si>
  <si>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</si>
  <si>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</si>
  <si>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</si>
  <si>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</si>
  <si>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</si>
  <si>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</si>
  <si>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</si>
  <si>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</si>
  <si>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</si>
  <si>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</si>
  <si>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</si>
  <si>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</si>
  <si>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</si>
  <si>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</si>
  <si>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</si>
  <si>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</si>
  <si>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</si>
  <si>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</si>
  <si>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</si>
  <si>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</si>
  <si>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</si>
  <si>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</si>
  <si>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</si>
  <si>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</si>
  <si>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</si>
  <si>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</si>
  <si>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</si>
  <si>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</si>
  <si>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</si>
  <si>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</si>
  <si>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</si>
  <si>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</si>
  <si>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</si>
  <si>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</si>
  <si>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</si>
  <si>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</si>
  <si>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</si>
  <si>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</si>
  <si>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</si>
  <si>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</si>
  <si>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</si>
  <si>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</si>
  <si>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</si>
  <si>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</si>
  <si>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</si>
  <si>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</si>
  <si>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</si>
  <si>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</si>
  <si>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</si>
  <si>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</si>
  <si>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</si>
  <si>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</si>
  <si>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</si>
  <si>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</si>
  <si>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</si>
  <si>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</si>
  <si>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</si>
  <si>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</si>
  <si>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</si>
  <si>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</si>
  <si>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</si>
  <si>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</si>
  <si>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</si>
  <si>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</si>
  <si>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</si>
  <si>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</si>
  <si>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</si>
  <si>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</si>
  <si>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</si>
  <si>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</si>
  <si>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</si>
  <si>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</si>
  <si>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</si>
  <si>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</si>
  <si>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</si>
  <si>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</si>
  <si>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</si>
  <si>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</si>
  <si>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</si>
  <si>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</si>
  <si>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</si>
  <si>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</si>
  <si>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</si>
  <si>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</si>
  <si>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</si>
  <si>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</si>
  <si>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</si>
  <si>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</si>
  <si>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</si>
  <si>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</si>
  <si>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</si>
  <si>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</si>
  <si>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</si>
  <si>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</si>
  <si>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</si>
  <si>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</si>
  <si>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</si>
  <si>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</si>
  <si>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</si>
  <si>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</si>
  <si>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</si>
  <si>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</si>
  <si>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</si>
  <si>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</si>
  <si>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</si>
  <si>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</si>
  <si>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</si>
  <si>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</si>
  <si>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</si>
  <si>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</si>
  <si>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</si>
  <si>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</si>
  <si>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</si>
  <si>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</si>
  <si>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</si>
  <si>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</si>
  <si>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</si>
  <si>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</si>
  <si>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</si>
  <si>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</si>
  <si>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</si>
  <si>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</si>
  <si>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</si>
  <si>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</si>
  <si>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</si>
  <si>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</si>
  <si>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</si>
  <si>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</si>
  <si>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</si>
  <si>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</si>
  <si>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</si>
  <si>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</si>
  <si>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</si>
  <si>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</si>
  <si>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</si>
  <si>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</si>
  <si>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</si>
  <si>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</si>
  <si>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</si>
  <si>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</si>
  <si>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</si>
  <si>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</si>
  <si>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</si>
  <si>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</si>
  <si>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</si>
  <si>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</si>
  <si>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</si>
  <si>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</si>
  <si>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</si>
  <si>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</si>
  <si>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</si>
  <si>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</si>
  <si>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</si>
  <si>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</si>
  <si>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</si>
  <si>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</si>
  <si>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</si>
  <si>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</si>
  <si>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</si>
  <si>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</si>
  <si>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</si>
  <si>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</si>
  <si>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</si>
  <si>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</si>
  <si>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</si>
  <si>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</si>
  <si>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</si>
  <si>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</si>
  <si>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</si>
  <si>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</si>
  <si>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</si>
  <si>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</si>
  <si>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</si>
  <si>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</si>
  <si>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</si>
  <si>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</si>
  <si>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</si>
  <si>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</si>
  <si>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</si>
  <si>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</si>
  <si>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</si>
  <si>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</si>
  <si>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</si>
  <si>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</si>
  <si>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</si>
  <si>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</si>
  <si>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</si>
  <si>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</si>
  <si>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</si>
  <si>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</si>
  <si>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</si>
  <si>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</si>
  <si>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</si>
  <si>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</si>
  <si>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</si>
  <si>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</si>
  <si>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</si>
  <si>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</si>
  <si>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</si>
  <si>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</si>
  <si>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</si>
  <si>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</si>
  <si>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</si>
  <si>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</si>
  <si>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</si>
  <si>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</si>
  <si>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</si>
  <si>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</si>
  <si>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</si>
  <si>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</si>
  <si>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</si>
  <si>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</si>
  <si>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</si>
  <si>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</si>
  <si>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</si>
  <si>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</si>
  <si>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</si>
  <si>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</si>
  <si>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</si>
  <si>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</si>
  <si>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</si>
  <si>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</si>
  <si>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</si>
  <si>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</si>
  <si>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</si>
  <si>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</si>
  <si>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</si>
  <si>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</si>
  <si>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</si>
  <si>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</si>
  <si>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</si>
  <si>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</si>
  <si>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</si>
  <si>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</si>
  <si>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</si>
  <si>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</si>
  <si>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</si>
  <si>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</si>
  <si>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</si>
  <si>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</si>
  <si>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</si>
  <si>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</si>
  <si>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</si>
  <si>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</si>
  <si>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</si>
  <si>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</si>
  <si>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</si>
  <si>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</si>
  <si>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</si>
  <si>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</si>
  <si>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</si>
  <si>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</si>
  <si>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</si>
  <si>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</si>
  <si>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</si>
  <si>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</si>
  <si>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</si>
  <si>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</si>
  <si>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</si>
  <si>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</si>
  <si>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</si>
  <si>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</si>
  <si>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</si>
  <si>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</si>
  <si>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</si>
  <si>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</si>
  <si>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</si>
  <si>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</si>
  <si>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</si>
  <si>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</si>
  <si>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</si>
  <si>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</si>
  <si>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</si>
  <si>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</si>
  <si>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</si>
  <si>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</si>
  <si>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</si>
  <si>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</si>
  <si>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</si>
  <si>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</si>
  <si>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</si>
  <si>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</si>
  <si>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</si>
  <si>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</si>
  <si>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</si>
  <si>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</si>
  <si>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</si>
  <si>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</si>
  <si>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</si>
  <si>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</si>
  <si>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</si>
  <si>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</si>
  <si>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</si>
  <si>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</si>
  <si>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</si>
  <si>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</si>
  <si>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</si>
  <si>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</si>
  <si>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</si>
  <si>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</si>
  <si>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</si>
  <si>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</si>
  <si>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</si>
  <si>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</si>
  <si>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</si>
  <si>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</si>
  <si>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</si>
  <si>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</si>
  <si>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</si>
  <si>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</si>
  <si>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</si>
  <si>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</si>
  <si>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</si>
  <si>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</si>
  <si>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</si>
  <si>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</si>
  <si>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</si>
  <si>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</si>
  <si>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</si>
  <si>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</si>
  <si>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</si>
  <si>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</si>
  <si>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</si>
  <si>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</si>
  <si>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</si>
  <si>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</si>
  <si>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</si>
  <si>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</si>
  <si>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</si>
  <si>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</si>
  <si>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</si>
  <si>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</si>
  <si>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</si>
  <si>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</si>
  <si>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</si>
  <si>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</si>
  <si>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</si>
  <si>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</si>
  <si>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</si>
  <si>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</si>
  <si>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</si>
  <si>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</si>
  <si>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</si>
  <si>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</si>
  <si>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</si>
  <si>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</si>
  <si>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</si>
  <si>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</si>
  <si>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</si>
  <si>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</si>
  <si>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</si>
  <si>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</si>
  <si>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</si>
  <si>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</si>
  <si>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</si>
  <si>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</si>
  <si>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</si>
  <si>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</si>
  <si>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</si>
  <si>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</si>
  <si>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</si>
  <si>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</si>
  <si>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</si>
  <si>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</si>
  <si>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</si>
  <si>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</si>
  <si>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</si>
  <si>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</si>
  <si>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</si>
  <si>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</si>
  <si>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</si>
  <si>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</si>
  <si>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</si>
  <si>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</si>
  <si>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</si>
  <si>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</si>
  <si>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</si>
  <si>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</si>
  <si>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</si>
  <si>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</si>
  <si>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</si>
  <si>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</si>
  <si>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</si>
  <si>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</si>
  <si>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</si>
  <si>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</si>
  <si>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</si>
  <si>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</si>
  <si>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</si>
  <si>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</si>
  <si>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</si>
  <si>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</si>
  <si>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</si>
  <si>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</si>
  <si>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</si>
  <si>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</si>
  <si>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</si>
  <si>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</si>
  <si>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</si>
  <si>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</si>
  <si>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</si>
  <si>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</si>
  <si>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</si>
  <si>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</si>
  <si>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</si>
  <si>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</si>
  <si>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</si>
  <si>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</si>
  <si>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</si>
  <si>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</si>
  <si>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</si>
  <si>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</si>
  <si>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</si>
  <si>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</si>
  <si>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</si>
  <si>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</si>
  <si>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</si>
  <si>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</si>
  <si>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</si>
  <si>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</si>
  <si>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</si>
  <si>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</si>
  <si>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</si>
  <si>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</si>
  <si>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</si>
  <si>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</si>
  <si>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</si>
  <si>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</si>
  <si>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</si>
  <si>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</si>
  <si>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</si>
  <si>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</si>
  <si>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</si>
  <si>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</si>
  <si>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</si>
  <si>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</si>
  <si>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</si>
  <si>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</si>
  <si>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</si>
  <si>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</si>
  <si>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</si>
  <si>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</si>
  <si>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</si>
  <si>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</si>
  <si>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</si>
  <si>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</si>
  <si>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</si>
  <si>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</si>
  <si>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</si>
  <si>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</si>
  <si>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</si>
  <si>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</si>
  <si>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</si>
  <si>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</si>
  <si>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</si>
  <si>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</si>
  <si>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</si>
  <si>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</si>
  <si>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</si>
  <si>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</si>
  <si>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</si>
  <si>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</si>
  <si>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</si>
  <si>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</si>
  <si>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</si>
  <si>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</si>
  <si>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</si>
  <si>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</si>
  <si>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</si>
  <si>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</si>
  <si>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</si>
  <si>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</si>
  <si>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</si>
  <si>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</si>
  <si>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</si>
  <si>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</si>
  <si>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</si>
  <si>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</si>
  <si>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</si>
  <si>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</si>
  <si>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</si>
  <si>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</si>
  <si>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</si>
  <si>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</si>
  <si>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</si>
  <si>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</si>
  <si>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</si>
  <si>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</si>
  <si>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</si>
  <si>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</si>
  <si>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</si>
  <si>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</si>
  <si>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</si>
  <si>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</si>
  <si>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</si>
  <si>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</si>
  <si>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</si>
  <si>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</si>
  <si>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</si>
  <si>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</si>
  <si>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</si>
  <si>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</si>
  <si>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</si>
  <si>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</si>
  <si>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</si>
  <si>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</si>
  <si>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</si>
  <si>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</si>
  <si>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</si>
  <si>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</si>
  <si>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</si>
  <si>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</si>
  <si>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</si>
  <si>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</si>
  <si>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</si>
  <si>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</si>
  <si>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</si>
  <si>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</si>
  <si>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</si>
  <si>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</si>
  <si>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</si>
  <si>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</si>
  <si>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</si>
  <si>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</si>
  <si>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</si>
  <si>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</si>
  <si>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</si>
  <si>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</si>
  <si>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</si>
  <si>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</si>
  <si>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</si>
  <si>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</si>
  <si>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</si>
  <si>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</si>
  <si>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</si>
  <si>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</si>
  <si>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</si>
  <si>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</si>
  <si>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</si>
  <si>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</si>
  <si>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</si>
  <si>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</si>
  <si>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</si>
  <si>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</si>
  <si>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</si>
  <si>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</si>
  <si>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</si>
  <si>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</si>
  <si>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</si>
  <si>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</si>
  <si>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</si>
  <si>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</si>
  <si>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</si>
  <si>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</si>
  <si>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</si>
  <si>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</si>
  <si>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</si>
  <si>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</si>
  <si>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</si>
  <si>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</si>
  <si>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</si>
  <si>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</si>
  <si>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</si>
  <si>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</si>
  <si>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</si>
  <si>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</si>
  <si>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</si>
  <si>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</si>
  <si>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</si>
  <si>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</si>
  <si>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</si>
  <si>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</si>
  <si>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</si>
  <si>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</si>
  <si>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</si>
  <si>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</si>
  <si>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</si>
  <si>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</si>
  <si>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</si>
  <si>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</si>
  <si>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</si>
  <si>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</si>
  <si>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</si>
  <si>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</si>
  <si>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</si>
  <si>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</si>
  <si>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</si>
  <si>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</si>
  <si>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</si>
  <si>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</si>
  <si>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</si>
  <si>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</si>
  <si>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</si>
  <si>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</si>
  <si>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</si>
  <si>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</si>
  <si>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</si>
  <si>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</si>
  <si>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</si>
  <si>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</si>
  <si>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</si>
  <si>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</si>
  <si>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</si>
  <si>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</si>
  <si>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</si>
  <si>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</si>
  <si>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</si>
  <si>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</si>
  <si>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</si>
  <si>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</si>
  <si>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</si>
  <si>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</si>
  <si>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</si>
  <si>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</si>
  <si>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</si>
  <si>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</si>
  <si>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</si>
  <si>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</si>
  <si>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</si>
  <si>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</si>
  <si>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</si>
  <si>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</si>
  <si>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</si>
  <si>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</si>
  <si>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</si>
  <si>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</si>
  <si>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</si>
  <si>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</si>
  <si>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</si>
  <si>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</si>
  <si>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</si>
  <si>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</si>
  <si>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</si>
  <si>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</si>
  <si>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</si>
  <si>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</si>
  <si>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</si>
  <si>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</si>
  <si>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</si>
  <si>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</si>
  <si>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</si>
  <si>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</si>
  <si>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</si>
  <si>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</si>
  <si>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</si>
  <si>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</si>
  <si>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</si>
  <si>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</si>
  <si>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</si>
  <si>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</si>
  <si>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</si>
  <si>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</si>
  <si>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</si>
  <si>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</si>
  <si>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</si>
  <si>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</si>
  <si>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</si>
  <si>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</si>
  <si>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</si>
  <si>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</si>
  <si>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</si>
  <si>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</si>
  <si>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</si>
  <si>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</si>
  <si>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</si>
  <si>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</si>
  <si>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</si>
  <si>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</si>
  <si>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</si>
  <si>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</si>
  <si>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</si>
  <si>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</si>
  <si>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</si>
  <si>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</si>
  <si>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</si>
  <si>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</si>
  <si>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</si>
  <si>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</si>
  <si>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</si>
  <si>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</si>
  <si>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</si>
  <si>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</si>
  <si>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</si>
  <si>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</si>
  <si>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</si>
  <si>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</si>
  <si>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</si>
  <si>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</si>
  <si>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</si>
  <si>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</si>
  <si>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</si>
  <si>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</si>
  <si>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</si>
  <si>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</si>
  <si>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</si>
  <si>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</si>
  <si>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</si>
  <si>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</si>
  <si>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</si>
  <si>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</si>
  <si>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</si>
  <si>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</si>
  <si>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</si>
  <si>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</si>
  <si>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</si>
  <si>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</si>
  <si>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</si>
  <si>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</si>
  <si>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</si>
  <si>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</si>
  <si>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</si>
  <si>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</si>
  <si>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</si>
  <si>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</si>
  <si>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</si>
  <si>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</si>
  <si>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</si>
  <si>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</si>
  <si>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</si>
  <si>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</si>
  <si>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</si>
  <si>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</si>
  <si>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</si>
  <si>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</si>
  <si>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</si>
  <si>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</si>
  <si>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</si>
  <si>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</si>
  <si>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</si>
  <si>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</si>
  <si>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</si>
  <si>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</si>
  <si>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</si>
  <si>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</si>
  <si>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</si>
  <si>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</si>
  <si>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</si>
  <si>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</si>
  <si>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</si>
  <si>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</si>
  <si>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</si>
  <si>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</si>
  <si>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</si>
  <si>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</si>
  <si>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</si>
  <si>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</si>
  <si>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</si>
  <si>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</si>
  <si>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</si>
  <si>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</si>
  <si>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</si>
  <si>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</si>
  <si>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</si>
  <si>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</si>
  <si>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</si>
  <si>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</si>
  <si>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</si>
  <si>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</si>
  <si>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</si>
  <si>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</si>
  <si>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</si>
  <si>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</si>
  <si>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</si>
  <si>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</si>
  <si>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</si>
  <si>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</si>
  <si>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</si>
  <si>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</si>
  <si>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</si>
  <si>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</si>
  <si>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</si>
  <si>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</si>
  <si>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</si>
  <si>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</si>
  <si>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</si>
  <si>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</si>
  <si>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</si>
  <si>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</si>
  <si>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</si>
  <si>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</si>
  <si>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</si>
  <si>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</si>
  <si>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</si>
  <si>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</si>
  <si>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</si>
  <si>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</si>
  <si>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</si>
  <si>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</si>
  <si>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</si>
  <si>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</si>
  <si>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</si>
  <si>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</si>
  <si>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</si>
  <si>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</si>
  <si>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</si>
  <si>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</si>
  <si>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</si>
  <si>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</si>
  <si>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</si>
  <si>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</si>
  <si>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</si>
  <si>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</si>
  <si>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</si>
  <si>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</si>
  <si>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</si>
  <si>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</si>
  <si>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</si>
  <si>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</si>
  <si>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</si>
  <si>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</si>
  <si>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</si>
  <si>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</si>
  <si>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</si>
  <si>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</si>
  <si>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</si>
  <si>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</si>
  <si>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</si>
  <si>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</si>
  <si>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</si>
  <si>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</si>
  <si>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</si>
  <si>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</si>
  <si>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</si>
  <si>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</si>
  <si>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</si>
  <si>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</si>
  <si>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</si>
  <si>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</si>
  <si>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</si>
  <si>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</si>
  <si>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</si>
  <si>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</si>
  <si>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</si>
  <si>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</si>
  <si>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</si>
  <si>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</si>
  <si>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</si>
  <si>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</si>
  <si>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</si>
  <si>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</si>
  <si>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</si>
  <si>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</si>
  <si>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</si>
  <si>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</si>
  <si>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</si>
  <si>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</si>
  <si>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</si>
  <si>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</si>
  <si>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</si>
  <si>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</si>
  <si>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</si>
  <si>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</si>
  <si>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</si>
  <si>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</si>
  <si>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</si>
  <si>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</si>
  <si>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</si>
  <si>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</si>
  <si>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</si>
  <si>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</si>
  <si>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</si>
  <si>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</si>
  <si>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</si>
  <si>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</si>
  <si>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</si>
  <si>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</si>
  <si>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</si>
  <si>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</si>
  <si>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</si>
  <si>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</si>
  <si>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</si>
  <si>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</si>
  <si>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</si>
  <si>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</si>
  <si>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</si>
  <si>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</si>
  <si>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</si>
  <si>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</si>
  <si>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</si>
  <si>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</si>
  <si>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</si>
  <si>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</si>
  <si>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</si>
  <si>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</si>
  <si>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</si>
  <si>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</si>
  <si>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</si>
  <si>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</si>
  <si>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</si>
  <si>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</si>
  <si>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</si>
  <si>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</si>
  <si>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</si>
  <si>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</si>
  <si>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</si>
  <si>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</si>
  <si>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</si>
  <si>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</si>
  <si>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</si>
  <si>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</si>
  <si>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</si>
  <si>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</si>
  <si>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</si>
  <si>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</si>
  <si>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</si>
  <si>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</si>
  <si>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</si>
  <si>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</si>
  <si>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</si>
  <si>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</si>
  <si>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</si>
  <si>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</si>
  <si>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</si>
  <si>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</si>
  <si>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</si>
  <si>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</si>
  <si>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</si>
  <si>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</si>
  <si>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</si>
  <si>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</si>
  <si>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</si>
  <si>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</si>
  <si>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</si>
  <si>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</si>
  <si>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</si>
  <si>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</si>
  <si>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</si>
  <si>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</si>
  <si>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</si>
  <si>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</si>
  <si>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</si>
  <si>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</si>
  <si>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</si>
  <si>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</si>
  <si>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</si>
  <si>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</si>
  <si>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</si>
  <si>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</si>
  <si>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</si>
  <si>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</si>
  <si>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</si>
  <si>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</si>
  <si>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</si>
  <si>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</si>
  <si>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</si>
  <si>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</si>
  <si>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</si>
  <si>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</si>
  <si>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</si>
  <si>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</si>
  <si>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</si>
  <si>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</si>
  <si>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</si>
  <si>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</si>
  <si>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</si>
  <si>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</si>
  <si>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</si>
  <si>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</si>
  <si>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</si>
  <si>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</si>
  <si>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</si>
  <si>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</si>
  <si>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</si>
  <si>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</si>
  <si>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</si>
  <si>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</si>
  <si>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</si>
  <si>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</si>
  <si>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</si>
  <si>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</si>
  <si>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</si>
  <si>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</si>
  <si>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</si>
  <si>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</si>
  <si>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</si>
  <si>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</si>
  <si>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</si>
  <si>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</si>
  <si>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</si>
  <si>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</si>
  <si>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</si>
  <si>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</si>
  <si>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</si>
  <si>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</si>
  <si>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</si>
  <si>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</si>
  <si>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</si>
  <si>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</si>
  <si>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</si>
  <si>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</si>
  <si>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</si>
  <si>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</si>
  <si>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</si>
  <si>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</si>
  <si>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</si>
  <si>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</si>
  <si>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</si>
  <si>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</si>
  <si>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</si>
  <si>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</si>
  <si>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</si>
  <si>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</si>
  <si>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</si>
  <si>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</si>
  <si>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</si>
  <si>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</si>
  <si>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</si>
  <si>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</si>
  <si>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</si>
  <si>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</si>
  <si>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</si>
  <si>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</si>
  <si>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</si>
  <si>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</si>
  <si>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</si>
  <si>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</si>
  <si>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</si>
  <si>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</si>
  <si>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</si>
  <si>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</si>
  <si>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</si>
  <si>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</si>
  <si>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</si>
  <si>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</si>
  <si>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</si>
  <si>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</si>
  <si>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</si>
  <si>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</si>
  <si>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</si>
  <si>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</si>
  <si>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</si>
  <si>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</si>
  <si>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</si>
  <si>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</si>
  <si>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</si>
  <si>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</si>
  <si>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</si>
  <si>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</si>
  <si>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</si>
  <si>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</si>
  <si>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</si>
  <si>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</si>
  <si>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</si>
  <si>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</si>
  <si>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</si>
  <si>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</si>
  <si>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</si>
  <si>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</si>
  <si>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</si>
  <si>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</si>
  <si>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</si>
  <si>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</si>
  <si>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</si>
  <si>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</si>
  <si>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</si>
  <si>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</si>
  <si>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</si>
  <si>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</si>
  <si>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</si>
  <si>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</si>
  <si>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</si>
  <si>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</si>
  <si>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</si>
  <si>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</si>
  <si>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</si>
  <si>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</si>
  <si>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</si>
  <si>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</si>
  <si>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</si>
  <si>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</si>
  <si>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</si>
  <si>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</si>
  <si>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</si>
  <si>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</si>
  <si>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</si>
  <si>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</si>
  <si>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</si>
  <si>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</si>
  <si>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</si>
  <si>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</si>
  <si>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</si>
  <si>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</si>
  <si>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</si>
  <si>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</si>
  <si>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</si>
  <si>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</si>
  <si>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</si>
  <si>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</si>
  <si>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</si>
  <si>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</si>
  <si>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</si>
  <si>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</si>
  <si>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</si>
  <si>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</si>
  <si>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</si>
  <si>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</si>
  <si>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</si>
  <si>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</si>
  <si>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</si>
  <si>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</si>
  <si>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</si>
  <si>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</si>
  <si>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</si>
  <si>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</si>
  <si>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</si>
  <si>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</si>
  <si>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</si>
  <si>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</si>
  <si>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</si>
  <si>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</si>
  <si>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</si>
  <si>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</si>
  <si>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</si>
  <si>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</si>
  <si>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</si>
  <si>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</si>
  <si>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</si>
  <si>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</si>
  <si>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</si>
  <si>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</si>
  <si>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</si>
  <si>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</si>
  <si>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</si>
  <si>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</si>
  <si>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</si>
  <si>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</si>
  <si>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</si>
  <si>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</si>
  <si>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</si>
  <si>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</si>
  <si>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</si>
  <si>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</si>
  <si>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</si>
  <si>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</si>
  <si>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</si>
  <si>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</si>
  <si>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</si>
  <si>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</si>
  <si>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</si>
  <si>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</si>
  <si>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</si>
  <si>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</si>
  <si>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</si>
  <si>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</si>
  <si>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</si>
  <si>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</si>
  <si>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</si>
  <si>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</si>
  <si>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</si>
  <si>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</si>
  <si>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</si>
  <si>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</si>
  <si>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</si>
  <si>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</si>
  <si>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</si>
  <si>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</si>
  <si>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</si>
  <si>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</si>
  <si>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</si>
  <si>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</si>
  <si>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</si>
  <si>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</si>
  <si>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</si>
  <si>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</si>
  <si>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</si>
  <si>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</si>
  <si>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</si>
  <si>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</si>
  <si>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</si>
  <si>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</si>
  <si>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</si>
  <si>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</si>
  <si>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</si>
  <si>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</si>
  <si>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</si>
  <si>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</si>
  <si>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</si>
  <si>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</si>
  <si>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</si>
  <si>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</si>
  <si>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</si>
  <si>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</si>
  <si>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</si>
  <si>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</si>
  <si>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</si>
  <si>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</si>
  <si>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</si>
  <si>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</si>
  <si>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</si>
  <si>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</si>
  <si>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</si>
  <si>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</si>
  <si>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</si>
  <si>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</si>
  <si>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</si>
  <si>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</si>
  <si>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</si>
  <si>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</si>
  <si>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</si>
  <si>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</si>
  <si>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</si>
  <si>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</si>
  <si>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</si>
  <si>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</si>
  <si>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</si>
  <si>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</si>
  <si>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</si>
  <si>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</si>
  <si>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</si>
  <si>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</si>
  <si>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</si>
  <si>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</si>
  <si>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</si>
  <si>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</si>
  <si>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</si>
  <si>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</si>
  <si>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</si>
  <si>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</si>
  <si>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</si>
  <si>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</si>
  <si>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</si>
  <si>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</si>
  <si>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</si>
  <si>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</si>
  <si>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</si>
  <si>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</si>
  <si>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</si>
  <si>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</si>
  <si>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</si>
  <si>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</si>
  <si>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</si>
  <si>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</si>
  <si>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</si>
  <si>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</si>
  <si>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</si>
  <si>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</si>
  <si>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</si>
  <si>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</si>
  <si>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</si>
  <si>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</si>
  <si>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</si>
  <si>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</si>
  <si>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</si>
  <si>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</si>
  <si>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</si>
  <si>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</si>
  <si>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</si>
  <si>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</si>
  <si>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</si>
  <si>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</si>
  <si>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</si>
  <si>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</si>
  <si>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</si>
  <si>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</si>
  <si>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</si>
  <si>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</si>
  <si>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</si>
  <si>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</si>
  <si>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</si>
  <si>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</si>
  <si>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</si>
  <si>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</si>
  <si>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</si>
  <si>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</si>
  <si>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</si>
  <si>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</si>
  <si>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</si>
  <si>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</si>
  <si>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</si>
  <si>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</si>
  <si>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</si>
  <si>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</si>
  <si>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</si>
  <si>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</si>
  <si>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</si>
  <si>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</si>
  <si>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</si>
  <si>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</si>
  <si>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</si>
  <si>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</si>
  <si>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</si>
  <si>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</si>
  <si>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</si>
  <si>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</si>
  <si>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</si>
  <si>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</si>
  <si>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</si>
  <si>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</si>
  <si>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</si>
  <si>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</si>
  <si>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</si>
  <si>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</si>
  <si>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</si>
  <si>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</si>
  <si>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</si>
  <si>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</si>
  <si>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</si>
  <si>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</si>
  <si>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</si>
  <si>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</si>
  <si>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</si>
  <si>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</si>
  <si>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</si>
  <si>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</si>
  <si>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</si>
  <si>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</si>
  <si>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</si>
  <si>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</si>
  <si>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</si>
  <si>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</si>
  <si>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</si>
  <si>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</si>
  <si>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</si>
  <si>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</si>
  <si>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</si>
  <si>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</si>
  <si>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</si>
  <si>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</si>
  <si>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</si>
  <si>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</si>
  <si>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</si>
  <si>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</si>
  <si>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</si>
  <si>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</si>
  <si>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</si>
  <si>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</si>
  <si>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</si>
  <si>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</si>
  <si>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</si>
  <si>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</si>
  <si>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</si>
  <si>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</si>
  <si>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</si>
  <si>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</si>
  <si>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</si>
  <si>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</si>
  <si>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</si>
  <si>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</si>
  <si>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</si>
  <si>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</si>
  <si>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</si>
  <si>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</si>
  <si>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</si>
  <si>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</si>
  <si>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</si>
  <si>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</si>
  <si>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</si>
  <si>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</si>
  <si>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</si>
  <si>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</si>
  <si>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</si>
  <si>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</si>
  <si>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</si>
  <si>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</si>
  <si>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</si>
  <si>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</si>
  <si>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</si>
  <si>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</si>
  <si>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</si>
  <si>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</si>
  <si>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</si>
  <si>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</si>
  <si>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</si>
  <si>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</si>
  <si>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</si>
  <si>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</si>
  <si>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</si>
  <si>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</si>
  <si>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</si>
  <si>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</si>
  <si>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</si>
  <si>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</si>
  <si>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</si>
  <si>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</si>
  <si>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</si>
  <si>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</si>
  <si>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</si>
  <si>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</si>
  <si>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</si>
  <si>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</si>
  <si>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</si>
  <si>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</si>
  <si>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</si>
  <si>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</si>
  <si>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</si>
  <si>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</si>
  <si>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</si>
  <si>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</si>
  <si>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</si>
  <si>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</si>
  <si>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</si>
  <si>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</si>
  <si>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</si>
  <si>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</si>
  <si>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</si>
  <si>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</si>
  <si>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</si>
  <si>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</si>
  <si>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</si>
  <si>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</si>
  <si>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</si>
  <si>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</si>
  <si>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</si>
  <si>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</si>
  <si>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</si>
  <si>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</si>
  <si>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</si>
  <si>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</si>
  <si>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</si>
  <si>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</si>
  <si>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</si>
  <si>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</si>
  <si>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</si>
  <si>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</si>
  <si>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</si>
  <si>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</si>
  <si>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</si>
  <si>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</si>
  <si>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</si>
  <si>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</si>
  <si>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</si>
  <si>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</si>
  <si>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</si>
  <si>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</si>
  <si>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</si>
  <si>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</si>
  <si>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</si>
  <si>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</si>
  <si>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</si>
  <si>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</si>
  <si>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</si>
  <si>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</si>
  <si>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</si>
  <si>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</si>
  <si>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</si>
  <si>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</si>
  <si>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</si>
  <si>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</si>
  <si>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</si>
  <si>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</si>
  <si>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</si>
  <si>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</si>
  <si>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</si>
  <si>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</si>
  <si>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</si>
  <si>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</si>
  <si>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</si>
  <si>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</si>
  <si>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</si>
  <si>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</si>
  <si>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</si>
  <si>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</si>
  <si>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</si>
  <si>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</si>
  <si>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</si>
  <si>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</si>
  <si>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</si>
  <si>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</si>
  <si>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</si>
  <si>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</si>
  <si>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</si>
  <si>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</si>
  <si>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</si>
  <si>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</si>
  <si>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</si>
  <si>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</si>
  <si>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</si>
  <si>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</si>
  <si>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</si>
  <si>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</si>
  <si>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</si>
  <si>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</si>
  <si>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</si>
  <si>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</si>
  <si>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</si>
  <si>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</si>
  <si>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</si>
  <si>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</si>
  <si>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</si>
  <si>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</si>
  <si>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</si>
  <si>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</si>
  <si>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</si>
  <si>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</si>
  <si>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</si>
  <si>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</si>
  <si>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</si>
  <si>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</si>
  <si>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</si>
  <si>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</si>
  <si>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</si>
  <si>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</si>
  <si>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</si>
  <si>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</si>
  <si>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</si>
  <si>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</si>
  <si>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</si>
  <si>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</si>
  <si>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</si>
  <si>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</si>
  <si>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</si>
  <si>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</si>
  <si>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</si>
  <si>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</si>
  <si>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</si>
  <si>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</si>
  <si>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</si>
  <si>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</si>
  <si>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</si>
  <si>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</si>
  <si>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</si>
  <si>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</si>
  <si>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</si>
  <si>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</si>
  <si>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</si>
  <si>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</si>
  <si>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</si>
  <si>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</si>
  <si>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</si>
  <si>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</si>
  <si>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</si>
  <si>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</si>
  <si>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</si>
  <si>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</si>
  <si>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</si>
  <si>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</si>
  <si>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</si>
  <si>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</si>
  <si>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</si>
  <si>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</si>
  <si>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</si>
  <si>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</si>
  <si>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</si>
  <si>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</si>
  <si>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</si>
  <si>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</si>
  <si>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</si>
  <si>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</si>
  <si>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</si>
  <si>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</si>
  <si>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</si>
  <si>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</si>
  <si>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</si>
  <si>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</si>
  <si>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</si>
  <si>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</si>
  <si>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</si>
  <si>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</si>
  <si>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</si>
  <si>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</si>
  <si>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</si>
  <si>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</si>
  <si>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</si>
  <si>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</si>
  <si>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</si>
  <si>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</si>
  <si>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</si>
  <si>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</si>
  <si>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</si>
  <si>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</si>
  <si>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</si>
  <si>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</si>
  <si>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</si>
  <si>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</si>
  <si>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</si>
  <si>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</si>
  <si>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</si>
  <si>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</si>
  <si>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</si>
  <si>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</si>
  <si>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</si>
  <si>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</si>
  <si>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</si>
  <si>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</si>
  <si>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</si>
  <si>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</si>
  <si>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</si>
  <si>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</si>
  <si>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</si>
  <si>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</si>
  <si>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</si>
  <si>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</si>
  <si>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</si>
  <si>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</si>
  <si>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</si>
  <si>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</si>
  <si>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</si>
  <si>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</si>
  <si>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</si>
  <si>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</si>
  <si>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</si>
  <si>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</si>
  <si>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</si>
  <si>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</si>
  <si>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</si>
  <si>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</si>
  <si>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</si>
  <si>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</si>
  <si>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</si>
  <si>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</si>
  <si>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</si>
  <si>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</si>
  <si>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</si>
  <si>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</si>
  <si>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</si>
  <si>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</si>
  <si>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</si>
  <si>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</si>
  <si>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</si>
  <si>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</si>
  <si>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</si>
  <si>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</si>
  <si>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</si>
  <si>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</si>
  <si>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</si>
  <si>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</si>
  <si>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</si>
  <si>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</si>
  <si>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</si>
  <si>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</si>
  <si>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</si>
  <si>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</si>
  <si>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</si>
  <si>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</si>
  <si>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</si>
  <si>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</si>
  <si>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</si>
  <si>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</si>
  <si>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</si>
  <si>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</si>
  <si>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</si>
  <si>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</si>
  <si>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</si>
  <si>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</si>
  <si>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</si>
  <si>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</si>
  <si>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</si>
  <si>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</si>
  <si>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</si>
  <si>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</si>
  <si>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</si>
  <si>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</si>
  <si>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</si>
  <si>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</si>
  <si>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</si>
  <si>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</si>
  <si>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</si>
  <si>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</si>
  <si>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</si>
  <si>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</si>
  <si>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</si>
  <si>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</si>
  <si>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</si>
  <si>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</si>
  <si>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</si>
  <si>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</si>
  <si>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</si>
  <si>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</si>
  <si>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</si>
  <si>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</si>
  <si>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</si>
  <si>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</si>
  <si>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</si>
  <si>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</si>
  <si>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</si>
  <si>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</si>
  <si>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</si>
  <si>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</si>
  <si>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</si>
  <si>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</si>
  <si>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</si>
  <si>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</si>
  <si>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</si>
  <si>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</si>
  <si>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</si>
  <si>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</si>
  <si>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</si>
  <si>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</si>
  <si>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</si>
  <si>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</si>
  <si>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</si>
  <si>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</si>
  <si>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</si>
  <si>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</si>
  <si>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</si>
  <si>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</si>
  <si>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</si>
  <si>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</si>
  <si>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</si>
  <si>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</si>
  <si>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</si>
  <si>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</si>
  <si>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</si>
  <si>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</si>
  <si>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</si>
  <si>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</si>
  <si>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</si>
  <si>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</si>
  <si>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</si>
  <si>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</si>
  <si>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</si>
  <si>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</si>
  <si>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</si>
  <si>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</si>
  <si>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</si>
  <si>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</si>
  <si>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</si>
  <si>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</si>
  <si>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</si>
  <si>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</si>
  <si>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</si>
  <si>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</si>
  <si>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</si>
  <si>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</si>
  <si>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</si>
  <si>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</si>
  <si>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</si>
  <si>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</si>
  <si>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</si>
  <si>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</si>
  <si>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</si>
  <si>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</si>
  <si>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</si>
  <si>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</si>
  <si>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</si>
  <si>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</si>
  <si>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</si>
  <si>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</si>
  <si>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</si>
  <si>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</si>
  <si>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</si>
  <si>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</si>
  <si>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</si>
  <si>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</si>
  <si>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</si>
  <si>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</si>
  <si>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</si>
  <si>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</si>
  <si>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</si>
  <si>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</si>
  <si>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</si>
  <si>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</si>
  <si>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</si>
  <si>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</si>
  <si>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</si>
  <si>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</si>
  <si>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</si>
  <si>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</si>
  <si>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</si>
  <si>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</si>
  <si>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</si>
  <si>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</si>
  <si>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</si>
  <si>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</si>
  <si>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</si>
  <si>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</si>
  <si>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</si>
  <si>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</si>
  <si>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</si>
  <si>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</si>
  <si>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</si>
  <si>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</si>
  <si>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</si>
  <si>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</si>
  <si>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</si>
  <si>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</si>
  <si>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</si>
  <si>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</si>
  <si>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</si>
  <si>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</si>
  <si>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</si>
  <si>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</si>
  <si>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</si>
  <si>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</si>
  <si>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</si>
  <si>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</si>
  <si>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</si>
  <si>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</si>
  <si>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</si>
  <si>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</si>
  <si>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</si>
  <si>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</si>
  <si>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</si>
  <si>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</si>
  <si>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</si>
  <si>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</si>
  <si>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</si>
  <si>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</si>
  <si>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</si>
  <si>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</si>
  <si>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</si>
  <si>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</si>
  <si>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</si>
  <si>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</si>
  <si>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</si>
  <si>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</si>
  <si>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</si>
  <si>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</si>
  <si>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</si>
  <si>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</si>
  <si>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</si>
  <si>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</si>
  <si>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</si>
  <si>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</si>
  <si>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</si>
  <si>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</si>
  <si>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</si>
  <si>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</si>
  <si>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</si>
  <si>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</si>
  <si>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</si>
  <si>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</si>
  <si>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</si>
  <si>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</si>
  <si>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</si>
  <si>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</si>
  <si>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</si>
  <si>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</si>
  <si>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</si>
  <si>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</si>
  <si>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</si>
  <si>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</si>
  <si>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</si>
  <si>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</si>
  <si>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</si>
  <si>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</si>
  <si>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</si>
  <si>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</si>
  <si>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</si>
  <si>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</si>
  <si>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</si>
  <si>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</si>
  <si>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</si>
  <si>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</si>
  <si>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</si>
  <si>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</si>
  <si>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</si>
  <si>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</si>
  <si>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</si>
  <si>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</si>
  <si>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</si>
  <si>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</si>
  <si>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</si>
  <si>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</si>
  <si>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</si>
  <si>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</si>
  <si>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</si>
  <si>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</si>
  <si>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</si>
  <si>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</si>
  <si>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</si>
  <si>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</si>
  <si>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</si>
  <si>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</si>
  <si>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</si>
  <si>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</si>
  <si>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</si>
  <si>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</si>
  <si>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</si>
  <si>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</si>
  <si>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</si>
  <si>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</si>
  <si>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</si>
  <si>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</si>
  <si>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</si>
  <si>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</si>
  <si>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</si>
  <si>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</si>
  <si>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</si>
  <si>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</si>
  <si>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</si>
  <si>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</si>
  <si>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</si>
  <si>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</si>
  <si>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</si>
  <si>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</si>
  <si>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</si>
  <si>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</si>
  <si>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</si>
  <si>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</si>
  <si>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</si>
  <si>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</si>
  <si>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</si>
  <si>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</si>
  <si>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</si>
  <si>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</si>
  <si>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</si>
  <si>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</si>
  <si>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</si>
  <si>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</si>
  <si>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</si>
  <si>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</si>
  <si>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</si>
  <si>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</si>
  <si>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</si>
  <si>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</si>
  <si>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</si>
  <si>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</si>
  <si>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</si>
  <si>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</si>
  <si>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</si>
  <si>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</si>
  <si>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</si>
  <si>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</si>
  <si>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</si>
  <si>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</si>
  <si>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</si>
  <si>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</si>
  <si>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</si>
  <si>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</si>
  <si>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</si>
  <si>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</si>
  <si>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</si>
  <si>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</si>
  <si>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</si>
  <si>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</si>
  <si>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</si>
  <si>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</si>
  <si>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</si>
  <si>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</si>
  <si>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</si>
  <si>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</si>
  <si>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</si>
  <si>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</si>
  <si>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</si>
  <si>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</si>
  <si>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</si>
  <si>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</si>
  <si>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</si>
  <si>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</si>
  <si>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</si>
  <si>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</si>
  <si>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</si>
  <si>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</si>
  <si>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</si>
  <si>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</si>
  <si>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</si>
  <si>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</si>
  <si>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</si>
  <si>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</si>
  <si>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</si>
  <si>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</si>
  <si>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</si>
  <si>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</si>
  <si>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</si>
  <si>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</si>
  <si>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</si>
  <si>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</si>
  <si>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</si>
  <si>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</si>
  <si>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</si>
  <si>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</si>
  <si>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</si>
  <si>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</si>
  <si>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</si>
  <si>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</si>
  <si>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</si>
  <si>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</si>
  <si>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</si>
  <si>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</si>
  <si>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</si>
  <si>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</si>
  <si>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</si>
  <si>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</si>
  <si>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</si>
  <si>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</si>
  <si>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</si>
  <si>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</si>
  <si>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</si>
  <si>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</si>
  <si>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</si>
  <si>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</si>
  <si>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</si>
  <si>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</si>
  <si>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</si>
  <si>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</si>
  <si>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</si>
  <si>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</si>
  <si>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</si>
  <si>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</si>
  <si>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</si>
  <si>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</si>
  <si>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</si>
  <si>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</si>
  <si>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</si>
  <si>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</si>
  <si>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</si>
  <si>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</si>
  <si>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</si>
  <si>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</si>
  <si>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</si>
  <si>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</si>
  <si>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</si>
  <si>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</si>
  <si>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</si>
  <si>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</si>
  <si>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</si>
  <si>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</si>
  <si>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</si>
  <si>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</si>
  <si>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</si>
  <si>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</si>
  <si>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</si>
  <si>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</si>
  <si>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</si>
  <si>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</si>
  <si>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</si>
  <si>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</si>
  <si>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</si>
  <si>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</si>
  <si>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</si>
  <si>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</si>
  <si>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</si>
  <si>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</si>
  <si>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</si>
  <si>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</si>
  <si>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</si>
  <si>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</si>
  <si>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</si>
  <si>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</si>
  <si>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</si>
  <si>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</si>
  <si>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</si>
  <si>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</si>
  <si>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</si>
  <si>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</si>
  <si>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</si>
  <si>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</si>
  <si>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</si>
  <si>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</si>
  <si>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</si>
  <si>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</si>
  <si>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</si>
  <si>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</si>
  <si>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</si>
  <si>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</si>
  <si>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</si>
  <si>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</si>
  <si>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</si>
  <si>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</si>
  <si>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</si>
  <si>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</si>
  <si>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</si>
  <si>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</si>
  <si>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</si>
  <si>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</si>
  <si>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</si>
  <si>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</si>
  <si>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</si>
  <si>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</si>
  <si>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</si>
  <si>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</si>
  <si>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</si>
  <si>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</si>
  <si>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</si>
  <si>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</si>
  <si>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</si>
  <si>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</si>
  <si>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</si>
  <si>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</si>
  <si>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</si>
  <si>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</si>
  <si>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</si>
  <si>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</si>
  <si>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</si>
  <si>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</si>
  <si>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</si>
  <si>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</si>
  <si>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</si>
  <si>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</si>
  <si>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</si>
  <si>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</si>
  <si>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</si>
  <si>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</si>
  <si>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</si>
  <si>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</si>
  <si>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</si>
  <si>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</si>
  <si>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</si>
  <si>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</si>
  <si>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</si>
  <si>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</si>
  <si>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</si>
  <si>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</si>
  <si>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</si>
  <si>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</si>
  <si>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</si>
  <si>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</si>
  <si>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</si>
  <si>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</si>
  <si>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</si>
  <si>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</si>
  <si>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</si>
  <si>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</si>
  <si>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</si>
  <si>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</si>
  <si>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</si>
  <si>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</si>
  <si>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</si>
  <si>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</si>
  <si>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</si>
  <si>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</si>
  <si>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</si>
  <si>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</si>
  <si>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</si>
  <si>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</si>
  <si>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</si>
  <si>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</si>
  <si>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</si>
  <si>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</si>
  <si>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</si>
  <si>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</si>
  <si>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</si>
  <si>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</si>
  <si>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</si>
  <si>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</si>
  <si>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</si>
  <si>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</si>
  <si>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</si>
  <si>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</si>
  <si>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</si>
  <si>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</si>
  <si>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</si>
  <si>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</si>
  <si>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</si>
  <si>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</si>
  <si>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</si>
  <si>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</si>
  <si>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</si>
  <si>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</si>
  <si>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</si>
  <si>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</si>
  <si>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</si>
  <si>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</si>
  <si>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</si>
  <si>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</si>
  <si>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</si>
  <si>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</si>
  <si>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</si>
  <si>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</si>
  <si>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</si>
  <si>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</si>
  <si>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</si>
  <si>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</si>
  <si>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</si>
  <si>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</si>
  <si>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</si>
  <si>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</si>
  <si>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</si>
  <si>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</si>
  <si>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</si>
  <si>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</si>
  <si>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</si>
  <si>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</si>
  <si>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</si>
  <si>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</si>
  <si>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</si>
  <si>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</si>
  <si>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</si>
  <si>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</si>
  <si>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</si>
  <si>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</si>
  <si>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</si>
  <si>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</si>
  <si>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</si>
  <si>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</si>
  <si>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</si>
  <si>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</si>
  <si>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</si>
  <si>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</si>
  <si>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</si>
  <si>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</si>
  <si>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</si>
  <si>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</si>
  <si>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</si>
  <si>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</si>
  <si>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</si>
  <si>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</si>
  <si>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</si>
  <si>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</si>
  <si>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</si>
  <si>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</si>
  <si>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</si>
  <si>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</si>
  <si>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</si>
  <si>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</si>
  <si>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</si>
  <si>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</si>
  <si>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</si>
  <si>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</si>
  <si>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</si>
  <si>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</si>
  <si>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</si>
  <si>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</si>
  <si>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</si>
  <si>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</si>
  <si>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</si>
  <si>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</si>
  <si>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</si>
  <si>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</si>
  <si>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</si>
  <si>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</si>
  <si>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</si>
  <si>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</si>
  <si>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</si>
  <si>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</si>
  <si>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</si>
  <si>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</si>
  <si>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</si>
  <si>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</si>
  <si>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</si>
  <si>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</si>
  <si>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</si>
  <si>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</si>
  <si>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</si>
  <si>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</si>
  <si>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</si>
  <si>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</si>
  <si>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</si>
  <si>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</si>
  <si>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</si>
  <si>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</si>
  <si>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</si>
  <si>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</si>
  <si>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</si>
  <si>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</si>
  <si>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</si>
  <si>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</si>
  <si>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</si>
  <si>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</si>
  <si>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</si>
  <si>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</si>
  <si>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</si>
  <si>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</si>
  <si>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</si>
  <si>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</si>
  <si>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</si>
  <si>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</si>
  <si>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</si>
  <si>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</si>
  <si>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</si>
  <si>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</si>
  <si>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</si>
  <si>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</si>
  <si>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</si>
  <si>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</si>
  <si>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</si>
  <si>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</si>
  <si>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</si>
  <si>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</si>
  <si>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</si>
  <si>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</si>
  <si>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</si>
  <si>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</si>
  <si>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</si>
  <si>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</si>
  <si>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</si>
  <si>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</si>
  <si>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</si>
  <si>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</si>
  <si>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</si>
  <si>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</si>
  <si>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</si>
  <si>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</si>
  <si>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</si>
  <si>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</si>
  <si>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</si>
  <si>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</si>
  <si>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</si>
  <si>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</si>
  <si>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</si>
  <si>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</si>
  <si>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</si>
  <si>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</si>
  <si>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</si>
  <si>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</si>
  <si>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</si>
  <si>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</si>
  <si>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</si>
  <si>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</si>
  <si>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</si>
  <si>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</si>
  <si>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</si>
  <si>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</si>
  <si>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</si>
  <si>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</si>
  <si>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</si>
  <si>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</si>
  <si>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</si>
  <si>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</si>
  <si>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</si>
  <si>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</si>
  <si>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</si>
  <si>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</si>
  <si>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</si>
  <si>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</si>
  <si>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</si>
  <si>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</si>
  <si>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</si>
  <si>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</si>
  <si>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</si>
  <si>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</si>
  <si>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</si>
  <si>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</si>
  <si>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</si>
  <si>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</si>
  <si>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</si>
  <si>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</si>
  <si>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</si>
  <si>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</si>
  <si>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</si>
  <si>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</si>
  <si>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</si>
  <si>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</si>
  <si>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</si>
  <si>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</si>
  <si>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</si>
  <si>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</si>
  <si>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</si>
  <si>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</si>
  <si>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</si>
  <si>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</si>
  <si>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</si>
  <si>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</si>
  <si>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</si>
  <si>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</si>
  <si>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</si>
  <si>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</si>
  <si>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</si>
  <si>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</si>
  <si>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</si>
  <si>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</si>
  <si>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</si>
  <si>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</si>
  <si>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</si>
  <si>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</si>
  <si>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</si>
  <si>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</si>
  <si>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</si>
  <si>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</si>
  <si>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</si>
  <si>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</si>
  <si>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</si>
  <si>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</si>
  <si>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</si>
  <si>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</si>
  <si>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</si>
  <si>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</si>
  <si>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</si>
  <si>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</si>
  <si>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</si>
  <si>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</si>
  <si>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</si>
  <si>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</si>
  <si>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</si>
  <si>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</si>
  <si>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</si>
  <si>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</si>
  <si>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</si>
  <si>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</si>
  <si>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</si>
  <si>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</si>
  <si>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</si>
  <si>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</si>
  <si>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</si>
  <si>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</si>
  <si>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</si>
  <si>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</si>
  <si>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</si>
  <si>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</si>
  <si>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</si>
  <si>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</si>
  <si>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</si>
  <si>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</si>
  <si>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</si>
  <si>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</si>
  <si>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</si>
  <si>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</si>
  <si>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</si>
  <si>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</si>
  <si>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</si>
  <si>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</si>
  <si>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</si>
  <si>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</si>
  <si>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</si>
  <si>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</si>
  <si>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</si>
  <si>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</si>
  <si>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</si>
  <si>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</si>
  <si>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</si>
  <si>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</si>
  <si>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</si>
  <si>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</si>
  <si>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</si>
  <si>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</si>
  <si>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</si>
  <si>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</si>
  <si>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</si>
  <si>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</si>
  <si>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</si>
  <si>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</si>
  <si>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</si>
  <si>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</si>
  <si>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</si>
  <si>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</si>
  <si>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</si>
  <si>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</si>
  <si>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</si>
  <si>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</si>
  <si>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</si>
  <si>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</si>
  <si>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</si>
  <si>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</si>
  <si>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</si>
  <si>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</si>
  <si>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</si>
  <si>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</si>
  <si>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</si>
  <si>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</si>
  <si>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</si>
  <si>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</si>
  <si>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</si>
  <si>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</si>
  <si>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</si>
  <si>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</si>
  <si>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</si>
  <si>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</si>
  <si>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</si>
  <si>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</si>
  <si>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</si>
  <si>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</si>
  <si>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</si>
  <si>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</si>
  <si>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</si>
  <si>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</si>
  <si>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</si>
  <si>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</si>
  <si>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</si>
  <si>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</si>
  <si>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</si>
  <si>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</si>
  <si>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</si>
  <si>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</si>
  <si>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</si>
  <si>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</si>
  <si>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</si>
  <si>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</si>
  <si>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</si>
  <si>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</si>
  <si>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</si>
  <si>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</si>
  <si>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</si>
  <si>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</si>
  <si>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</si>
  <si>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</si>
  <si>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</si>
  <si>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</si>
  <si>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</si>
  <si>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</si>
  <si>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</si>
  <si>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</si>
  <si>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</si>
  <si>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</si>
  <si>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</si>
  <si>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</si>
  <si>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</si>
  <si>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</si>
  <si>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</si>
  <si>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</si>
  <si>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</si>
  <si>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</si>
  <si>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</si>
  <si>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</si>
  <si>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</si>
  <si>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</si>
  <si>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</si>
  <si>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</si>
  <si>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</si>
  <si>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</si>
  <si>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</si>
  <si>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</si>
  <si>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</si>
  <si>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</si>
  <si>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</si>
  <si>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</si>
  <si>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</si>
  <si>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</si>
  <si>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</si>
  <si>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</si>
  <si>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</si>
  <si>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</si>
  <si>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</si>
  <si>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</si>
  <si>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</si>
  <si>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</si>
  <si>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</si>
  <si>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</si>
  <si>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</si>
  <si>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</si>
  <si>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</si>
  <si>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</si>
  <si>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</si>
  <si>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</si>
  <si>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</si>
  <si>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</si>
  <si>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</si>
  <si>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</si>
  <si>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</si>
  <si>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</si>
  <si>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</si>
  <si>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</si>
  <si>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</si>
  <si>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</si>
  <si>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</si>
  <si>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</si>
  <si>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</si>
  <si>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</si>
  <si>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</si>
  <si>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</si>
  <si>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</si>
  <si>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</si>
  <si>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</si>
  <si>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</si>
  <si>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</si>
  <si>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</si>
  <si>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</si>
  <si>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</si>
  <si>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</si>
  <si>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</si>
  <si>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</si>
  <si>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</si>
  <si>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</si>
  <si>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</si>
  <si>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</si>
  <si>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</si>
  <si>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</si>
  <si>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</si>
  <si>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</si>
  <si>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</si>
  <si>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</si>
  <si>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</si>
  <si>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</si>
  <si>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</si>
  <si>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</si>
  <si>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</si>
  <si>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</si>
  <si>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</si>
  <si>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</si>
  <si>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</si>
  <si>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</si>
  <si>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</si>
  <si>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</si>
  <si>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</si>
  <si>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</si>
  <si>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</si>
  <si>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</si>
  <si>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</si>
  <si>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</si>
  <si>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</si>
  <si>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</si>
  <si>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</si>
  <si>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</si>
  <si>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</si>
  <si>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</si>
  <si>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</si>
  <si>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</si>
  <si>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</si>
  <si>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</si>
  <si>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</si>
  <si>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</si>
  <si>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</si>
  <si>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</si>
  <si>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</si>
  <si>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</si>
  <si>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</si>
  <si>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</si>
  <si>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</si>
  <si>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</si>
  <si>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</si>
  <si>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</si>
  <si>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</si>
  <si>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</si>
  <si>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</si>
  <si>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</si>
  <si>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</si>
  <si>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</si>
  <si>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</si>
  <si>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</si>
  <si>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</si>
  <si>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</si>
  <si>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</si>
  <si>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</si>
  <si>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</si>
  <si>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</si>
  <si>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</si>
  <si>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</si>
  <si>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</si>
  <si>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</si>
  <si>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</si>
  <si>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</si>
  <si>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</si>
  <si>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</si>
  <si>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</si>
  <si>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</si>
  <si>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</si>
  <si>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</si>
  <si>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</si>
  <si>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</si>
  <si>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</si>
  <si>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</si>
  <si>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</si>
  <si>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</si>
  <si>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</si>
  <si>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</si>
  <si>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</si>
  <si>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</si>
  <si>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</si>
  <si>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</si>
  <si>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</si>
  <si>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</si>
  <si>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</si>
  <si>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</si>
  <si>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</si>
  <si>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</si>
  <si>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</si>
  <si>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</si>
  <si>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</si>
  <si>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</si>
  <si>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</si>
  <si>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</si>
  <si>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</si>
  <si>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</si>
  <si>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</si>
  <si>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</si>
  <si>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</si>
  <si>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</si>
  <si>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</si>
  <si>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</si>
  <si>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</si>
  <si>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</si>
  <si>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</si>
  <si>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</si>
  <si>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</si>
  <si>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</si>
  <si>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</si>
  <si>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</si>
  <si>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</si>
  <si>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</si>
  <si>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</si>
  <si>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</si>
  <si>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</si>
  <si>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</si>
  <si>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</si>
  <si>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</si>
  <si>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</si>
  <si>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</si>
  <si>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</si>
  <si>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</si>
  <si>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</si>
  <si>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</si>
  <si>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</si>
  <si>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</si>
  <si>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</si>
  <si>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</si>
  <si>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</si>
  <si>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</si>
  <si>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</si>
  <si>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</si>
  <si>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</si>
  <si>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</si>
  <si>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</si>
  <si>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</si>
  <si>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</si>
  <si>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</si>
  <si>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</si>
  <si>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</si>
  <si>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</si>
  <si>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</si>
  <si>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</si>
  <si>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</si>
  <si>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</si>
  <si>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</si>
  <si>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</si>
  <si>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</si>
  <si>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</si>
  <si>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</si>
  <si>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</si>
  <si>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</si>
  <si>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</si>
  <si>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</si>
  <si>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</si>
  <si>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</si>
  <si>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</si>
  <si>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</si>
  <si>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</si>
  <si>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</si>
  <si>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</si>
  <si>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</si>
  <si>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</si>
  <si>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</si>
  <si>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</si>
  <si>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</si>
  <si>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</si>
  <si>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</si>
  <si>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</si>
  <si>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</si>
  <si>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</si>
  <si>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</si>
  <si>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</si>
  <si>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</si>
  <si>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</si>
  <si>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</si>
  <si>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</si>
  <si>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</si>
  <si>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</si>
  <si>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</si>
  <si>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</si>
  <si>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</si>
  <si>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</si>
  <si>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</si>
  <si>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</si>
  <si>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</si>
  <si>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</si>
  <si>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</si>
  <si>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</si>
  <si>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</si>
  <si>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</si>
  <si>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</si>
  <si>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</si>
  <si>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</si>
  <si>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</si>
  <si>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</si>
  <si>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</si>
  <si>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</si>
  <si>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</si>
  <si>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</si>
  <si>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</si>
  <si>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</si>
  <si>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</si>
  <si>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</si>
  <si>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</si>
  <si>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</si>
  <si>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</si>
  <si>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</si>
  <si>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</si>
  <si>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</si>
  <si>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</si>
  <si>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</si>
  <si>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</si>
  <si>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</si>
  <si>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</si>
  <si>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</si>
  <si>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</si>
  <si>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</si>
  <si>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</si>
  <si>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</si>
  <si>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</si>
  <si>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</si>
  <si>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</si>
  <si>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</si>
  <si>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</si>
  <si>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</si>
  <si>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</si>
  <si>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</si>
  <si>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</si>
  <si>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</si>
  <si>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</si>
  <si>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</si>
  <si>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</si>
  <si>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</si>
  <si>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</si>
  <si>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</si>
  <si>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</si>
  <si>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</si>
  <si>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</si>
  <si>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</si>
  <si>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</si>
  <si>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</si>
  <si>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</si>
  <si>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</si>
  <si>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</si>
  <si>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</si>
  <si>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</si>
  <si>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</si>
  <si>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</si>
  <si>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</si>
  <si>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</si>
  <si>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</si>
  <si>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</si>
  <si>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</si>
  <si>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</si>
  <si>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</si>
  <si>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</si>
  <si>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</si>
  <si>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</si>
  <si>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</si>
  <si>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</si>
  <si>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</si>
  <si>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</si>
  <si>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</si>
  <si>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</si>
  <si>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</si>
  <si>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</si>
  <si>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</si>
  <si>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</si>
  <si>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</si>
  <si>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</si>
  <si>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</si>
  <si>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</si>
  <si>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</si>
  <si>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</si>
  <si>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</si>
  <si>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</si>
  <si>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</si>
  <si>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</si>
  <si>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</si>
  <si>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</si>
  <si>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</si>
  <si>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</si>
  <si>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</si>
  <si>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</si>
  <si>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</si>
  <si>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</si>
  <si>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</si>
  <si>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</si>
  <si>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</si>
  <si>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</si>
  <si>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</si>
  <si>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</si>
  <si>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</si>
  <si>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</si>
  <si>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</si>
  <si>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</si>
  <si>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</si>
  <si>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</si>
  <si>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</si>
  <si>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</si>
  <si>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</si>
  <si>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</si>
  <si>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</si>
  <si>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</si>
  <si>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</si>
  <si>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</si>
  <si>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</si>
  <si>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customer_name_cleaned</t>
  </si>
  <si>
    <t>region_cleaned</t>
  </si>
  <si>
    <t>state_cleaned</t>
  </si>
  <si>
    <t>city_cleaned</t>
  </si>
  <si>
    <t>category_cleaned</t>
  </si>
  <si>
    <t>sub_category_cleaned</t>
  </si>
  <si>
    <t>ship_mode cleaned</t>
  </si>
  <si>
    <t>payment status _cleaned</t>
  </si>
  <si>
    <t>order_status_cleaned</t>
  </si>
  <si>
    <t>segment_cleaned</t>
  </si>
  <si>
    <t>order_date_clean</t>
  </si>
  <si>
    <t>ship_date_clean</t>
  </si>
  <si>
    <t>order_date_flag</t>
  </si>
  <si>
    <t>ship_date_flag</t>
  </si>
  <si>
    <t>date_validation_flag</t>
  </si>
  <si>
    <t>shipping_delay_days</t>
  </si>
  <si>
    <t>duplicate order_ids</t>
  </si>
  <si>
    <t>Duplicate_flag</t>
  </si>
  <si>
    <t>Conflicting Duplicate - Flagged</t>
  </si>
  <si>
    <t>cleaned_discount</t>
  </si>
  <si>
    <t>discount_flaged</t>
  </si>
  <si>
    <t>include_in_sales</t>
  </si>
  <si>
    <t>calculated_sales</t>
  </si>
  <si>
    <t xml:space="preserve">calculated_profit </t>
  </si>
  <si>
    <t>profit_margin</t>
  </si>
  <si>
    <t>data_quality_flag</t>
  </si>
  <si>
    <t xml:space="preserve">order_month </t>
  </si>
  <si>
    <t>order_year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</si>
</sst>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3" borderId="1" xfId="0" applyNumberFormat="1" applyFont="1" applyFill="1" applyBorder="1" applyAlignment="1"/>
    <xf numFmtId="0" fontId="0" fillId="0" borderId="1" xfId="0" applyNumberFormat="1" applyFont="1" applyFill="1" applyBorder="1" applyAlignment="1"/>
    <xf numFmtId="0" fontId="0" fillId="4" borderId="1" xfId="0" applyNumberFormat="1" applyFont="1" applyFill="1" applyBorder="1" applyAlignment="1"/>
    <xf numFmtId="0" fontId="0" fillId="5" borderId="1" xfId="0" applyNumberFormat="1" applyFont="1" applyFill="1" applyBorder="1" applyAlignment="1"/>
    <xf numFmtId="0" fontId="0" fillId="4" borderId="0" xfId="0" applyFill="1"/>
    <xf numFmtId="14" fontId="0" fillId="0" borderId="1" xfId="0" applyNumberFormat="1" applyFont="1" applyFill="1" applyBorder="1" applyAlignment="1"/>
    <xf numFmtId="14" fontId="0" fillId="0" borderId="0" xfId="0" applyNumberFormat="1" applyFont="1" applyFill="1" applyBorder="1" applyAlignment="1"/>
    <xf numFmtId="0" fontId="0" fillId="6" borderId="1" xfId="0" applyNumberFormat="1" applyFont="1" applyFill="1" applyBorder="1" applyAlignment="1"/>
    <xf numFmtId="0" fontId="0" fillId="6" borderId="0" xfId="0" applyFill="1"/>
    <xf numFmtId="0" fontId="1" fillId="7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10" fontId="0" fillId="0" borderId="0" xfId="0" applyNumberFormat="1"/>
    <xf numFmtId="10" fontId="1" fillId="7" borderId="1" xfId="0" applyNumberFormat="1" applyFont="1" applyFill="1" applyBorder="1" applyAlignment="1">
      <alignment horizontal="center" vertical="center" wrapText="1"/>
    </xf>
    <xf numFmtId="10" fontId="0" fillId="6" borderId="1" xfId="0" applyNumberFormat="1" applyFont="1" applyFill="1" applyBorder="1" applyAlignment="1"/>
    <xf numFmtId="10" fontId="0" fillId="4" borderId="1" xfId="0" applyNumberFormat="1" applyFont="1" applyFill="1" applyBorder="1" applyAlignment="1"/>
    <xf numFmtId="10" fontId="0" fillId="0" borderId="0" xfId="0" applyNumberFormat="1" applyFill="1"/>
    <xf numFmtId="10" fontId="0" fillId="6" borderId="0" xfId="0" applyNumberFormat="1" applyFill="1"/>
    <xf numFmtId="1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4"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4" formatCode="0.00%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913" totalsRowShown="0" headerRowDxfId="2">
  <autoFilter ref="A1:AV913"/>
  <tableColumns count="48">
    <tableColumn id="1" name="order_id" dataDxfId="43"/>
    <tableColumn id="2" name="order_date" dataDxfId="42"/>
    <tableColumn id="3" name="order_date_clean" dataDxfId="41">
      <calculatedColumnFormula>IFERROR(DATEVALUE(TEXT(B2,"DD/MM/YYYY")), IF(ISNUMBER(B2), B2, ""))</calculatedColumnFormula>
    </tableColumn>
    <tableColumn id="4" name="order_date_flag" dataDxfId="40">
      <calculatedColumnFormula>IF(B2="","Missing", IF(AND(ISNUMBER(B2)=FALSE, C2=""),"Invalid - Could Not Parse", IF(AND(ISNUMBER(B2)=FALSE, C2&lt;&gt;""),"Text - Converted to Date", IF(ISNUMBER(B2),"Valid","Check"))))</calculatedColumnFormula>
    </tableColumn>
    <tableColumn id="5" name="order_month " dataDxfId="39">
      <calculatedColumnFormula>IFERROR(MONTH(C2), "")</calculatedColumnFormula>
    </tableColumn>
    <tableColumn id="6" name="order_year" dataDxfId="38">
      <calculatedColumnFormula>IFERROR(YEAR(C2), "")</calculatedColumnFormula>
    </tableColumn>
    <tableColumn id="7" name="ship_date" dataDxfId="37"/>
    <tableColumn id="8" name="ship_date_clean" dataDxfId="36">
      <calculatedColumnFormula>IFERROR(DATEVALUE(TEXT(G2,"DD/MM/YYYY")), IF(ISNUMBER(G2), G2, ""))</calculatedColumnFormula>
    </tableColumn>
    <tableColumn id="9" name="ship_date_flag" dataDxfId="35">
      <calculatedColumnFormula>IF(G2="","Missing", IF(AND(ISNUMBER(G2)=FALSE, H2=""),"Invalid - Could Not Parse", IF(AND(ISNUMBER(G2)=FALSE, H2&lt;&gt;""),"Text - Converted to Date", IF(ISNUMBER(G2),"Valid","Check"))))</calculatedColumnFormula>
    </tableColumn>
    <tableColumn id="10" name="date_validation_flag" dataDxfId="34">
      <calculatedColumnFormula>IF(OR(C2="", H2=""), "Cannot Check - Date Missing", IF(H2&lt;C2, "Invalid - Ship Before Order", "Valid"))</calculatedColumnFormula>
    </tableColumn>
    <tableColumn id="11" name="shipping_delay_days" dataDxfId="33">
      <calculatedColumnFormula>IF(OR(C2="", H2=""), "", IF(H2&lt;C2, "", H2-C2))</calculatedColumnFormula>
    </tableColumn>
    <tableColumn id="12" name="customer_id" dataDxfId="32"/>
    <tableColumn id="13" name="customer_name" dataDxfId="31"/>
    <tableColumn id="14" name="customer_name_cleaned" dataDxfId="30">
      <calculatedColumnFormula>TRIM(SUBSTITUTE(M2,"_"," "))</calculatedColumnFormula>
    </tableColumn>
    <tableColumn id="15" name="segment" dataDxfId="29"/>
    <tableColumn id="16" name="segment_cleaned" dataDxfId="28">
      <calculatedColumnFormula>PROPER(TRIM(SUBSTITUTE(O2,".","")))</calculatedColumnFormula>
    </tableColumn>
    <tableColumn id="17" name="region" dataDxfId="27"/>
    <tableColumn id="18" name="region_cleaned" dataDxfId="26">
      <calculatedColumnFormula>PROPER(TRIM(SUBSTITUTE(Q2,"  "," ")))</calculatedColumnFormula>
    </tableColumn>
    <tableColumn id="19" name="state" dataDxfId="25"/>
    <tableColumn id="20" name="state_cleaned" dataDxfId="24">
      <calculatedColumnFormula>PROPER(TRIM(SUBSTITUTE(S2,"  "," ")))</calculatedColumnFormula>
    </tableColumn>
    <tableColumn id="21" name="city" dataDxfId="23"/>
    <tableColumn id="22" name="city_cleaned" dataDxfId="22">
      <calculatedColumnFormula>PROPER(TRIM(SUBSTITUTE(U2,"  "," ")))</calculatedColumnFormula>
    </tableColumn>
    <tableColumn id="23" name="category" dataDxfId="21"/>
    <tableColumn id="24" name="category_cleaned" dataDxfId="20">
      <calculatedColumnFormula>PROPER(TRIM(SUBSTITUTE(W2,"  "," ")))</calculatedColumnFormula>
    </tableColumn>
    <tableColumn id="25" name="sub_category" dataDxfId="19"/>
    <tableColumn id="26" name="sub_category_cleaned" dataDxfId="18">
      <calculatedColumnFormula>PROPER(TRIM(SUBSTITUTE(Y2,"  "," ")))</calculatedColumnFormula>
    </tableColumn>
    <tableColumn id="27" name="product_name" dataDxfId="17"/>
    <tableColumn id="28" name="ship_mode" dataDxfId="16"/>
    <tableColumn id="29" name="ship_mode cleaned" dataDxfId="15">
      <calculatedColumnFormula>PROPER(TRIM(SUBSTITUTE(AB2,"  "," ")))</calculatedColumnFormula>
    </tableColumn>
    <tableColumn id="30" name="quantity" dataDxfId="14"/>
    <tableColumn id="31" name="unit_price" dataDxfId="13"/>
    <tableColumn id="32" name="discount" dataDxfId="12"/>
    <tableColumn id="33" name="cleaned_discount" dataDxfId="1"/>
    <tableColumn id="34" name="discount_flaged" dataDxfId="11">
      <calculatedColumnFormula>IF(ISBLANK(AF2), "Missing", IF(AF2 &lt; 0, "Invalid - Negative", IF(AF2 &gt; 0.5, "Invalid - Above Range", "Valid")))</calculatedColumnFormula>
    </tableColumn>
    <tableColumn id="35" name="sales" dataDxfId="10"/>
    <tableColumn id="36" name="cost" dataDxfId="9"/>
    <tableColumn id="37" name="profit" dataDxfId="8"/>
    <tableColumn id="38" name="payment_status" dataDxfId="7"/>
    <tableColumn id="39" name="payment status _cleaned" dataDxfId="6">
      <calculatedColumnFormula>PROPER(TRIM(SUBSTITUTE(AL2,".","")))</calculatedColumnFormula>
    </tableColumn>
    <tableColumn id="40" name="order_status" dataDxfId="5"/>
    <tableColumn id="41" name="order_status_cleaned" dataDxfId="4">
      <calculatedColumnFormula>PROPER(TRIM(SUBSTITUTE(AN2,".","")))</calculatedColumnFormula>
    </tableColumn>
    <tableColumn id="42" name="duplicate order_ids">
      <calculatedColumnFormula>IF(COUNTIF($A$2:$A$933, A2) &gt; 1, "Duplicate ID", "Unique")</calculatedColumnFormula>
    </tableColumn>
    <tableColumn id="43" name="Duplicate_flag"/>
    <tableColumn id="44" name="calculated_sales">
      <calculatedColumnFormula>AD2 * AE2 * (1 - AG2)</calculatedColumnFormula>
    </tableColumn>
    <tableColumn id="45" name="calculated_profit ">
      <calculatedColumnFormula>AR2-AJ2</calculatedColumnFormula>
    </tableColumn>
    <tableColumn id="46" name="profit_margin" dataDxfId="0">
      <calculatedColumnFormula>IFERROR(AS2 / AR2, "")</calculatedColumnFormula>
    </tableColumn>
    <tableColumn id="47" name="data_quality_flag">
      <calculatedColumnFormula>IF(OR(AH2="Invalid - Negative",AH2="Invalid - Above Range", J2="Invalid - Ship Before Order", AQ2="Conflicting Duplicate - Flagged"), "Invalid", IF(OR(R1="Unknown", AC1="Unknown", AH2="Missing"), "Warning", "Clean"))</calculatedColumnFormula>
    </tableColumn>
    <tableColumn id="48" name="include_in_sales" dataDxfId="3">
      <calculatedColumnFormula>IF(AM2 = "Refunded", "Refund", IF(AO2 = "Cancelled", "Cancelled", "Active"))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280"/>
  <sheetViews>
    <sheetView tabSelected="1" topLeftCell="AS1" workbookViewId="0">
      <selection activeCell="AT1" sqref="AT1:AT1048576"/>
    </sheetView>
  </sheetViews>
  <sheetFormatPr defaultRowHeight="14.25"/>
  <cols>
    <col min="1" max="2" width="16" customWidth="1"/>
    <col min="3" max="3" width="18.25" customWidth="1"/>
    <col min="4" max="4" width="21" bestFit="1" customWidth="1"/>
    <col min="5" max="5" width="16.25" bestFit="1" customWidth="1"/>
    <col min="6" max="6" width="14.5" bestFit="1" customWidth="1"/>
    <col min="7" max="7" width="16" customWidth="1"/>
    <col min="8" max="8" width="17.125" customWidth="1"/>
    <col min="9" max="9" width="21" bestFit="1" customWidth="1"/>
    <col min="10" max="10" width="22.625" bestFit="1" customWidth="1"/>
    <col min="11" max="11" width="21" customWidth="1"/>
    <col min="12" max="12" width="16" customWidth="1"/>
    <col min="13" max="13" width="16.75" customWidth="1"/>
    <col min="14" max="14" width="24.75" customWidth="1"/>
    <col min="15" max="15" width="16" customWidth="1"/>
    <col min="16" max="16" width="18.375" customWidth="1"/>
    <col min="17" max="17" width="16" customWidth="1"/>
    <col min="18" max="18" width="16.5" customWidth="1"/>
    <col min="19" max="23" width="16" customWidth="1"/>
    <col min="24" max="24" width="18.375" customWidth="1"/>
    <col min="25" max="25" width="16" customWidth="1"/>
    <col min="26" max="26" width="22.625" customWidth="1"/>
    <col min="27" max="28" width="16" customWidth="1"/>
    <col min="29" max="29" width="19.875" customWidth="1"/>
    <col min="30" max="30" width="11.875" bestFit="1" customWidth="1"/>
    <col min="31" max="31" width="13.75" bestFit="1" customWidth="1"/>
    <col min="32" max="32" width="12.5" bestFit="1" customWidth="1"/>
    <col min="33" max="33" width="18.375" style="20" customWidth="1"/>
    <col min="34" max="34" width="19.125" style="12" bestFit="1" customWidth="1"/>
    <col min="35" max="37" width="16" customWidth="1"/>
    <col min="38" max="38" width="16.5" customWidth="1"/>
    <col min="39" max="39" width="24.5" customWidth="1"/>
    <col min="40" max="40" width="16" customWidth="1"/>
    <col min="41" max="41" width="22" customWidth="1"/>
    <col min="42" max="42" width="19.875" customWidth="1"/>
    <col min="43" max="43" width="26.125" bestFit="1" customWidth="1"/>
    <col min="44" max="45" width="26.125" customWidth="1"/>
    <col min="46" max="46" width="26.125" style="15" customWidth="1"/>
    <col min="47" max="47" width="26.125" customWidth="1"/>
    <col min="48" max="48" width="17.5" customWidth="1"/>
  </cols>
  <sheetData>
    <row r="1" spans="1:48" ht="33" customHeight="1">
      <c r="A1" s="1" t="s">
        <v>0</v>
      </c>
      <c r="B1" s="1" t="s">
        <v>1</v>
      </c>
      <c r="C1" s="2" t="s">
        <v>4098</v>
      </c>
      <c r="D1" s="2" t="s">
        <v>4100</v>
      </c>
      <c r="E1" s="2" t="s">
        <v>4114</v>
      </c>
      <c r="F1" s="2" t="s">
        <v>4115</v>
      </c>
      <c r="G1" s="1" t="s">
        <v>2</v>
      </c>
      <c r="H1" s="2" t="s">
        <v>4099</v>
      </c>
      <c r="I1" s="2" t="s">
        <v>4101</v>
      </c>
      <c r="J1" s="2" t="s">
        <v>4102</v>
      </c>
      <c r="K1" s="2" t="s">
        <v>4103</v>
      </c>
      <c r="L1" s="1" t="s">
        <v>3</v>
      </c>
      <c r="M1" s="1" t="s">
        <v>4</v>
      </c>
      <c r="N1" s="2" t="s">
        <v>4088</v>
      </c>
      <c r="O1" s="1" t="s">
        <v>5</v>
      </c>
      <c r="P1" s="2" t="s">
        <v>4097</v>
      </c>
      <c r="Q1" s="1" t="s">
        <v>6</v>
      </c>
      <c r="R1" s="2" t="s">
        <v>4089</v>
      </c>
      <c r="S1" s="1" t="s">
        <v>7</v>
      </c>
      <c r="T1" s="2" t="s">
        <v>4090</v>
      </c>
      <c r="U1" s="1" t="s">
        <v>8</v>
      </c>
      <c r="V1" s="2" t="s">
        <v>4091</v>
      </c>
      <c r="W1" s="1" t="s">
        <v>9</v>
      </c>
      <c r="X1" s="2" t="s">
        <v>4092</v>
      </c>
      <c r="Y1" s="1" t="s">
        <v>10</v>
      </c>
      <c r="Z1" s="2" t="s">
        <v>4093</v>
      </c>
      <c r="AA1" s="1" t="s">
        <v>11</v>
      </c>
      <c r="AB1" s="1" t="s">
        <v>12</v>
      </c>
      <c r="AC1" s="2" t="s">
        <v>4094</v>
      </c>
      <c r="AD1" s="1" t="s">
        <v>13</v>
      </c>
      <c r="AE1" s="1" t="s">
        <v>14</v>
      </c>
      <c r="AF1" s="1" t="s">
        <v>15</v>
      </c>
      <c r="AG1" s="16" t="s">
        <v>4107</v>
      </c>
      <c r="AH1" s="13" t="s">
        <v>4108</v>
      </c>
      <c r="AI1" s="1" t="s">
        <v>16</v>
      </c>
      <c r="AJ1" s="1" t="s">
        <v>17</v>
      </c>
      <c r="AK1" s="1" t="s">
        <v>18</v>
      </c>
      <c r="AL1" s="1" t="s">
        <v>19</v>
      </c>
      <c r="AM1" s="2" t="s">
        <v>4095</v>
      </c>
      <c r="AN1" s="1" t="s">
        <v>20</v>
      </c>
      <c r="AO1" s="2" t="s">
        <v>4096</v>
      </c>
      <c r="AP1" s="2" t="s">
        <v>4104</v>
      </c>
      <c r="AQ1" s="2" t="s">
        <v>4105</v>
      </c>
      <c r="AR1" s="2" t="s">
        <v>4110</v>
      </c>
      <c r="AS1" s="2" t="s">
        <v>4111</v>
      </c>
      <c r="AT1" s="21" t="s">
        <v>4112</v>
      </c>
      <c r="AU1" s="2" t="s">
        <v>4113</v>
      </c>
      <c r="AV1" s="2" t="s">
        <v>4109</v>
      </c>
    </row>
    <row r="2" spans="1:48">
      <c r="A2" s="3" t="s">
        <v>3530</v>
      </c>
      <c r="B2" s="3" t="s">
        <v>3531</v>
      </c>
      <c r="C2" s="9">
        <f>IFERROR(DATEVALUE(TEXT(B2,"DD/MM/YYYY")), IF(ISNUMBER(B2), B2, ""))</f>
        <v>45292</v>
      </c>
      <c r="D2" s="9" t="str">
        <f>IF(B2="","Missing", IF(AND(ISNUMBER(B2)=FALSE, C2=""),"Invalid - Could Not Parse", IF(AND(ISNUMBER(B2)=FALSE, C2&lt;&gt;""),"Text - Converted to Date", IF(ISNUMBER(B2),"Valid","Check"))))</f>
        <v>Text - Converted to Date</v>
      </c>
      <c r="E2" s="5">
        <f>IFERROR(MONTH(C2), "")</f>
        <v>1</v>
      </c>
      <c r="F2" s="5">
        <f>IFERROR(YEAR(C2), "")</f>
        <v>2024</v>
      </c>
      <c r="G2" s="3" t="s">
        <v>3532</v>
      </c>
      <c r="H2" s="9">
        <f>IFERROR(DATEVALUE(TEXT(G2,"DD/MM/YYYY")), IF(ISNUMBER(G2), G2, ""))</f>
        <v>45296</v>
      </c>
      <c r="I2" s="9" t="str">
        <f>IF(G2="","Missing", IF(AND(ISNUMBER(G2)=FALSE, H2=""),"Invalid - Could Not Parse", IF(AND(ISNUMBER(G2)=FALSE, H2&lt;&gt;""),"Text - Converted to Date", IF(ISNUMBER(G2),"Valid","Check"))))</f>
        <v>Text - Converted to Date</v>
      </c>
      <c r="J2" s="9" t="str">
        <f>IF(OR(C2="", H2=""), "Cannot Check - Date Missing", IF(H2&lt;C2, "Invalid - Ship Before Order", "Valid"))</f>
        <v>Valid</v>
      </c>
      <c r="K2" s="5">
        <f>IF(OR(C2="", H2=""), "", IF(H2&lt;C2, "", H2-C2))</f>
        <v>4</v>
      </c>
      <c r="L2" s="3" t="s">
        <v>3533</v>
      </c>
      <c r="M2" s="3" t="s">
        <v>210</v>
      </c>
      <c r="N2" s="4" t="str">
        <f>TRIM(SUBSTITUTE(M2,"_"," "))</f>
        <v>Diya Patel</v>
      </c>
      <c r="O2" s="3" t="s">
        <v>108</v>
      </c>
      <c r="P2" s="6" t="str">
        <f>PROPER(TRIM(SUBSTITUTE(O2,".","")))</f>
        <v>Corporate</v>
      </c>
      <c r="Q2" s="3" t="s">
        <v>73</v>
      </c>
      <c r="R2" s="7" t="str">
        <f>PROPER(TRIM(SUBSTITUTE(Q2,"  "," ")))</f>
        <v>West</v>
      </c>
      <c r="S2" s="3" t="s">
        <v>84</v>
      </c>
      <c r="T2" s="6" t="str">
        <f>PROPER(TRIM(SUBSTITUTE(S2,"  "," ")))</f>
        <v>Madhya Pradesh</v>
      </c>
      <c r="U2" s="3" t="s">
        <v>85</v>
      </c>
      <c r="V2" s="6" t="str">
        <f>PROPER(TRIM(SUBSTITUTE(U2,"  "," ")))</f>
        <v>Indore</v>
      </c>
      <c r="W2" s="3" t="s">
        <v>86</v>
      </c>
      <c r="X2" s="6" t="str">
        <f>PROPER(TRIM(SUBSTITUTE(W2,"  "," ")))</f>
        <v>Technology</v>
      </c>
      <c r="Y2" s="3" t="s">
        <v>382</v>
      </c>
      <c r="Z2" s="6" t="str">
        <f>PROPER(TRIM(SUBSTITUTE(Y2,"  "," ")))</f>
        <v>Machines</v>
      </c>
      <c r="AA2" s="3" t="s">
        <v>3534</v>
      </c>
      <c r="AB2" s="3" t="s">
        <v>33</v>
      </c>
      <c r="AC2" s="6" t="str">
        <f>PROPER(TRIM(SUBSTITUTE(AB2,"  "," ")))</f>
        <v>Second Class</v>
      </c>
      <c r="AD2" s="3">
        <v>2</v>
      </c>
      <c r="AE2" s="3">
        <v>3694.12</v>
      </c>
      <c r="AF2" s="3">
        <v>0.2</v>
      </c>
      <c r="AG2" s="17">
        <v>0.2</v>
      </c>
      <c r="AH2" s="6" t="str">
        <f>IF(ISBLANK(AF2), "Missing", IF(AF2 &lt; 0, "Invalid - Negative", IF(AF2 &gt; 0.5, "Invalid - Above Range", "Valid")))</f>
        <v>Valid</v>
      </c>
      <c r="AI2" s="3">
        <v>5910.59</v>
      </c>
      <c r="AJ2" s="3">
        <v>4775.4399999999996</v>
      </c>
      <c r="AK2" s="3">
        <v>1135.1500000000001</v>
      </c>
      <c r="AL2" s="3" t="s">
        <v>124</v>
      </c>
      <c r="AM2" s="6" t="str">
        <f>PROPER(TRIM(SUBSTITUTE(AL2,".","")))</f>
        <v>Refunded</v>
      </c>
      <c r="AN2" s="3" t="s">
        <v>125</v>
      </c>
      <c r="AO2" s="8" t="str">
        <f>PROPER(TRIM(SUBSTITUTE(AN2,".","")))</f>
        <v>Returned</v>
      </c>
      <c r="AP2" t="str">
        <f>IF(COUNTIF($A$2:$A$933, A2) &gt; 1, "Duplicate ID", "Unique")</f>
        <v>Unique</v>
      </c>
      <c r="AR2">
        <f>AD2 * AE2 * (1 - AG2)</f>
        <v>5910.5920000000006</v>
      </c>
      <c r="AS2">
        <f>AR2-AJ2</f>
        <v>1135.152000000001</v>
      </c>
      <c r="AT2" s="15">
        <f>IFERROR(AS2 / AR2, "")</f>
        <v>0.19205385856442145</v>
      </c>
      <c r="AU2" t="str">
        <f>IF(OR(AH2="Invalid - Negative",AH2="Invalid - Above Range", J2="Invalid - Ship Before Order", AQ2="Conflicting Duplicate - Flagged"), "Invalid", IF(OR(R1="Unknown", AC1="Unknown", AH2="Missing"), "Warning", "Clean"))</f>
        <v>Clean</v>
      </c>
      <c r="AV2" s="8" t="str">
        <f>IF(AM2 = "Refunded", "Refund", IF(AO2 = "Cancelled", "Cancelled", "Active"))</f>
        <v>Refund</v>
      </c>
    </row>
    <row r="3" spans="1:48">
      <c r="A3" s="3" t="s">
        <v>2283</v>
      </c>
      <c r="B3" s="3" t="s">
        <v>2284</v>
      </c>
      <c r="C3" s="9">
        <f>IFERROR(DATEVALUE(TEXT(B3,"DD/MM/YYYY")), IF(ISNUMBER(B3), B3, ""))</f>
        <v>45295</v>
      </c>
      <c r="D3" s="9" t="str">
        <f>IF(B3="","Missing", IF(AND(ISNUMBER(B3)=FALSE, C3=""),"Invalid - Could Not Parse", IF(AND(ISNUMBER(B3)=FALSE, C3&lt;&gt;""),"Text - Converted to Date", IF(ISNUMBER(B3),"Valid","Check"))))</f>
        <v>Text - Converted to Date</v>
      </c>
      <c r="E3" s="5">
        <f t="shared" ref="E3:E66" si="0">IFERROR(MONTH(C3), "")</f>
        <v>1</v>
      </c>
      <c r="F3" s="5">
        <f t="shared" ref="F3:F66" si="1">IFERROR(YEAR(C3), "")</f>
        <v>2024</v>
      </c>
      <c r="G3" s="3" t="s">
        <v>2285</v>
      </c>
      <c r="H3" s="9">
        <f>IFERROR(DATEVALUE(TEXT(G3,"DD/MM/YYYY")), IF(ISNUMBER(G3), G3, ""))</f>
        <v>45505</v>
      </c>
      <c r="I3" s="9" t="str">
        <f>IF(G3="","Missing", IF(AND(ISNUMBER(G3)=FALSE, H3=""),"Invalid - Could Not Parse", IF(AND(ISNUMBER(G3)=FALSE, H3&lt;&gt;""),"Text - Converted to Date", IF(ISNUMBER(G3),"Valid","Check"))))</f>
        <v>Text - Converted to Date</v>
      </c>
      <c r="J3" s="9" t="str">
        <f>IF(OR(C3="", H3=""), "Cannot Check - Date Missing", IF(H3&lt;C3, "Invalid - Ship Before Order", "Valid"))</f>
        <v>Valid</v>
      </c>
      <c r="K3" s="5">
        <f>IF(OR(C3="", H3=""), "", IF(H3&lt;C3, "", H3-C3))</f>
        <v>210</v>
      </c>
      <c r="L3" s="3" t="s">
        <v>2286</v>
      </c>
      <c r="M3" s="3" t="s">
        <v>40</v>
      </c>
      <c r="N3" s="4" t="str">
        <f>TRIM(SUBSTITUTE(M3,"_"," "))</f>
        <v>Mira Das</v>
      </c>
      <c r="O3" s="3" t="s">
        <v>41</v>
      </c>
      <c r="P3" s="6" t="str">
        <f>PROPER(TRIM(SUBSTITUTE(O3,".","")))</f>
        <v>Small Business</v>
      </c>
      <c r="Q3" s="3" t="s">
        <v>42</v>
      </c>
      <c r="R3" s="7" t="str">
        <f>PROPER(TRIM(SUBSTITUTE(Q3,"  "," ")))</f>
        <v>East</v>
      </c>
      <c r="S3" s="3" t="s">
        <v>186</v>
      </c>
      <c r="T3" s="6" t="str">
        <f>PROPER(TRIM(SUBSTITUTE(S3,"  "," ")))</f>
        <v>Bihar</v>
      </c>
      <c r="U3" s="3" t="s">
        <v>187</v>
      </c>
      <c r="V3" s="6" t="str">
        <f>PROPER(TRIM(SUBSTITUTE(U3,"  "," ")))</f>
        <v>Patna</v>
      </c>
      <c r="W3" s="3" t="s">
        <v>86</v>
      </c>
      <c r="X3" s="6" t="str">
        <f>PROPER(TRIM(SUBSTITUTE(W3,"  "," ")))</f>
        <v>Technology</v>
      </c>
      <c r="Y3" s="3" t="s">
        <v>87</v>
      </c>
      <c r="Z3" s="6" t="str">
        <f>PROPER(TRIM(SUBSTITUTE(Y3,"  "," ")))</f>
        <v>Accessories</v>
      </c>
      <c r="AA3" s="3" t="s">
        <v>2287</v>
      </c>
      <c r="AB3" s="3" t="s">
        <v>48</v>
      </c>
      <c r="AC3" s="6" t="str">
        <f>PROPER(TRIM(SUBSTITUTE(AB3,"  "," ")))</f>
        <v>Same Day</v>
      </c>
      <c r="AD3" s="3">
        <v>9</v>
      </c>
      <c r="AE3" s="3">
        <v>1591.96</v>
      </c>
      <c r="AF3" s="3">
        <v>0.2</v>
      </c>
      <c r="AG3" s="17">
        <v>0.2</v>
      </c>
      <c r="AH3" s="6" t="str">
        <f t="shared" ref="AH3:AH66" si="2">IF(ISBLANK(AF3), "Missing", IF(AF3 &lt; 0, "Invalid - Negative", IF(AF3 &gt; 0.5, "Invalid - Above Range", "Valid")))</f>
        <v>Valid</v>
      </c>
      <c r="AI3" s="3">
        <v>11462.11</v>
      </c>
      <c r="AJ3" s="3">
        <v>7105.48</v>
      </c>
      <c r="AK3" s="3">
        <v>4356.63</v>
      </c>
      <c r="AL3" s="3" t="s">
        <v>34</v>
      </c>
      <c r="AM3" s="6" t="str">
        <f>PROPER(TRIM(SUBSTITUTE(AL3,".","")))</f>
        <v>Paid</v>
      </c>
      <c r="AN3" s="3" t="s">
        <v>35</v>
      </c>
      <c r="AO3" s="8" t="str">
        <f>PROPER(TRIM(SUBSTITUTE(AN3,".","")))</f>
        <v>Completed</v>
      </c>
      <c r="AP3" t="str">
        <f t="shared" ref="AP3:AP66" si="3">IF(COUNTIF($A$2:$A$933, A3) &gt; 1, "Duplicate ID", "Unique")</f>
        <v>Unique</v>
      </c>
      <c r="AR3">
        <f t="shared" ref="AR3:AR66" si="4">AD3 * AE3 * (1 - AG3)</f>
        <v>11462.112000000001</v>
      </c>
      <c r="AS3">
        <f t="shared" ref="AS3:AS66" si="5">AR3-AJ3</f>
        <v>4356.6320000000014</v>
      </c>
      <c r="AT3" s="15">
        <f t="shared" ref="AT3:AT66" si="6">IFERROR(AS3 / AR3, "")</f>
        <v>0.38008981241851425</v>
      </c>
      <c r="AU3" t="str">
        <f t="shared" ref="AU3:AU66" si="7">IF(OR(AH3="Invalid - Negative",AH3="Invalid - Above Range", J3="Invalid - Ship Before Order", AQ3="Conflicting Duplicate - Flagged"), "Invalid", IF(OR(R2="Unknown", AC2="Unknown", AH3="Missing"), "Warning", "Clean"))</f>
        <v>Clean</v>
      </c>
      <c r="AV3" s="8" t="str">
        <f t="shared" ref="AV3:AV66" si="8">IF(AM3 = "Refunded", "Refund", IF(AO3 = "Cancelled", "Cancelled", "Active"))</f>
        <v>Active</v>
      </c>
    </row>
    <row r="4" spans="1:48">
      <c r="A4" s="3" t="s">
        <v>708</v>
      </c>
      <c r="B4" s="3" t="s">
        <v>709</v>
      </c>
      <c r="C4" s="9">
        <v>45436</v>
      </c>
      <c r="D4" s="9" t="str">
        <f>IF(B4="","Missing", IF(AND(ISNUMBER(B4)=FALSE, C4=""),"Invalid - Could Not Parse", IF(AND(ISNUMBER(B4)=FALSE, C4&lt;&gt;""),"Text - Converted to Date", IF(ISNUMBER(B4),"Valid","Check"))))</f>
        <v>Text - Converted to Date</v>
      </c>
      <c r="E4" s="5">
        <f t="shared" si="0"/>
        <v>5</v>
      </c>
      <c r="F4" s="5">
        <f t="shared" si="1"/>
        <v>2024</v>
      </c>
      <c r="G4" s="3" t="s">
        <v>710</v>
      </c>
      <c r="H4" s="9">
        <f>IFERROR(DATEVALUE(TEXT(G4,"DD/MM/YYYY")), IF(ISNUMBER(G4), G4, ""))</f>
        <v>45437</v>
      </c>
      <c r="I4" s="9" t="str">
        <f>IF(G4="","Missing", IF(AND(ISNUMBER(G4)=FALSE, H4=""),"Invalid - Could Not Parse", IF(AND(ISNUMBER(G4)=FALSE, H4&lt;&gt;""),"Text - Converted to Date", IF(ISNUMBER(G4),"Valid","Check"))))</f>
        <v>Text - Converted to Date</v>
      </c>
      <c r="J4" s="9" t="str">
        <f>IF(OR(C4="", H4=""), "Cannot Check - Date Missing", IF(H4&lt;C4, "Invalid - Ship Before Order", "Valid"))</f>
        <v>Valid</v>
      </c>
      <c r="K4" s="5">
        <f>IF(OR(C4="", H4=""), "", IF(H4&lt;C4, "", H4-C4))</f>
        <v>1</v>
      </c>
      <c r="L4" s="3" t="s">
        <v>711</v>
      </c>
      <c r="M4" s="3" t="s">
        <v>168</v>
      </c>
      <c r="N4" s="4" t="str">
        <f>TRIM(SUBSTITUTE(M4,"_"," "))</f>
        <v>Sneha Kapoor</v>
      </c>
      <c r="O4" s="3" t="s">
        <v>41</v>
      </c>
      <c r="P4" s="6" t="str">
        <f>PROPER(TRIM(SUBSTITUTE(O4,".","")))</f>
        <v>Small Business</v>
      </c>
      <c r="Q4" s="3" t="s">
        <v>712</v>
      </c>
      <c r="R4" s="7" t="str">
        <f>PROPER(TRIM(SUBSTITUTE(Q4,"  "," ")))</f>
        <v>North</v>
      </c>
      <c r="S4" s="3" t="s">
        <v>154</v>
      </c>
      <c r="T4" s="6" t="str">
        <f>PROPER(TRIM(SUBSTITUTE(S4,"  "," ")))</f>
        <v>Punjab</v>
      </c>
      <c r="U4" s="3" t="s">
        <v>155</v>
      </c>
      <c r="V4" s="6" t="str">
        <f>PROPER(TRIM(SUBSTITUTE(U4,"  "," ")))</f>
        <v>Ludhiana</v>
      </c>
      <c r="W4" s="3" t="s">
        <v>86</v>
      </c>
      <c r="X4" s="6" t="str">
        <f>PROPER(TRIM(SUBSTITUTE(W4,"  "," ")))</f>
        <v>Technology</v>
      </c>
      <c r="Y4" s="3" t="s">
        <v>94</v>
      </c>
      <c r="Z4" s="6" t="str">
        <f>PROPER(TRIM(SUBSTITUTE(Y4,"  "," ")))</f>
        <v>Copiers</v>
      </c>
      <c r="AA4" s="3" t="s">
        <v>713</v>
      </c>
      <c r="AB4" s="3" t="s">
        <v>48</v>
      </c>
      <c r="AC4" s="6" t="str">
        <f>PROPER(TRIM(SUBSTITUTE(AB4,"  "," ")))</f>
        <v>Same Day</v>
      </c>
      <c r="AD4" s="3">
        <v>1</v>
      </c>
      <c r="AE4" s="3">
        <v>634.13</v>
      </c>
      <c r="AF4" s="3">
        <v>0</v>
      </c>
      <c r="AG4" s="17">
        <v>0</v>
      </c>
      <c r="AH4" s="6" t="str">
        <f t="shared" si="2"/>
        <v>Valid</v>
      </c>
      <c r="AI4" s="3">
        <v>634.13</v>
      </c>
      <c r="AJ4" s="3">
        <v>453.35</v>
      </c>
      <c r="AK4" s="3">
        <v>180.78</v>
      </c>
      <c r="AL4" s="3" t="s">
        <v>124</v>
      </c>
      <c r="AM4" s="6" t="str">
        <f>PROPER(TRIM(SUBSTITUTE(AL4,".","")))</f>
        <v>Refunded</v>
      </c>
      <c r="AN4" s="3" t="s">
        <v>78</v>
      </c>
      <c r="AO4" s="8" t="str">
        <f>PROPER(TRIM(SUBSTITUTE(AN4,".","")))</f>
        <v>Cancelled</v>
      </c>
      <c r="AP4" t="str">
        <f>IF(COUNTIF($A$2:$A$933, A4) &gt; 1, "Duplicate ID", "Unique")</f>
        <v>Duplicate ID</v>
      </c>
      <c r="AQ4" t="s">
        <v>4106</v>
      </c>
      <c r="AR4">
        <f t="shared" si="4"/>
        <v>634.13</v>
      </c>
      <c r="AS4">
        <f t="shared" si="5"/>
        <v>180.77999999999997</v>
      </c>
      <c r="AT4" s="15">
        <f t="shared" si="6"/>
        <v>0.28508350022865969</v>
      </c>
      <c r="AU4" t="str">
        <f t="shared" si="7"/>
        <v>Invalid</v>
      </c>
      <c r="AV4" s="8" t="str">
        <f t="shared" si="8"/>
        <v>Refund</v>
      </c>
    </row>
    <row r="5" spans="1:48">
      <c r="A5" s="3" t="s">
        <v>3051</v>
      </c>
      <c r="B5" s="3" t="s">
        <v>3052</v>
      </c>
      <c r="C5" s="9">
        <f>IFERROR(DATEVALUE(TEXT(B5,"DD/MM/YYYY")), IF(ISNUMBER(B5), B5, ""))</f>
        <v>45295</v>
      </c>
      <c r="D5" s="9" t="str">
        <f>IF(B5="","Missing", IF(AND(ISNUMBER(B5)=FALSE, C5=""),"Invalid - Could Not Parse", IF(AND(ISNUMBER(B5)=FALSE, C5&lt;&gt;""),"Text - Converted to Date", IF(ISNUMBER(B5),"Valid","Check"))))</f>
        <v>Text - Converted to Date</v>
      </c>
      <c r="E5" s="5">
        <f t="shared" si="0"/>
        <v>1</v>
      </c>
      <c r="F5" s="5">
        <f t="shared" si="1"/>
        <v>2024</v>
      </c>
      <c r="G5" s="3" t="s">
        <v>2745</v>
      </c>
      <c r="H5" s="9">
        <f>IFERROR(DATEVALUE(TEXT(G5,"DD/MM/YYYY")), IF(ISNUMBER(G5), G5, ""))</f>
        <v>45300</v>
      </c>
      <c r="I5" s="9" t="str">
        <f>IF(G5="","Missing", IF(AND(ISNUMBER(G5)=FALSE, H5=""),"Invalid - Could Not Parse", IF(AND(ISNUMBER(G5)=FALSE, H5&lt;&gt;""),"Text - Converted to Date", IF(ISNUMBER(G5),"Valid","Check"))))</f>
        <v>Text - Converted to Date</v>
      </c>
      <c r="J5" s="9" t="str">
        <f>IF(OR(C5="", H5=""), "Cannot Check - Date Missing", IF(H5&lt;C5, "Invalid - Ship Before Order", "Valid"))</f>
        <v>Valid</v>
      </c>
      <c r="K5" s="5">
        <f>IF(OR(C5="", H5=""), "", IF(H5&lt;C5, "", H5-C5))</f>
        <v>5</v>
      </c>
      <c r="L5" s="3" t="s">
        <v>3053</v>
      </c>
      <c r="M5" s="3" t="s">
        <v>366</v>
      </c>
      <c r="N5" s="4" t="str">
        <f>TRIM(SUBSTITUTE(M5,"_"," "))</f>
        <v>Kabir Singh</v>
      </c>
      <c r="O5" s="3" t="s">
        <v>26</v>
      </c>
      <c r="P5" s="6" t="str">
        <f>PROPER(TRIM(SUBSTITUTE(O5,".","")))</f>
        <v>Consumer</v>
      </c>
      <c r="Q5" s="3" t="s">
        <v>42</v>
      </c>
      <c r="R5" s="7" t="str">
        <f>PROPER(TRIM(SUBSTITUTE(Q5,"  "," ")))</f>
        <v>East</v>
      </c>
      <c r="S5" s="3" t="s">
        <v>186</v>
      </c>
      <c r="T5" s="6" t="str">
        <f>PROPER(TRIM(SUBSTITUTE(S5,"  "," ")))</f>
        <v>Bihar</v>
      </c>
      <c r="U5" s="3" t="s">
        <v>187</v>
      </c>
      <c r="V5" s="6" t="str">
        <f>PROPER(TRIM(SUBSTITUTE(U5,"  "," ")))</f>
        <v>Patna</v>
      </c>
      <c r="W5" s="3" t="s">
        <v>45</v>
      </c>
      <c r="X5" s="6" t="str">
        <f>PROPER(TRIM(SUBSTITUTE(W5,"  "," ")))</f>
        <v>Furniture</v>
      </c>
      <c r="Y5" s="3" t="s">
        <v>76</v>
      </c>
      <c r="Z5" s="6" t="str">
        <f>PROPER(TRIM(SUBSTITUTE(Y5,"  "," ")))</f>
        <v>Chairs</v>
      </c>
      <c r="AA5" s="3" t="s">
        <v>3054</v>
      </c>
      <c r="AB5" s="3" t="s">
        <v>33</v>
      </c>
      <c r="AC5" s="6" t="str">
        <f>PROPER(TRIM(SUBSTITUTE(AB5,"  "," ")))</f>
        <v>Second Class</v>
      </c>
      <c r="AD5" s="3">
        <v>6</v>
      </c>
      <c r="AE5" s="3">
        <v>2423.61</v>
      </c>
      <c r="AF5" s="3">
        <v>0.1</v>
      </c>
      <c r="AG5" s="17">
        <v>0.1</v>
      </c>
      <c r="AH5" s="6" t="str">
        <f t="shared" si="2"/>
        <v>Valid</v>
      </c>
      <c r="AI5" s="3">
        <v>13087.49</v>
      </c>
      <c r="AJ5" s="3">
        <v>7608.89</v>
      </c>
      <c r="AK5" s="3">
        <v>5133.22</v>
      </c>
      <c r="AL5" s="3" t="s">
        <v>34</v>
      </c>
      <c r="AM5" s="6" t="str">
        <f>PROPER(TRIM(SUBSTITUTE(AL5,".","")))</f>
        <v>Paid</v>
      </c>
      <c r="AN5" s="3" t="s">
        <v>35</v>
      </c>
      <c r="AO5" s="8" t="str">
        <f>PROPER(TRIM(SUBSTITUTE(AN5,".","")))</f>
        <v>Completed</v>
      </c>
      <c r="AP5" t="str">
        <f>IF(COUNTIF($A$2:$A$933, A5) &gt; 1, "Duplicate ID", "Unique")</f>
        <v>Unique</v>
      </c>
      <c r="AR5">
        <f t="shared" si="4"/>
        <v>13087.494000000001</v>
      </c>
      <c r="AS5">
        <f t="shared" si="5"/>
        <v>5478.6040000000003</v>
      </c>
      <c r="AT5" s="15">
        <f t="shared" si="6"/>
        <v>0.41861367806548755</v>
      </c>
      <c r="AU5" t="str">
        <f t="shared" si="7"/>
        <v>Clean</v>
      </c>
      <c r="AV5" s="8" t="str">
        <f t="shared" si="8"/>
        <v>Active</v>
      </c>
    </row>
    <row r="6" spans="1:48">
      <c r="A6" s="3" t="s">
        <v>3390</v>
      </c>
      <c r="B6" s="3" t="s">
        <v>3052</v>
      </c>
      <c r="C6" s="9">
        <f>IFERROR(DATEVALUE(TEXT(B6,"DD/MM/YYYY")), IF(ISNUMBER(B6), B6, ""))</f>
        <v>45295</v>
      </c>
      <c r="D6" s="9" t="str">
        <f>IF(B6="","Missing", IF(AND(ISNUMBER(B6)=FALSE, C6=""),"Invalid - Could Not Parse", IF(AND(ISNUMBER(B6)=FALSE, C6&lt;&gt;""),"Text - Converted to Date", IF(ISNUMBER(B6),"Valid","Check"))))</f>
        <v>Text - Converted to Date</v>
      </c>
      <c r="E6" s="5">
        <f t="shared" si="0"/>
        <v>1</v>
      </c>
      <c r="F6" s="5">
        <f t="shared" si="1"/>
        <v>2024</v>
      </c>
      <c r="G6" s="3" t="s">
        <v>1762</v>
      </c>
      <c r="H6" s="9">
        <f>IFERROR(DATEVALUE(TEXT(G6,"DD/MM/YYYY")), IF(ISNUMBER(G6), G6, ""))</f>
        <v>45298</v>
      </c>
      <c r="I6" s="9" t="str">
        <f>IF(G6="","Missing", IF(AND(ISNUMBER(G6)=FALSE, H6=""),"Invalid - Could Not Parse", IF(AND(ISNUMBER(G6)=FALSE, H6&lt;&gt;""),"Text - Converted to Date", IF(ISNUMBER(G6),"Valid","Check"))))</f>
        <v>Text - Converted to Date</v>
      </c>
      <c r="J6" s="9" t="str">
        <f>IF(OR(C6="", H6=""), "Cannot Check - Date Missing", IF(H6&lt;C6, "Invalid - Ship Before Order", "Valid"))</f>
        <v>Valid</v>
      </c>
      <c r="K6" s="5">
        <f>IF(OR(C6="", H6=""), "", IF(H6&lt;C6, "", H6-C6))</f>
        <v>3</v>
      </c>
      <c r="L6" s="3" t="s">
        <v>3391</v>
      </c>
      <c r="M6" s="3" t="s">
        <v>168</v>
      </c>
      <c r="N6" s="4" t="str">
        <f>TRIM(SUBSTITUTE(M6,"_"," "))</f>
        <v>Sneha Kapoor</v>
      </c>
      <c r="O6" s="3" t="s">
        <v>41</v>
      </c>
      <c r="P6" s="6" t="str">
        <f>PROPER(TRIM(SUBSTITUTE(O6,".","")))</f>
        <v>Small Business</v>
      </c>
      <c r="Q6" s="3" t="s">
        <v>62</v>
      </c>
      <c r="R6" s="7" t="str">
        <f>PROPER(TRIM(SUBSTITUTE(Q6,"  "," ")))</f>
        <v>South</v>
      </c>
      <c r="S6" s="3" t="s">
        <v>229</v>
      </c>
      <c r="T6" s="6" t="str">
        <f>PROPER(TRIM(SUBSTITUTE(S6,"  "," ")))</f>
        <v>Karnataka</v>
      </c>
      <c r="U6" s="3" t="s">
        <v>230</v>
      </c>
      <c r="V6" s="6" t="str">
        <f>PROPER(TRIM(SUBSTITUTE(U6,"  "," ")))</f>
        <v>Bengaluru</v>
      </c>
      <c r="W6" s="3" t="s">
        <v>86</v>
      </c>
      <c r="X6" s="6" t="str">
        <f>PROPER(TRIM(SUBSTITUTE(W6,"  "," ")))</f>
        <v>Technology</v>
      </c>
      <c r="Y6" s="3" t="s">
        <v>382</v>
      </c>
      <c r="Z6" s="6" t="str">
        <f>PROPER(TRIM(SUBSTITUTE(Y6,"  "," ")))</f>
        <v>Machines</v>
      </c>
      <c r="AA6" s="3" t="s">
        <v>3392</v>
      </c>
      <c r="AB6" s="3" t="s">
        <v>56</v>
      </c>
      <c r="AC6" s="6" t="str">
        <f>PROPER(TRIM(SUBSTITUTE(AB6,"  "," ")))</f>
        <v>First Class</v>
      </c>
      <c r="AD6" s="3">
        <v>1</v>
      </c>
      <c r="AE6" s="3">
        <v>2363.02</v>
      </c>
      <c r="AF6" s="3">
        <v>0.15</v>
      </c>
      <c r="AG6" s="17">
        <v>0.15</v>
      </c>
      <c r="AH6" s="6" t="str">
        <f t="shared" si="2"/>
        <v>Valid</v>
      </c>
      <c r="AI6" s="3">
        <v>2008.57</v>
      </c>
      <c r="AJ6" s="3">
        <v>1194.83</v>
      </c>
      <c r="AK6" s="3">
        <v>813.74</v>
      </c>
      <c r="AL6" s="3" t="s">
        <v>34</v>
      </c>
      <c r="AM6" s="6" t="str">
        <f>PROPER(TRIM(SUBSTITUTE(AL6,".","")))</f>
        <v>Paid</v>
      </c>
      <c r="AN6" s="3" t="s">
        <v>35</v>
      </c>
      <c r="AO6" s="8" t="str">
        <f>PROPER(TRIM(SUBSTITUTE(AN6,".","")))</f>
        <v>Completed</v>
      </c>
      <c r="AP6" t="str">
        <f>IF(COUNTIF($A$2:$A$933, A6) &gt; 1, "Duplicate ID", "Unique")</f>
        <v>Unique</v>
      </c>
      <c r="AR6">
        <f t="shared" si="4"/>
        <v>2008.567</v>
      </c>
      <c r="AS6">
        <f t="shared" si="5"/>
        <v>813.73700000000008</v>
      </c>
      <c r="AT6" s="15">
        <f t="shared" si="6"/>
        <v>0.40513311231340554</v>
      </c>
      <c r="AU6" t="str">
        <f t="shared" si="7"/>
        <v>Clean</v>
      </c>
      <c r="AV6" s="8" t="str">
        <f t="shared" si="8"/>
        <v>Active</v>
      </c>
    </row>
    <row r="7" spans="1:48">
      <c r="A7" s="3" t="s">
        <v>3742</v>
      </c>
      <c r="B7" s="3" t="s">
        <v>2442</v>
      </c>
      <c r="C7" s="9">
        <f>IFERROR(DATEVALUE(TEXT(B7,"DD/MM/YYYY")), IF(ISNUMBER(B7), B7, ""))</f>
        <v>45295</v>
      </c>
      <c r="D7" s="9" t="str">
        <f>IF(B7="","Missing", IF(AND(ISNUMBER(B7)=FALSE, C7=""),"Invalid - Could Not Parse", IF(AND(ISNUMBER(B7)=FALSE, C7&lt;&gt;""),"Text - Converted to Date", IF(ISNUMBER(B7),"Valid","Check"))))</f>
        <v>Text - Converted to Date</v>
      </c>
      <c r="E7" s="5">
        <f t="shared" si="0"/>
        <v>1</v>
      </c>
      <c r="F7" s="5">
        <f t="shared" si="1"/>
        <v>2024</v>
      </c>
      <c r="G7" s="3" t="s">
        <v>3743</v>
      </c>
      <c r="H7" s="9">
        <f>IFERROR(DATEVALUE(TEXT(G7,"DD/MM/YYYY")), IF(ISNUMBER(G7), G7, ""))</f>
        <v>45390</v>
      </c>
      <c r="I7" s="9" t="str">
        <f>IF(G7="","Missing", IF(AND(ISNUMBER(G7)=FALSE, H7=""),"Invalid - Could Not Parse", IF(AND(ISNUMBER(G7)=FALSE, H7&lt;&gt;""),"Text - Converted to Date", IF(ISNUMBER(G7),"Valid","Check"))))</f>
        <v>Text - Converted to Date</v>
      </c>
      <c r="J7" s="9" t="str">
        <f>IF(OR(C7="", H7=""), "Cannot Check - Date Missing", IF(H7&lt;C7, "Invalid - Ship Before Order", "Valid"))</f>
        <v>Valid</v>
      </c>
      <c r="K7" s="5">
        <f>IF(OR(C7="", H7=""), "", IF(H7&lt;C7, "", H7-C7))</f>
        <v>95</v>
      </c>
      <c r="L7" s="3" t="s">
        <v>3744</v>
      </c>
      <c r="M7" s="3" t="s">
        <v>210</v>
      </c>
      <c r="N7" s="4" t="str">
        <f>TRIM(SUBSTITUTE(M7,"_"," "))</f>
        <v>Diya Patel</v>
      </c>
      <c r="O7" s="3" t="s">
        <v>26</v>
      </c>
      <c r="P7" s="6" t="str">
        <f>PROPER(TRIM(SUBSTITUTE(O7,".","")))</f>
        <v>Consumer</v>
      </c>
      <c r="Q7" s="3" t="s">
        <v>42</v>
      </c>
      <c r="R7" s="7" t="str">
        <f>PROPER(TRIM(SUBSTITUTE(Q7,"  "," ")))</f>
        <v>East</v>
      </c>
      <c r="S7" s="3" t="s">
        <v>43</v>
      </c>
      <c r="T7" s="6" t="str">
        <f>PROPER(TRIM(SUBSTITUTE(S7,"  "," ")))</f>
        <v>Odisha</v>
      </c>
      <c r="U7" s="3" t="s">
        <v>44</v>
      </c>
      <c r="V7" s="6" t="str">
        <f>PROPER(TRIM(SUBSTITUTE(U7,"  "," ")))</f>
        <v>Bhubaneswar</v>
      </c>
      <c r="W7" s="3" t="s">
        <v>86</v>
      </c>
      <c r="X7" s="6" t="str">
        <f>PROPER(TRIM(SUBSTITUTE(W7,"  "," ")))</f>
        <v>Technology</v>
      </c>
      <c r="Y7" s="3" t="s">
        <v>382</v>
      </c>
      <c r="Z7" s="6" t="str">
        <f>PROPER(TRIM(SUBSTITUTE(Y7,"  "," ")))</f>
        <v>Machines</v>
      </c>
      <c r="AA7" s="3" t="s">
        <v>3745</v>
      </c>
      <c r="AB7" s="3" t="s">
        <v>67</v>
      </c>
      <c r="AC7" s="6" t="str">
        <f>PROPER(TRIM(SUBSTITUTE(AB7,"  "," ")))</f>
        <v>Standard Class</v>
      </c>
      <c r="AD7" s="3">
        <v>7</v>
      </c>
      <c r="AE7" s="3">
        <v>715.81</v>
      </c>
      <c r="AF7" s="3">
        <v>0.15</v>
      </c>
      <c r="AG7" s="17">
        <v>0.15</v>
      </c>
      <c r="AH7" s="6" t="str">
        <f t="shared" si="2"/>
        <v>Valid</v>
      </c>
      <c r="AI7" s="3">
        <v>4259.07</v>
      </c>
      <c r="AJ7" s="3">
        <v>3130.32</v>
      </c>
      <c r="AK7" s="3">
        <v>1128.75</v>
      </c>
      <c r="AL7" s="3" t="s">
        <v>137</v>
      </c>
      <c r="AM7" s="6" t="str">
        <f>PROPER(TRIM(SUBSTITUTE(AL7,".","")))</f>
        <v>Pending</v>
      </c>
      <c r="AN7" s="3" t="s">
        <v>78</v>
      </c>
      <c r="AO7" s="8" t="str">
        <f>PROPER(TRIM(SUBSTITUTE(AN7,".","")))</f>
        <v>Cancelled</v>
      </c>
      <c r="AP7" t="str">
        <f>IF(COUNTIF($A$2:$A$933, A7) &gt; 1, "Duplicate ID", "Unique")</f>
        <v>Unique</v>
      </c>
      <c r="AR7">
        <f t="shared" si="4"/>
        <v>4259.0694999999996</v>
      </c>
      <c r="AS7">
        <f t="shared" si="5"/>
        <v>1128.7494999999994</v>
      </c>
      <c r="AT7" s="15">
        <f t="shared" si="6"/>
        <v>0.26502255950507486</v>
      </c>
      <c r="AU7" t="str">
        <f t="shared" si="7"/>
        <v>Clean</v>
      </c>
      <c r="AV7" s="8" t="str">
        <f t="shared" si="8"/>
        <v>Cancelled</v>
      </c>
    </row>
    <row r="8" spans="1:48">
      <c r="A8" s="3" t="s">
        <v>4031</v>
      </c>
      <c r="B8" s="3" t="s">
        <v>4032</v>
      </c>
      <c r="C8" s="9">
        <f>IFERROR(DATEVALUE(TEXT(B8,"DD/MM/YYYY")), IF(ISNUMBER(B8), B8, ""))</f>
        <v>45296</v>
      </c>
      <c r="D8" s="9" t="str">
        <f>IF(B8="","Missing", IF(AND(ISNUMBER(B8)=FALSE, C8=""),"Invalid - Could Not Parse", IF(AND(ISNUMBER(B8)=FALSE, C8&lt;&gt;""),"Text - Converted to Date", IF(ISNUMBER(B8),"Valid","Check"))))</f>
        <v>Text - Converted to Date</v>
      </c>
      <c r="E8" s="5">
        <f t="shared" si="0"/>
        <v>1</v>
      </c>
      <c r="F8" s="5">
        <f t="shared" si="1"/>
        <v>2024</v>
      </c>
      <c r="G8" s="3" t="s">
        <v>4032</v>
      </c>
      <c r="H8" s="9">
        <f>IFERROR(DATEVALUE(TEXT(G8,"DD/MM/YYYY")), IF(ISNUMBER(G8), G8, ""))</f>
        <v>45296</v>
      </c>
      <c r="I8" s="9" t="str">
        <f>IF(G8="","Missing", IF(AND(ISNUMBER(G8)=FALSE, H8=""),"Invalid - Could Not Parse", IF(AND(ISNUMBER(G8)=FALSE, H8&lt;&gt;""),"Text - Converted to Date", IF(ISNUMBER(G8),"Valid","Check"))))</f>
        <v>Text - Converted to Date</v>
      </c>
      <c r="J8" s="9" t="str">
        <f>IF(OR(C8="", H8=""), "Cannot Check - Date Missing", IF(H8&lt;C8, "Invalid - Ship Before Order", "Valid"))</f>
        <v>Valid</v>
      </c>
      <c r="K8" s="5">
        <f>IF(OR(C8="", H8=""), "", IF(H8&lt;C8, "", H8-C8))</f>
        <v>0</v>
      </c>
      <c r="L8" s="3" t="s">
        <v>4033</v>
      </c>
      <c r="M8" s="3" t="s">
        <v>210</v>
      </c>
      <c r="N8" s="4" t="str">
        <f>TRIM(SUBSTITUTE(M8,"_"," "))</f>
        <v>Diya Patel</v>
      </c>
      <c r="O8" s="3" t="s">
        <v>26</v>
      </c>
      <c r="P8" s="6" t="str">
        <f>PROPER(TRIM(SUBSTITUTE(O8,".","")))</f>
        <v>Consumer</v>
      </c>
      <c r="Q8" s="3" t="s">
        <v>27</v>
      </c>
      <c r="R8" s="7" t="str">
        <f>PROPER(TRIM(SUBSTITUTE(Q8,"  "," ")))</f>
        <v>North</v>
      </c>
      <c r="S8" s="3" t="s">
        <v>28</v>
      </c>
      <c r="T8" s="6" t="str">
        <f>PROPER(TRIM(SUBSTITUTE(S8,"  "," ")))</f>
        <v>Rajasthan</v>
      </c>
      <c r="U8" s="3" t="s">
        <v>29</v>
      </c>
      <c r="V8" s="6" t="str">
        <f>PROPER(TRIM(SUBSTITUTE(U8,"  "," ")))</f>
        <v>Jaipur</v>
      </c>
      <c r="W8" s="3" t="s">
        <v>45</v>
      </c>
      <c r="X8" s="6" t="str">
        <f>PROPER(TRIM(SUBSTITUTE(W8,"  "," ")))</f>
        <v>Furniture</v>
      </c>
      <c r="Y8" s="3" t="s">
        <v>46</v>
      </c>
      <c r="Z8" s="6" t="str">
        <f>PROPER(TRIM(SUBSTITUTE(Y8,"  "," ")))</f>
        <v>Tables</v>
      </c>
      <c r="AA8" s="3" t="s">
        <v>4034</v>
      </c>
      <c r="AB8" s="3" t="s">
        <v>67</v>
      </c>
      <c r="AC8" s="6" t="str">
        <f>PROPER(TRIM(SUBSTITUTE(AB8,"  "," ")))</f>
        <v>Standard Class</v>
      </c>
      <c r="AD8" s="3">
        <v>1</v>
      </c>
      <c r="AE8" s="3">
        <v>2167.08</v>
      </c>
      <c r="AF8" s="3">
        <v>0.25</v>
      </c>
      <c r="AG8" s="17">
        <v>0.25</v>
      </c>
      <c r="AH8" s="6" t="str">
        <f t="shared" si="2"/>
        <v>Valid</v>
      </c>
      <c r="AI8" s="3">
        <v>1625.31</v>
      </c>
      <c r="AJ8" s="3">
        <v>1157.8900000000001</v>
      </c>
      <c r="AK8" s="3">
        <v>467.42</v>
      </c>
      <c r="AL8" s="3" t="s">
        <v>34</v>
      </c>
      <c r="AM8" s="6" t="str">
        <f>PROPER(TRIM(SUBSTITUTE(AL8,".","")))</f>
        <v>Paid</v>
      </c>
      <c r="AN8" s="3" t="s">
        <v>35</v>
      </c>
      <c r="AO8" s="8" t="str">
        <f>PROPER(TRIM(SUBSTITUTE(AN8,".","")))</f>
        <v>Completed</v>
      </c>
      <c r="AP8" t="str">
        <f>IF(COUNTIF($A$2:$A$933, A8) &gt; 1, "Duplicate ID", "Unique")</f>
        <v>Unique</v>
      </c>
      <c r="AR8">
        <f t="shared" si="4"/>
        <v>1625.31</v>
      </c>
      <c r="AS8">
        <f t="shared" si="5"/>
        <v>467.41999999999985</v>
      </c>
      <c r="AT8" s="15">
        <f t="shared" si="6"/>
        <v>0.28758821394072509</v>
      </c>
      <c r="AU8" t="str">
        <f t="shared" si="7"/>
        <v>Clean</v>
      </c>
      <c r="AV8" s="8" t="str">
        <f t="shared" si="8"/>
        <v>Active</v>
      </c>
    </row>
    <row r="9" spans="1:48">
      <c r="A9" s="3" t="s">
        <v>1761</v>
      </c>
      <c r="B9" s="3" t="s">
        <v>1762</v>
      </c>
      <c r="C9" s="9">
        <f>IFERROR(DATEVALUE(TEXT(B9,"DD/MM/YYYY")), IF(ISNUMBER(B9), B9, ""))</f>
        <v>45298</v>
      </c>
      <c r="D9" s="9" t="str">
        <f>IF(B9="","Missing", IF(AND(ISNUMBER(B9)=FALSE, C9=""),"Invalid - Could Not Parse", IF(AND(ISNUMBER(B9)=FALSE, C9&lt;&gt;""),"Text - Converted to Date", IF(ISNUMBER(B9),"Valid","Check"))))</f>
        <v>Text - Converted to Date</v>
      </c>
      <c r="E9" s="5">
        <f t="shared" si="0"/>
        <v>1</v>
      </c>
      <c r="F9" s="5">
        <f t="shared" si="1"/>
        <v>2024</v>
      </c>
      <c r="G9" s="3" t="s">
        <v>1763</v>
      </c>
      <c r="H9" s="9">
        <f>IFERROR(DATEVALUE(TEXT(G9,"DD/MM/YYYY")), IF(ISNUMBER(G9), G9, ""))</f>
        <v>45305</v>
      </c>
      <c r="I9" s="9" t="str">
        <f>IF(G9="","Missing", IF(AND(ISNUMBER(G9)=FALSE, H9=""),"Invalid - Could Not Parse", IF(AND(ISNUMBER(G9)=FALSE, H9&lt;&gt;""),"Text - Converted to Date", IF(ISNUMBER(G9),"Valid","Check"))))</f>
        <v>Text - Converted to Date</v>
      </c>
      <c r="J9" s="9" t="str">
        <f>IF(OR(C9="", H9=""), "Cannot Check - Date Missing", IF(H9&lt;C9, "Invalid - Ship Before Order", "Valid"))</f>
        <v>Valid</v>
      </c>
      <c r="K9" s="5">
        <f>IF(OR(C9="", H9=""), "", IF(H9&lt;C9, "", H9-C9))</f>
        <v>7</v>
      </c>
      <c r="L9" s="3" t="s">
        <v>1764</v>
      </c>
      <c r="M9" s="3" t="s">
        <v>168</v>
      </c>
      <c r="N9" s="4" t="str">
        <f>TRIM(SUBSTITUTE(M9,"_"," "))</f>
        <v>Sneha Kapoor</v>
      </c>
      <c r="O9" s="3" t="s">
        <v>41</v>
      </c>
      <c r="P9" s="6" t="str">
        <f>PROPER(TRIM(SUBSTITUTE(O9,".","")))</f>
        <v>Small Business</v>
      </c>
      <c r="Q9" s="3" t="s">
        <v>42</v>
      </c>
      <c r="R9" s="7" t="str">
        <f>PROPER(TRIM(SUBSTITUTE(Q9,"  "," ")))</f>
        <v>East</v>
      </c>
      <c r="S9" s="3" t="s">
        <v>311</v>
      </c>
      <c r="T9" s="6" t="str">
        <f>PROPER(TRIM(SUBSTITUTE(S9,"  "," ")))</f>
        <v>Jharkhand</v>
      </c>
      <c r="U9" s="3" t="s">
        <v>312</v>
      </c>
      <c r="V9" s="6" t="str">
        <f>PROPER(TRIM(SUBSTITUTE(U9,"  "," ")))</f>
        <v>Ranchi</v>
      </c>
      <c r="W9" s="3" t="s">
        <v>45</v>
      </c>
      <c r="X9" s="6" t="str">
        <f>PROPER(TRIM(SUBSTITUTE(W9,"  "," ")))</f>
        <v>Furniture</v>
      </c>
      <c r="Y9" s="3" t="s">
        <v>65</v>
      </c>
      <c r="Z9" s="6" t="str">
        <f>PROPER(TRIM(SUBSTITUTE(Y9,"  "," ")))</f>
        <v>Furnishings</v>
      </c>
      <c r="AA9" s="3" t="s">
        <v>1765</v>
      </c>
      <c r="AB9" s="3" t="s">
        <v>33</v>
      </c>
      <c r="AC9" s="6" t="str">
        <f>PROPER(TRIM(SUBSTITUTE(AB9,"  "," ")))</f>
        <v>Second Class</v>
      </c>
      <c r="AD9" s="3">
        <v>4</v>
      </c>
      <c r="AE9" s="3">
        <v>3309.54</v>
      </c>
      <c r="AF9" s="3">
        <v>0.1</v>
      </c>
      <c r="AG9" s="17">
        <v>0.1</v>
      </c>
      <c r="AH9" s="6" t="str">
        <f t="shared" si="2"/>
        <v>Valid</v>
      </c>
      <c r="AI9" s="3">
        <v>11914.34</v>
      </c>
      <c r="AJ9" s="3">
        <v>9771.24</v>
      </c>
      <c r="AK9" s="3">
        <v>2143.1</v>
      </c>
      <c r="AL9" s="3" t="s">
        <v>124</v>
      </c>
      <c r="AM9" s="6" t="str">
        <f>PROPER(TRIM(SUBSTITUTE(AL9,".","")))</f>
        <v>Refunded</v>
      </c>
      <c r="AN9" s="3" t="s">
        <v>125</v>
      </c>
      <c r="AO9" s="8" t="str">
        <f>PROPER(TRIM(SUBSTITUTE(AN9,".","")))</f>
        <v>Returned</v>
      </c>
      <c r="AP9" t="str">
        <f>IF(COUNTIF($A$2:$A$933, A9) &gt; 1, "Duplicate ID", "Unique")</f>
        <v>Unique</v>
      </c>
      <c r="AR9">
        <f t="shared" si="4"/>
        <v>11914.344000000001</v>
      </c>
      <c r="AS9">
        <f t="shared" si="5"/>
        <v>2143.1040000000012</v>
      </c>
      <c r="AT9" s="15">
        <f t="shared" si="6"/>
        <v>0.17987595456367561</v>
      </c>
      <c r="AU9" t="str">
        <f t="shared" si="7"/>
        <v>Clean</v>
      </c>
      <c r="AV9" s="8" t="str">
        <f t="shared" si="8"/>
        <v>Refund</v>
      </c>
    </row>
    <row r="10" spans="1:48">
      <c r="A10" s="3" t="s">
        <v>653</v>
      </c>
      <c r="B10" s="3" t="s">
        <v>654</v>
      </c>
      <c r="C10" s="9">
        <f>IFERROR(DATEVALUE(TEXT(B10,"DD/MM/YYYY")), IF(ISNUMBER(B10), B10, ""))</f>
        <v>45301</v>
      </c>
      <c r="D10" s="9" t="str">
        <f>IF(B10="","Missing", IF(AND(ISNUMBER(B10)=FALSE, C10=""),"Invalid - Could Not Parse", IF(AND(ISNUMBER(B10)=FALSE, C10&lt;&gt;""),"Text - Converted to Date", IF(ISNUMBER(B10),"Valid","Check"))))</f>
        <v>Text - Converted to Date</v>
      </c>
      <c r="E10" s="5">
        <f t="shared" si="0"/>
        <v>1</v>
      </c>
      <c r="F10" s="5">
        <f t="shared" si="1"/>
        <v>2024</v>
      </c>
      <c r="G10" s="3" t="s">
        <v>655</v>
      </c>
      <c r="H10" s="9">
        <f>IFERROR(DATEVALUE(TEXT(G10,"DD/MM/YYYY")), IF(ISNUMBER(G10), G10, ""))</f>
        <v>45305</v>
      </c>
      <c r="I10" s="9" t="str">
        <f>IF(G10="","Missing", IF(AND(ISNUMBER(G10)=FALSE, H10=""),"Invalid - Could Not Parse", IF(AND(ISNUMBER(G10)=FALSE, H10&lt;&gt;""),"Text - Converted to Date", IF(ISNUMBER(G10),"Valid","Check"))))</f>
        <v>Text - Converted to Date</v>
      </c>
      <c r="J10" s="9" t="str">
        <f>IF(OR(C10="", H10=""), "Cannot Check - Date Missing", IF(H10&lt;C10, "Invalid - Ship Before Order", "Valid"))</f>
        <v>Valid</v>
      </c>
      <c r="K10" s="5">
        <f>IF(OR(C10="", H10=""), "", IF(H10&lt;C10, "", H10-C10))</f>
        <v>4</v>
      </c>
      <c r="L10" s="3" t="s">
        <v>656</v>
      </c>
      <c r="M10" s="3" t="s">
        <v>168</v>
      </c>
      <c r="N10" s="4" t="str">
        <f>TRIM(SUBSTITUTE(M10,"_"," "))</f>
        <v>Sneha Kapoor</v>
      </c>
      <c r="O10" s="3" t="s">
        <v>26</v>
      </c>
      <c r="P10" s="6" t="str">
        <f>PROPER(TRIM(SUBSTITUTE(O10,".","")))</f>
        <v>Consumer</v>
      </c>
      <c r="Q10" s="3"/>
      <c r="R10" s="6" t="str">
        <f>IF(ISBLANK(Q10), "Unknown", Q10)</f>
        <v>Unknown</v>
      </c>
      <c r="S10" s="3" t="s">
        <v>235</v>
      </c>
      <c r="T10" s="6" t="str">
        <f>PROPER(TRIM(SUBSTITUTE(S10,"  "," ")))</f>
        <v>Gujarat</v>
      </c>
      <c r="U10" s="3" t="s">
        <v>236</v>
      </c>
      <c r="V10" s="6" t="str">
        <f>PROPER(TRIM(SUBSTITUTE(U10,"  "," ")))</f>
        <v>Ahmedabad</v>
      </c>
      <c r="W10" s="3" t="s">
        <v>86</v>
      </c>
      <c r="X10" s="6" t="str">
        <f>PROPER(TRIM(SUBSTITUTE(W10,"  "," ")))</f>
        <v>Technology</v>
      </c>
      <c r="Y10" s="3" t="s">
        <v>87</v>
      </c>
      <c r="Z10" s="6" t="str">
        <f>PROPER(TRIM(SUBSTITUTE(Y10,"  "," ")))</f>
        <v>Accessories</v>
      </c>
      <c r="AA10" s="3" t="s">
        <v>657</v>
      </c>
      <c r="AB10" s="3" t="s">
        <v>67</v>
      </c>
      <c r="AC10" s="6" t="str">
        <f>PROPER(TRIM(SUBSTITUTE(AB10,"  "," ")))</f>
        <v>Standard Class</v>
      </c>
      <c r="AD10" s="3">
        <v>3</v>
      </c>
      <c r="AE10" s="3">
        <v>3829.48</v>
      </c>
      <c r="AF10" s="3">
        <v>0.05</v>
      </c>
      <c r="AG10" s="17">
        <v>0.05</v>
      </c>
      <c r="AH10" s="6" t="str">
        <f t="shared" si="2"/>
        <v>Valid</v>
      </c>
      <c r="AI10" s="3">
        <v>10914.02</v>
      </c>
      <c r="AJ10" s="3">
        <v>6548.74</v>
      </c>
      <c r="AK10" s="3">
        <v>4365.28</v>
      </c>
      <c r="AL10" s="3" t="s">
        <v>34</v>
      </c>
      <c r="AM10" s="6" t="str">
        <f>PROPER(TRIM(SUBSTITUTE(AL10,".","")))</f>
        <v>Paid</v>
      </c>
      <c r="AN10" s="3" t="s">
        <v>35</v>
      </c>
      <c r="AO10" s="8" t="str">
        <f>PROPER(TRIM(SUBSTITUTE(AN10,".","")))</f>
        <v>Completed</v>
      </c>
      <c r="AP10" t="str">
        <f>IF(COUNTIF($A$2:$A$933, A10) &gt; 1, "Duplicate ID", "Unique")</f>
        <v>Unique</v>
      </c>
      <c r="AR10">
        <f t="shared" si="4"/>
        <v>10914.018</v>
      </c>
      <c r="AS10">
        <f t="shared" si="5"/>
        <v>4365.2780000000002</v>
      </c>
      <c r="AT10" s="15">
        <f t="shared" si="6"/>
        <v>0.39996983695647198</v>
      </c>
      <c r="AU10" t="str">
        <f t="shared" si="7"/>
        <v>Clean</v>
      </c>
      <c r="AV10" s="8" t="str">
        <f t="shared" si="8"/>
        <v>Active</v>
      </c>
    </row>
    <row r="11" spans="1:48">
      <c r="A11" s="3" t="s">
        <v>3978</v>
      </c>
      <c r="B11" s="3" t="s">
        <v>3506</v>
      </c>
      <c r="C11" s="9">
        <f>IFERROR(DATEVALUE(TEXT(B11,"DD/MM/YYYY")), IF(ISNUMBER(B11), B11, ""))</f>
        <v>45302</v>
      </c>
      <c r="D11" s="9" t="str">
        <f>IF(B11="","Missing", IF(AND(ISNUMBER(B11)=FALSE, C11=""),"Invalid - Could Not Parse", IF(AND(ISNUMBER(B11)=FALSE, C11&lt;&gt;""),"Text - Converted to Date", IF(ISNUMBER(B11),"Valid","Check"))))</f>
        <v>Text - Converted to Date</v>
      </c>
      <c r="E11" s="5">
        <f t="shared" si="0"/>
        <v>1</v>
      </c>
      <c r="F11" s="5">
        <f t="shared" si="1"/>
        <v>2024</v>
      </c>
      <c r="G11" s="3" t="s">
        <v>3979</v>
      </c>
      <c r="H11" s="9">
        <f>IFERROR(DATEVALUE(TEXT(G11,"DD/MM/YYYY")), IF(ISNUMBER(G11), G11, ""))</f>
        <v>45598</v>
      </c>
      <c r="I11" s="9" t="str">
        <f>IF(G11="","Missing", IF(AND(ISNUMBER(G11)=FALSE, H11=""),"Invalid - Could Not Parse", IF(AND(ISNUMBER(G11)=FALSE, H11&lt;&gt;""),"Text - Converted to Date", IF(ISNUMBER(G11),"Valid","Check"))))</f>
        <v>Text - Converted to Date</v>
      </c>
      <c r="J11" s="9" t="str">
        <f>IF(OR(C11="", H11=""), "Cannot Check - Date Missing", IF(H11&lt;C11, "Invalid - Ship Before Order", "Valid"))</f>
        <v>Valid</v>
      </c>
      <c r="K11" s="5">
        <f>IF(OR(C11="", H11=""), "", IF(H11&lt;C11, "", H11-C11))</f>
        <v>296</v>
      </c>
      <c r="L11" s="3" t="s">
        <v>2962</v>
      </c>
      <c r="M11" s="3" t="s">
        <v>25</v>
      </c>
      <c r="N11" s="4" t="str">
        <f>TRIM(SUBSTITUTE(M11,"_"," "))</f>
        <v>Karan Malhotra</v>
      </c>
      <c r="O11" s="3" t="s">
        <v>108</v>
      </c>
      <c r="P11" s="6" t="str">
        <f>PROPER(TRIM(SUBSTITUTE(O11,".","")))</f>
        <v>Corporate</v>
      </c>
      <c r="Q11" s="3" t="s">
        <v>42</v>
      </c>
      <c r="R11" s="7" t="str">
        <f>PROPER(TRIM(SUBSTITUTE(Q11,"  "," ")))</f>
        <v>East</v>
      </c>
      <c r="S11" s="3" t="s">
        <v>121</v>
      </c>
      <c r="T11" s="6" t="str">
        <f>PROPER(TRIM(SUBSTITUTE(S11,"  "," ")))</f>
        <v>West Bengal</v>
      </c>
      <c r="U11" s="3" t="s">
        <v>122</v>
      </c>
      <c r="V11" s="6" t="str">
        <f>PROPER(TRIM(SUBSTITUTE(U11,"  "," ")))</f>
        <v>Kolkata</v>
      </c>
      <c r="W11" s="3" t="s">
        <v>45</v>
      </c>
      <c r="X11" s="6" t="str">
        <f>PROPER(TRIM(SUBSTITUTE(W11,"  "," ")))</f>
        <v>Furniture</v>
      </c>
      <c r="Y11" s="3" t="s">
        <v>65</v>
      </c>
      <c r="Z11" s="6" t="str">
        <f>PROPER(TRIM(SUBSTITUTE(Y11,"  "," ")))</f>
        <v>Furnishings</v>
      </c>
      <c r="AA11" s="3" t="s">
        <v>3980</v>
      </c>
      <c r="AB11" s="3" t="s">
        <v>67</v>
      </c>
      <c r="AC11" s="6" t="str">
        <f>PROPER(TRIM(SUBSTITUTE(AB11,"  "," ")))</f>
        <v>Standard Class</v>
      </c>
      <c r="AD11" s="3">
        <v>5</v>
      </c>
      <c r="AE11" s="3">
        <v>2212.02</v>
      </c>
      <c r="AF11" s="3">
        <v>0.2</v>
      </c>
      <c r="AG11" s="17">
        <v>0.2</v>
      </c>
      <c r="AH11" s="6" t="str">
        <f t="shared" si="2"/>
        <v>Valid</v>
      </c>
      <c r="AI11" s="3">
        <v>8848.08</v>
      </c>
      <c r="AJ11" s="3">
        <v>5691.56</v>
      </c>
      <c r="AK11" s="3">
        <v>3156.52</v>
      </c>
      <c r="AL11" s="3" t="s">
        <v>34</v>
      </c>
      <c r="AM11" s="6" t="str">
        <f>PROPER(TRIM(SUBSTITUTE(AL11,".","")))</f>
        <v>Paid</v>
      </c>
      <c r="AN11" s="3" t="s">
        <v>35</v>
      </c>
      <c r="AO11" s="8" t="str">
        <f>PROPER(TRIM(SUBSTITUTE(AN11,".","")))</f>
        <v>Completed</v>
      </c>
      <c r="AP11" t="str">
        <f>IF(COUNTIF($A$2:$A$933, A11) &gt; 1, "Duplicate ID", "Unique")</f>
        <v>Unique</v>
      </c>
      <c r="AR11">
        <f t="shared" si="4"/>
        <v>8848.08</v>
      </c>
      <c r="AS11">
        <f t="shared" si="5"/>
        <v>3156.5199999999995</v>
      </c>
      <c r="AT11" s="15">
        <f t="shared" si="6"/>
        <v>0.35674632236598219</v>
      </c>
      <c r="AU11" t="str">
        <f t="shared" si="7"/>
        <v>Warning</v>
      </c>
      <c r="AV11" s="8" t="str">
        <f t="shared" si="8"/>
        <v>Active</v>
      </c>
    </row>
    <row r="12" spans="1:48">
      <c r="A12" s="3" t="s">
        <v>3122</v>
      </c>
      <c r="B12" s="3" t="s">
        <v>3123</v>
      </c>
      <c r="C12" s="9">
        <f>IFERROR(DATEVALUE(TEXT(B12,"DD/MM/YYYY")), IF(ISNUMBER(B12), B12, ""))</f>
        <v>45305</v>
      </c>
      <c r="D12" s="9" t="str">
        <f>IF(B12="","Missing", IF(AND(ISNUMBER(B12)=FALSE, C12=""),"Invalid - Could Not Parse", IF(AND(ISNUMBER(B12)=FALSE, C12&lt;&gt;""),"Text - Converted to Date", IF(ISNUMBER(B12),"Valid","Check"))))</f>
        <v>Text - Converted to Date</v>
      </c>
      <c r="E12" s="5">
        <f t="shared" si="0"/>
        <v>1</v>
      </c>
      <c r="F12" s="5">
        <f t="shared" si="1"/>
        <v>2024</v>
      </c>
      <c r="G12" s="3" t="s">
        <v>3124</v>
      </c>
      <c r="H12" s="9">
        <f>IFERROR(DATEVALUE(TEXT(G12,"DD/MM/YYYY")), IF(ISNUMBER(G12), G12, ""))</f>
        <v>45309</v>
      </c>
      <c r="I12" s="9" t="str">
        <f>IF(G12="","Missing", IF(AND(ISNUMBER(G12)=FALSE, H12=""),"Invalid - Could Not Parse", IF(AND(ISNUMBER(G12)=FALSE, H12&lt;&gt;""),"Text - Converted to Date", IF(ISNUMBER(G12),"Valid","Check"))))</f>
        <v>Text - Converted to Date</v>
      </c>
      <c r="J12" s="9" t="str">
        <f>IF(OR(C12="", H12=""), "Cannot Check - Date Missing", IF(H12&lt;C12, "Invalid - Ship Before Order", "Valid"))</f>
        <v>Valid</v>
      </c>
      <c r="K12" s="5">
        <f>IF(OR(C12="", H12=""), "", IF(H12&lt;C12, "", H12-C12))</f>
        <v>4</v>
      </c>
      <c r="L12" s="3" t="s">
        <v>3125</v>
      </c>
      <c r="M12" s="3" t="s">
        <v>40</v>
      </c>
      <c r="N12" s="4" t="str">
        <f>TRIM(SUBSTITUTE(M12,"_"," "))</f>
        <v>Mira Das</v>
      </c>
      <c r="O12" s="3" t="s">
        <v>115</v>
      </c>
      <c r="P12" s="6" t="str">
        <f>PROPER(TRIM(SUBSTITUTE(O12,".","")))</f>
        <v>Home Office</v>
      </c>
      <c r="Q12" s="3" t="s">
        <v>73</v>
      </c>
      <c r="R12" s="7" t="str">
        <f>PROPER(TRIM(SUBSTITUTE(Q12,"  "," ")))</f>
        <v>West</v>
      </c>
      <c r="S12" s="3" t="s">
        <v>28</v>
      </c>
      <c r="T12" s="6" t="str">
        <f>PROPER(TRIM(SUBSTITUTE(S12,"  "," ")))</f>
        <v>Rajasthan</v>
      </c>
      <c r="U12" s="3" t="s">
        <v>135</v>
      </c>
      <c r="V12" s="6" t="str">
        <f>PROPER(TRIM(SUBSTITUTE(U12,"  "," ")))</f>
        <v>Udaipur</v>
      </c>
      <c r="W12" s="3" t="s">
        <v>86</v>
      </c>
      <c r="X12" s="6" t="str">
        <f>PROPER(TRIM(SUBSTITUTE(W12,"  "," ")))</f>
        <v>Technology</v>
      </c>
      <c r="Y12" s="3" t="s">
        <v>382</v>
      </c>
      <c r="Z12" s="6" t="str">
        <f>PROPER(TRIM(SUBSTITUTE(Y12,"  "," ")))</f>
        <v>Machines</v>
      </c>
      <c r="AA12" s="3" t="s">
        <v>3126</v>
      </c>
      <c r="AB12" s="3" t="s">
        <v>48</v>
      </c>
      <c r="AC12" s="6" t="str">
        <f>PROPER(TRIM(SUBSTITUTE(AB12,"  "," ")))</f>
        <v>Same Day</v>
      </c>
      <c r="AD12" s="3">
        <v>6</v>
      </c>
      <c r="AE12" s="3">
        <v>1784.8</v>
      </c>
      <c r="AF12" s="3">
        <v>0.1</v>
      </c>
      <c r="AG12" s="17">
        <v>0.1</v>
      </c>
      <c r="AH12" s="6" t="str">
        <f t="shared" si="2"/>
        <v>Valid</v>
      </c>
      <c r="AI12" s="3">
        <v>9637.92</v>
      </c>
      <c r="AJ12" s="3">
        <v>7329.29</v>
      </c>
      <c r="AK12" s="3">
        <v>2308.63</v>
      </c>
      <c r="AL12" s="3" t="s">
        <v>34</v>
      </c>
      <c r="AM12" s="6" t="str">
        <f>PROPER(TRIM(SUBSTITUTE(AL12,".","")))</f>
        <v>Paid</v>
      </c>
      <c r="AN12" s="3" t="s">
        <v>35</v>
      </c>
      <c r="AO12" s="8" t="str">
        <f>PROPER(TRIM(SUBSTITUTE(AN12,".","")))</f>
        <v>Completed</v>
      </c>
      <c r="AP12" t="str">
        <f>IF(COUNTIF($A$2:$A$933, A12) &gt; 1, "Duplicate ID", "Unique")</f>
        <v>Unique</v>
      </c>
      <c r="AR12">
        <f t="shared" si="4"/>
        <v>9637.92</v>
      </c>
      <c r="AS12">
        <f t="shared" si="5"/>
        <v>2308.63</v>
      </c>
      <c r="AT12" s="15">
        <f t="shared" si="6"/>
        <v>0.2395361239769577</v>
      </c>
      <c r="AU12" t="str">
        <f t="shared" si="7"/>
        <v>Clean</v>
      </c>
      <c r="AV12" s="8" t="str">
        <f t="shared" si="8"/>
        <v>Active</v>
      </c>
    </row>
    <row r="13" spans="1:48">
      <c r="A13" s="3" t="s">
        <v>2695</v>
      </c>
      <c r="B13" s="3" t="s">
        <v>2696</v>
      </c>
      <c r="C13" s="9">
        <f>IFERROR(DATEVALUE(TEXT(B13,"DD/MM/YYYY")), IF(ISNUMBER(B13), B13, ""))</f>
        <v>45307</v>
      </c>
      <c r="D13" s="9" t="str">
        <f>IF(B13="","Missing", IF(AND(ISNUMBER(B13)=FALSE, C13=""),"Invalid - Could Not Parse", IF(AND(ISNUMBER(B13)=FALSE, C13&lt;&gt;""),"Text - Converted to Date", IF(ISNUMBER(B13),"Valid","Check"))))</f>
        <v>Text - Converted to Date</v>
      </c>
      <c r="E13" s="5">
        <f t="shared" si="0"/>
        <v>1</v>
      </c>
      <c r="F13" s="5">
        <f t="shared" si="1"/>
        <v>2024</v>
      </c>
      <c r="G13" s="3" t="s">
        <v>1058</v>
      </c>
      <c r="H13" s="9">
        <f>IFERROR(DATEVALUE(TEXT(G13,"DD/MM/YYYY")), IF(ISNUMBER(G13), G13, ""))</f>
        <v>45313</v>
      </c>
      <c r="I13" s="9" t="str">
        <f>IF(G13="","Missing", IF(AND(ISNUMBER(G13)=FALSE, H13=""),"Invalid - Could Not Parse", IF(AND(ISNUMBER(G13)=FALSE, H13&lt;&gt;""),"Text - Converted to Date", IF(ISNUMBER(G13),"Valid","Check"))))</f>
        <v>Text - Converted to Date</v>
      </c>
      <c r="J13" s="9" t="str">
        <f>IF(OR(C13="", H13=""), "Cannot Check - Date Missing", IF(H13&lt;C13, "Invalid - Ship Before Order", "Valid"))</f>
        <v>Valid</v>
      </c>
      <c r="K13" s="5">
        <f>IF(OR(C13="", H13=""), "", IF(H13&lt;C13, "", H13-C13))</f>
        <v>6</v>
      </c>
      <c r="L13" s="3" t="s">
        <v>2697</v>
      </c>
      <c r="M13" s="3" t="s">
        <v>61</v>
      </c>
      <c r="N13" s="4" t="str">
        <f>TRIM(SUBSTITUTE(M13,"_"," "))</f>
        <v>Arjun Bose</v>
      </c>
      <c r="O13" s="3" t="s">
        <v>26</v>
      </c>
      <c r="P13" s="6" t="str">
        <f>PROPER(TRIM(SUBSTITUTE(O13,".","")))</f>
        <v>Consumer</v>
      </c>
      <c r="Q13" s="3" t="s">
        <v>73</v>
      </c>
      <c r="R13" s="7" t="str">
        <f>PROPER(TRIM(SUBSTITUTE(Q13,"  "," ")))</f>
        <v>West</v>
      </c>
      <c r="S13" s="3" t="s">
        <v>249</v>
      </c>
      <c r="T13" s="6" t="str">
        <f>PROPER(TRIM(SUBSTITUTE(S13,"  "," ")))</f>
        <v>Goa</v>
      </c>
      <c r="U13" s="3" t="s">
        <v>250</v>
      </c>
      <c r="V13" s="6" t="str">
        <f>PROPER(TRIM(SUBSTITUTE(U13,"  "," ")))</f>
        <v>Panaji</v>
      </c>
      <c r="W13" s="3" t="s">
        <v>30</v>
      </c>
      <c r="X13" s="6" t="str">
        <f>PROPER(TRIM(SUBSTITUTE(W13,"  "," ")))</f>
        <v>Office Supplies</v>
      </c>
      <c r="Y13" s="3" t="s">
        <v>156</v>
      </c>
      <c r="Z13" s="6" t="str">
        <f>PROPER(TRIM(SUBSTITUTE(Y13,"  "," ")))</f>
        <v>Storage</v>
      </c>
      <c r="AA13" s="3" t="s">
        <v>2698</v>
      </c>
      <c r="AB13" s="3" t="s">
        <v>67</v>
      </c>
      <c r="AC13" s="6" t="str">
        <f>PROPER(TRIM(SUBSTITUTE(AB13,"  "," ")))</f>
        <v>Standard Class</v>
      </c>
      <c r="AD13" s="3">
        <v>4</v>
      </c>
      <c r="AE13" s="3">
        <v>282.52999999999997</v>
      </c>
      <c r="AF13" s="3">
        <v>0</v>
      </c>
      <c r="AG13" s="17">
        <v>0</v>
      </c>
      <c r="AH13" s="6" t="str">
        <f t="shared" si="2"/>
        <v>Valid</v>
      </c>
      <c r="AI13" s="3">
        <v>1130.1199999999999</v>
      </c>
      <c r="AJ13" s="3">
        <v>848.62</v>
      </c>
      <c r="AK13" s="3">
        <v>281.5</v>
      </c>
      <c r="AL13" s="3" t="s">
        <v>34</v>
      </c>
      <c r="AM13" s="6" t="str">
        <f>PROPER(TRIM(SUBSTITUTE(AL13,".","")))</f>
        <v>Paid</v>
      </c>
      <c r="AN13" s="3" t="s">
        <v>78</v>
      </c>
      <c r="AO13" s="8" t="str">
        <f>PROPER(TRIM(SUBSTITUTE(AN13,".","")))</f>
        <v>Cancelled</v>
      </c>
      <c r="AP13" t="str">
        <f>IF(COUNTIF($A$2:$A$933, A13) &gt; 1, "Duplicate ID", "Unique")</f>
        <v>Unique</v>
      </c>
      <c r="AR13">
        <f t="shared" si="4"/>
        <v>1130.1199999999999</v>
      </c>
      <c r="AS13">
        <f t="shared" si="5"/>
        <v>281.49999999999989</v>
      </c>
      <c r="AT13" s="15">
        <f t="shared" si="6"/>
        <v>0.249088592361873</v>
      </c>
      <c r="AU13" t="str">
        <f t="shared" si="7"/>
        <v>Clean</v>
      </c>
      <c r="AV13" s="8" t="str">
        <f t="shared" si="8"/>
        <v>Cancelled</v>
      </c>
    </row>
    <row r="14" spans="1:48">
      <c r="A14" s="3" t="s">
        <v>3381</v>
      </c>
      <c r="B14" s="3" t="s">
        <v>3382</v>
      </c>
      <c r="C14" s="9">
        <f>IFERROR(DATEVALUE(TEXT(B14,"DD/MM/YYYY")), IF(ISNUMBER(B14), B14, ""))</f>
        <v>45308</v>
      </c>
      <c r="D14" s="9" t="str">
        <f>IF(B14="","Missing", IF(AND(ISNUMBER(B14)=FALSE, C14=""),"Invalid - Could Not Parse", IF(AND(ISNUMBER(B14)=FALSE, C14&lt;&gt;""),"Text - Converted to Date", IF(ISNUMBER(B14),"Valid","Check"))))</f>
        <v>Text - Converted to Date</v>
      </c>
      <c r="E14" s="5">
        <f t="shared" si="0"/>
        <v>1</v>
      </c>
      <c r="F14" s="5">
        <f t="shared" si="1"/>
        <v>2024</v>
      </c>
      <c r="G14" s="3" t="s">
        <v>3383</v>
      </c>
      <c r="H14" s="9">
        <f>IFERROR(DATEVALUE(MID(G14,4,2) &amp; "/" &amp; LEFT(G14,2) &amp; "/" &amp; RIGHT(G14,4)), IF(ISNUMBER(G14), G14, IFERROR(DATEVALUE(G14), "")))</f>
        <v>45314</v>
      </c>
      <c r="I14" s="9" t="str">
        <f>IF(G14="","Missing", IF(AND(ISNUMBER(G14)=FALSE, H14=""),"Invalid - Could Not Parse", IF(AND(ISNUMBER(G14)=FALSE, H14&lt;&gt;""),"Text - Converted to Date", IF(ISNUMBER(G14),"Valid","Check"))))</f>
        <v>Text - Converted to Date</v>
      </c>
      <c r="J14" s="9" t="str">
        <f>IF(OR(C14="", H14=""), "Cannot Check - Date Missing", IF(H14&lt;C14, "Invalid - Ship Before Order", "Valid"))</f>
        <v>Valid</v>
      </c>
      <c r="K14" s="5">
        <f>IF(OR(C14="", H14=""), "", IF(H14&lt;C14, "", H14-C14))</f>
        <v>6</v>
      </c>
      <c r="L14" s="3" t="s">
        <v>3384</v>
      </c>
      <c r="M14" s="3" t="s">
        <v>366</v>
      </c>
      <c r="N14" s="4" t="str">
        <f>TRIM(SUBSTITUTE(M14,"_"," "))</f>
        <v>Kabir Singh</v>
      </c>
      <c r="O14" s="3" t="s">
        <v>115</v>
      </c>
      <c r="P14" s="6" t="str">
        <f>PROPER(TRIM(SUBSTITUTE(O14,".","")))</f>
        <v>Home Office</v>
      </c>
      <c r="Q14" s="3" t="s">
        <v>73</v>
      </c>
      <c r="R14" s="7" t="str">
        <f>PROPER(TRIM(SUBSTITUTE(Q14,"  "," ")))</f>
        <v>West</v>
      </c>
      <c r="S14" s="3" t="s">
        <v>235</v>
      </c>
      <c r="T14" s="6" t="str">
        <f>PROPER(TRIM(SUBSTITUTE(S14,"  "," ")))</f>
        <v>Gujarat</v>
      </c>
      <c r="U14" s="3" t="s">
        <v>236</v>
      </c>
      <c r="V14" s="6" t="str">
        <f>PROPER(TRIM(SUBSTITUTE(U14,"  "," ")))</f>
        <v>Ahmedabad</v>
      </c>
      <c r="W14" s="3" t="s">
        <v>86</v>
      </c>
      <c r="X14" s="6" t="str">
        <f>PROPER(TRIM(SUBSTITUTE(W14,"  "," ")))</f>
        <v>Technology</v>
      </c>
      <c r="Y14" s="3" t="s">
        <v>223</v>
      </c>
      <c r="Z14" s="6" t="str">
        <f>PROPER(TRIM(SUBSTITUTE(Y14,"  "," ")))</f>
        <v>Phones</v>
      </c>
      <c r="AA14" s="3" t="s">
        <v>3385</v>
      </c>
      <c r="AB14" s="3" t="s">
        <v>67</v>
      </c>
      <c r="AC14" s="6" t="str">
        <f>PROPER(TRIM(SUBSTITUTE(AB14,"  "," ")))</f>
        <v>Standard Class</v>
      </c>
      <c r="AD14" s="3">
        <v>5</v>
      </c>
      <c r="AE14" s="3">
        <v>2018</v>
      </c>
      <c r="AF14" s="3">
        <v>0.2</v>
      </c>
      <c r="AG14" s="17">
        <v>0.2</v>
      </c>
      <c r="AH14" s="6" t="str">
        <f t="shared" si="2"/>
        <v>Valid</v>
      </c>
      <c r="AI14" s="3">
        <v>8072</v>
      </c>
      <c r="AJ14" s="3">
        <v>5379.22</v>
      </c>
      <c r="AK14" s="3">
        <v>2692.78</v>
      </c>
      <c r="AL14" s="3" t="s">
        <v>137</v>
      </c>
      <c r="AM14" s="6" t="str">
        <f>PROPER(TRIM(SUBSTITUTE(AL14,".","")))</f>
        <v>Pending</v>
      </c>
      <c r="AN14" s="3" t="s">
        <v>125</v>
      </c>
      <c r="AO14" s="8" t="str">
        <f>PROPER(TRIM(SUBSTITUTE(AN14,".","")))</f>
        <v>Returned</v>
      </c>
      <c r="AP14" t="str">
        <f>IF(COUNTIF($A$2:$A$933, A14) &gt; 1, "Duplicate ID", "Unique")</f>
        <v>Unique</v>
      </c>
      <c r="AR14">
        <f t="shared" si="4"/>
        <v>8072</v>
      </c>
      <c r="AS14">
        <f t="shared" si="5"/>
        <v>2692.7799999999997</v>
      </c>
      <c r="AT14" s="15">
        <f t="shared" si="6"/>
        <v>0.33359514370664023</v>
      </c>
      <c r="AU14" t="str">
        <f t="shared" si="7"/>
        <v>Clean</v>
      </c>
      <c r="AV14" s="8" t="str">
        <f t="shared" si="8"/>
        <v>Active</v>
      </c>
    </row>
    <row r="15" spans="1:48">
      <c r="A15" s="3" t="s">
        <v>326</v>
      </c>
      <c r="B15" s="3" t="s">
        <v>327</v>
      </c>
      <c r="C15" s="9">
        <f>IFERROR(DATEVALUE(TEXT(B15,"DD/MM/YYYY")), IF(ISNUMBER(B15), B15, ""))</f>
        <v>45309</v>
      </c>
      <c r="D15" s="9" t="str">
        <f>IF(B15="","Missing", IF(AND(ISNUMBER(B15)=FALSE, C15=""),"Invalid - Could Not Parse", IF(AND(ISNUMBER(B15)=FALSE, C15&lt;&gt;""),"Text - Converted to Date", IF(ISNUMBER(B15),"Valid","Check"))))</f>
        <v>Text - Converted to Date</v>
      </c>
      <c r="E15" s="5">
        <f t="shared" si="0"/>
        <v>1</v>
      </c>
      <c r="F15" s="5">
        <f t="shared" si="1"/>
        <v>2024</v>
      </c>
      <c r="G15" s="3" t="s">
        <v>328</v>
      </c>
      <c r="H15" s="9">
        <f>IFERROR(DATEVALUE(TEXT(G15,"DD/MM/YYYY")), IF(ISNUMBER(G15), G15, ""))</f>
        <v>45315</v>
      </c>
      <c r="I15" s="9" t="str">
        <f>IF(G15="","Missing", IF(AND(ISNUMBER(G15)=FALSE, H15=""),"Invalid - Could Not Parse", IF(AND(ISNUMBER(G15)=FALSE, H15&lt;&gt;""),"Text - Converted to Date", IF(ISNUMBER(G15),"Valid","Check"))))</f>
        <v>Text - Converted to Date</v>
      </c>
      <c r="J15" s="9" t="str">
        <f>IF(OR(C15="", H15=""), "Cannot Check - Date Missing", IF(H15&lt;C15, "Invalid - Ship Before Order", "Valid"))</f>
        <v>Valid</v>
      </c>
      <c r="K15" s="5">
        <f>IF(OR(C15="", H15=""), "", IF(H15&lt;C15, "", H15-C15))</f>
        <v>6</v>
      </c>
      <c r="L15" s="3" t="s">
        <v>329</v>
      </c>
      <c r="M15" s="3" t="s">
        <v>53</v>
      </c>
      <c r="N15" s="4" t="str">
        <f>TRIM(SUBSTITUTE(M15,"_"," "))</f>
        <v>Isha Nair</v>
      </c>
      <c r="O15" s="3" t="s">
        <v>115</v>
      </c>
      <c r="P15" s="6" t="str">
        <f>PROPER(TRIM(SUBSTITUTE(O15,".","")))</f>
        <v>Home Office</v>
      </c>
      <c r="Q15" s="3" t="s">
        <v>42</v>
      </c>
      <c r="R15" s="7" t="str">
        <f>PROPER(TRIM(SUBSTITUTE(Q15,"  "," ")))</f>
        <v>East</v>
      </c>
      <c r="S15" s="3" t="s">
        <v>186</v>
      </c>
      <c r="T15" s="6" t="str">
        <f>PROPER(TRIM(SUBSTITUTE(S15,"  "," ")))</f>
        <v>Bihar</v>
      </c>
      <c r="U15" s="3" t="s">
        <v>187</v>
      </c>
      <c r="V15" s="6" t="str">
        <f>PROPER(TRIM(SUBSTITUTE(U15,"  "," ")))</f>
        <v>Patna</v>
      </c>
      <c r="W15" s="3" t="s">
        <v>30</v>
      </c>
      <c r="X15" s="6" t="str">
        <f>PROPER(TRIM(SUBSTITUTE(W15,"  "," ")))</f>
        <v>Office Supplies</v>
      </c>
      <c r="Y15" s="3" t="s">
        <v>54</v>
      </c>
      <c r="Z15" s="6" t="str">
        <f>PROPER(TRIM(SUBSTITUTE(Y15,"  "," ")))</f>
        <v>Art</v>
      </c>
      <c r="AA15" s="3" t="s">
        <v>330</v>
      </c>
      <c r="AB15" s="3" t="s">
        <v>33</v>
      </c>
      <c r="AC15" s="6" t="str">
        <f>PROPER(TRIM(SUBSTITUTE(AB15,"  "," ")))</f>
        <v>Second Class</v>
      </c>
      <c r="AD15" s="3">
        <v>8</v>
      </c>
      <c r="AE15" s="3">
        <v>3927.82</v>
      </c>
      <c r="AF15" s="3">
        <v>0.05</v>
      </c>
      <c r="AG15" s="17">
        <v>0.05</v>
      </c>
      <c r="AH15" s="6" t="str">
        <f t="shared" si="2"/>
        <v>Valid</v>
      </c>
      <c r="AI15" s="3">
        <v>29851.43</v>
      </c>
      <c r="AJ15" s="3">
        <v>17487.48</v>
      </c>
      <c r="AK15" s="3">
        <v>12363.95</v>
      </c>
      <c r="AL15" s="3" t="s">
        <v>137</v>
      </c>
      <c r="AM15" s="6" t="str">
        <f>PROPER(TRIM(SUBSTITUTE(AL15,".","")))</f>
        <v>Pending</v>
      </c>
      <c r="AN15" s="3" t="s">
        <v>125</v>
      </c>
      <c r="AO15" s="8" t="str">
        <f>PROPER(TRIM(SUBSTITUTE(AN15,".","")))</f>
        <v>Returned</v>
      </c>
      <c r="AP15" t="str">
        <f>IF(COUNTIF($A$2:$A$933, A15) &gt; 1, "Duplicate ID", "Unique")</f>
        <v>Unique</v>
      </c>
      <c r="AR15">
        <f t="shared" si="4"/>
        <v>29851.432000000001</v>
      </c>
      <c r="AS15">
        <f t="shared" si="5"/>
        <v>12363.952000000001</v>
      </c>
      <c r="AT15" s="15">
        <f t="shared" si="6"/>
        <v>0.41418287739094062</v>
      </c>
      <c r="AU15" t="str">
        <f t="shared" si="7"/>
        <v>Clean</v>
      </c>
      <c r="AV15" s="8" t="str">
        <f t="shared" si="8"/>
        <v>Active</v>
      </c>
    </row>
    <row r="16" spans="1:48">
      <c r="A16" s="3" t="s">
        <v>2297</v>
      </c>
      <c r="B16" s="3" t="s">
        <v>2298</v>
      </c>
      <c r="C16" s="9">
        <f>IFERROR(DATEVALUE(TEXT(B16,"DD/MM/YYYY")), IF(ISNUMBER(B16), B16, ""))</f>
        <v>45310</v>
      </c>
      <c r="D16" s="9" t="str">
        <f>IF(B16="","Missing", IF(AND(ISNUMBER(B16)=FALSE, C16=""),"Invalid - Could Not Parse", IF(AND(ISNUMBER(B16)=FALSE, C16&lt;&gt;""),"Text - Converted to Date", IF(ISNUMBER(B16),"Valid","Check"))))</f>
        <v>Text - Converted to Date</v>
      </c>
      <c r="E16" s="5">
        <f t="shared" si="0"/>
        <v>1</v>
      </c>
      <c r="F16" s="5">
        <f t="shared" si="1"/>
        <v>2024</v>
      </c>
      <c r="G16" s="3" t="s">
        <v>2051</v>
      </c>
      <c r="H16" s="9">
        <f>IFERROR(DATEVALUE(MID(G16,4,2) &amp; "/" &amp; LEFT(G16,2) &amp; "/" &amp; RIGHT(G16,4)), IF(ISNUMBER(G16), G16, IFERROR(DATEVALUE(G16), "")))</f>
        <v>45316</v>
      </c>
      <c r="I16" s="9" t="str">
        <f>IF(G16="","Missing", IF(AND(ISNUMBER(G16)=FALSE, H16=""),"Invalid - Could Not Parse", IF(AND(ISNUMBER(G16)=FALSE, H16&lt;&gt;""),"Text - Converted to Date", IF(ISNUMBER(G16),"Valid","Check"))))</f>
        <v>Text - Converted to Date</v>
      </c>
      <c r="J16" s="9" t="str">
        <f>IF(OR(C16="", H16=""), "Cannot Check - Date Missing", IF(H16&lt;C16, "Invalid - Ship Before Order", "Valid"))</f>
        <v>Valid</v>
      </c>
      <c r="K16" s="5">
        <f>IF(OR(C16="", H16=""), "", IF(H16&lt;C16, "", H16-C16))</f>
        <v>6</v>
      </c>
      <c r="L16" s="3" t="s">
        <v>2299</v>
      </c>
      <c r="M16" s="3" t="s">
        <v>107</v>
      </c>
      <c r="N16" s="4" t="str">
        <f>TRIM(SUBSTITUTE(M16,"_"," "))</f>
        <v>Aditi Sen</v>
      </c>
      <c r="O16" s="3" t="s">
        <v>108</v>
      </c>
      <c r="P16" s="6" t="str">
        <f>PROPER(TRIM(SUBSTITUTE(O16,".","")))</f>
        <v>Corporate</v>
      </c>
      <c r="Q16" s="3" t="s">
        <v>73</v>
      </c>
      <c r="R16" s="7" t="str">
        <f>PROPER(TRIM(SUBSTITUTE(Q16,"  "," ")))</f>
        <v>West</v>
      </c>
      <c r="S16" s="3" t="s">
        <v>249</v>
      </c>
      <c r="T16" s="6" t="str">
        <f>PROPER(TRIM(SUBSTITUTE(S16,"  "," ")))</f>
        <v>Goa</v>
      </c>
      <c r="U16" s="3" t="s">
        <v>250</v>
      </c>
      <c r="V16" s="6" t="str">
        <f>PROPER(TRIM(SUBSTITUTE(U16,"  "," ")))</f>
        <v>Panaji</v>
      </c>
      <c r="W16" s="3" t="s">
        <v>86</v>
      </c>
      <c r="X16" s="6" t="str">
        <f>PROPER(TRIM(SUBSTITUTE(W16,"  "," ")))</f>
        <v>Technology</v>
      </c>
      <c r="Y16" s="3" t="s">
        <v>94</v>
      </c>
      <c r="Z16" s="6" t="str">
        <f>PROPER(TRIM(SUBSTITUTE(Y16,"  "," ")))</f>
        <v>Copiers</v>
      </c>
      <c r="AA16" s="3" t="s">
        <v>2300</v>
      </c>
      <c r="AB16" s="3" t="s">
        <v>56</v>
      </c>
      <c r="AC16" s="6" t="str">
        <f>PROPER(TRIM(SUBSTITUTE(AB16,"  "," ")))</f>
        <v>First Class</v>
      </c>
      <c r="AD16" s="3">
        <v>3</v>
      </c>
      <c r="AE16" s="3">
        <v>1041.6600000000001</v>
      </c>
      <c r="AF16" s="3">
        <v>0.1</v>
      </c>
      <c r="AG16" s="17">
        <v>0.1</v>
      </c>
      <c r="AH16" s="6" t="str">
        <f t="shared" si="2"/>
        <v>Valid</v>
      </c>
      <c r="AI16" s="3">
        <v>2812.48</v>
      </c>
      <c r="AJ16" s="3">
        <v>2282.12</v>
      </c>
      <c r="AK16" s="3">
        <v>530.36</v>
      </c>
      <c r="AL16" s="3" t="s">
        <v>34</v>
      </c>
      <c r="AM16" s="6" t="str">
        <f>PROPER(TRIM(SUBSTITUTE(AL16,".","")))</f>
        <v>Paid</v>
      </c>
      <c r="AN16" s="3" t="s">
        <v>35</v>
      </c>
      <c r="AO16" s="8" t="str">
        <f>PROPER(TRIM(SUBSTITUTE(AN16,".","")))</f>
        <v>Completed</v>
      </c>
      <c r="AP16" t="str">
        <f>IF(COUNTIF($A$2:$A$933, A16) &gt; 1, "Duplicate ID", "Unique")</f>
        <v>Unique</v>
      </c>
      <c r="AR16">
        <f t="shared" si="4"/>
        <v>2812.4820000000004</v>
      </c>
      <c r="AS16">
        <f t="shared" si="5"/>
        <v>530.36200000000053</v>
      </c>
      <c r="AT16" s="15">
        <f t="shared" si="6"/>
        <v>0.18857436243147527</v>
      </c>
      <c r="AU16" t="str">
        <f t="shared" si="7"/>
        <v>Clean</v>
      </c>
      <c r="AV16" s="8" t="str">
        <f t="shared" si="8"/>
        <v>Active</v>
      </c>
    </row>
    <row r="17" spans="1:48">
      <c r="A17" s="3" t="s">
        <v>780</v>
      </c>
      <c r="B17" s="3" t="s">
        <v>781</v>
      </c>
      <c r="C17" s="9">
        <f>IFERROR(DATEVALUE(TEXT(B17,"DD/MM/YYYY")), IF(ISNUMBER(B17), B17, ""))</f>
        <v>45311</v>
      </c>
      <c r="D17" s="9" t="str">
        <f>IF(B17="","Missing", IF(AND(ISNUMBER(B17)=FALSE, C17=""),"Invalid - Could Not Parse", IF(AND(ISNUMBER(B17)=FALSE, C17&lt;&gt;""),"Text - Converted to Date", IF(ISNUMBER(B17),"Valid","Check"))))</f>
        <v>Text - Converted to Date</v>
      </c>
      <c r="E17" s="5">
        <f t="shared" si="0"/>
        <v>1</v>
      </c>
      <c r="F17" s="5">
        <f t="shared" si="1"/>
        <v>2024</v>
      </c>
      <c r="G17" s="3" t="s">
        <v>782</v>
      </c>
      <c r="H17" s="9">
        <f>IFERROR(DATEVALUE(TEXT(G17,"DD/MM/YYYY")), IF(ISNUMBER(G17), G17, ""))</f>
        <v>45317</v>
      </c>
      <c r="I17" s="9" t="str">
        <f>IF(G17="","Missing", IF(AND(ISNUMBER(G17)=FALSE, H17=""),"Invalid - Could Not Parse", IF(AND(ISNUMBER(G17)=FALSE, H17&lt;&gt;""),"Text - Converted to Date", IF(ISNUMBER(G17),"Valid","Check"))))</f>
        <v>Text - Converted to Date</v>
      </c>
      <c r="J17" s="9" t="str">
        <f>IF(OR(C17="", H17=""), "Cannot Check - Date Missing", IF(H17&lt;C17, "Invalid - Ship Before Order", "Valid"))</f>
        <v>Valid</v>
      </c>
      <c r="K17" s="5">
        <f>IF(OR(C17="", H17=""), "", IF(H17&lt;C17, "", H17-C17))</f>
        <v>6</v>
      </c>
      <c r="L17" s="3" t="s">
        <v>783</v>
      </c>
      <c r="M17" s="3" t="s">
        <v>210</v>
      </c>
      <c r="N17" s="4" t="str">
        <f>TRIM(SUBSTITUTE(M17,"_"," "))</f>
        <v>Diya Patel</v>
      </c>
      <c r="O17" s="3" t="s">
        <v>115</v>
      </c>
      <c r="P17" s="6" t="str">
        <f>PROPER(TRIM(SUBSTITUTE(O17,".","")))</f>
        <v>Home Office</v>
      </c>
      <c r="Q17" s="3" t="s">
        <v>42</v>
      </c>
      <c r="R17" s="7" t="str">
        <f>PROPER(TRIM(SUBSTITUTE(Q17,"  "," ")))</f>
        <v>East</v>
      </c>
      <c r="S17" s="3" t="s">
        <v>311</v>
      </c>
      <c r="T17" s="6" t="str">
        <f>PROPER(TRIM(SUBSTITUTE(S17,"  "," ")))</f>
        <v>Jharkhand</v>
      </c>
      <c r="U17" s="3" t="s">
        <v>312</v>
      </c>
      <c r="V17" s="6" t="str">
        <f>PROPER(TRIM(SUBSTITUTE(U17,"  "," ")))</f>
        <v>Ranchi</v>
      </c>
      <c r="W17" s="3" t="s">
        <v>86</v>
      </c>
      <c r="X17" s="6" t="str">
        <f>PROPER(TRIM(SUBSTITUTE(W17,"  "," ")))</f>
        <v>Technology</v>
      </c>
      <c r="Y17" s="3" t="s">
        <v>382</v>
      </c>
      <c r="Z17" s="6" t="str">
        <f>PROPER(TRIM(SUBSTITUTE(Y17,"  "," ")))</f>
        <v>Machines</v>
      </c>
      <c r="AA17" s="3" t="s">
        <v>784</v>
      </c>
      <c r="AB17" s="3" t="s">
        <v>67</v>
      </c>
      <c r="AC17" s="6" t="str">
        <f>PROPER(TRIM(SUBSTITUTE(AB17,"  "," ")))</f>
        <v>Standard Class</v>
      </c>
      <c r="AD17" s="3">
        <v>8</v>
      </c>
      <c r="AE17" s="3">
        <v>4003.05</v>
      </c>
      <c r="AF17" s="3">
        <v>0.25</v>
      </c>
      <c r="AG17" s="17">
        <v>0.25</v>
      </c>
      <c r="AH17" s="6" t="str">
        <f t="shared" si="2"/>
        <v>Valid</v>
      </c>
      <c r="AI17" s="3">
        <v>24018.3</v>
      </c>
      <c r="AJ17" s="3">
        <v>14070.78</v>
      </c>
      <c r="AK17" s="3">
        <v>9947.52</v>
      </c>
      <c r="AL17" s="3" t="s">
        <v>34</v>
      </c>
      <c r="AM17" s="6" t="str">
        <f>PROPER(TRIM(SUBSTITUTE(AL17,".","")))</f>
        <v>Paid</v>
      </c>
      <c r="AN17" s="3" t="s">
        <v>35</v>
      </c>
      <c r="AO17" s="8" t="str">
        <f>PROPER(TRIM(SUBSTITUTE(AN17,".","")))</f>
        <v>Completed</v>
      </c>
      <c r="AP17" t="str">
        <f>IF(COUNTIF($A$2:$A$933, A17) &gt; 1, "Duplicate ID", "Unique")</f>
        <v>Unique</v>
      </c>
      <c r="AR17">
        <f t="shared" si="4"/>
        <v>24018.300000000003</v>
      </c>
      <c r="AS17">
        <f t="shared" si="5"/>
        <v>9947.5200000000023</v>
      </c>
      <c r="AT17" s="15">
        <f t="shared" si="6"/>
        <v>0.41416419979765434</v>
      </c>
      <c r="AU17" t="str">
        <f t="shared" si="7"/>
        <v>Clean</v>
      </c>
      <c r="AV17" s="8" t="str">
        <f t="shared" si="8"/>
        <v>Active</v>
      </c>
    </row>
    <row r="18" spans="1:48">
      <c r="A18" s="3" t="s">
        <v>1718</v>
      </c>
      <c r="B18" s="3" t="s">
        <v>1719</v>
      </c>
      <c r="C18" s="9">
        <f>IFERROR(DATEVALUE(TEXT(B18,"DD/MM/YYYY")), IF(ISNUMBER(B18), B18, ""))</f>
        <v>45312</v>
      </c>
      <c r="D18" s="9" t="str">
        <f>IF(B18="","Missing", IF(AND(ISNUMBER(B18)=FALSE, C18=""),"Invalid - Could Not Parse", IF(AND(ISNUMBER(B18)=FALSE, C18&lt;&gt;""),"Text - Converted to Date", IF(ISNUMBER(B18),"Valid","Check"))))</f>
        <v>Text - Converted to Date</v>
      </c>
      <c r="E18" s="5">
        <f t="shared" si="0"/>
        <v>1</v>
      </c>
      <c r="F18" s="5">
        <f t="shared" si="1"/>
        <v>2024</v>
      </c>
      <c r="G18" s="3" t="s">
        <v>1720</v>
      </c>
      <c r="H18" s="9">
        <f>IFERROR(DATEVALUE(MID(G18,4,2) &amp; "/" &amp; LEFT(G18,2) &amp; "/" &amp; RIGHT(G18,4)), IF(ISNUMBER(G18), G18, IFERROR(DATEVALUE(G18), "")))</f>
        <v>45320</v>
      </c>
      <c r="I18" s="9" t="str">
        <f>IF(G18="","Missing", IF(AND(ISNUMBER(G18)=FALSE, H18=""),"Invalid - Could Not Parse", IF(AND(ISNUMBER(G18)=FALSE, H18&lt;&gt;""),"Text - Converted to Date", IF(ISNUMBER(G18),"Valid","Check"))))</f>
        <v>Text - Converted to Date</v>
      </c>
      <c r="J18" s="9" t="str">
        <f>IF(OR(C18="", H18=""), "Cannot Check - Date Missing", IF(H18&lt;C18, "Invalid - Ship Before Order", "Valid"))</f>
        <v>Valid</v>
      </c>
      <c r="K18" s="5">
        <f>IF(OR(C18="", H18=""), "", IF(H18&lt;C18, "", H18-C18))</f>
        <v>8</v>
      </c>
      <c r="L18" s="3" t="s">
        <v>1721</v>
      </c>
      <c r="M18" s="3" t="s">
        <v>93</v>
      </c>
      <c r="N18" s="4" t="str">
        <f>TRIM(SUBSTITUTE(M18,"_"," "))</f>
        <v>Neha Gupta</v>
      </c>
      <c r="O18" s="3" t="s">
        <v>26</v>
      </c>
      <c r="P18" s="6" t="str">
        <f>PROPER(TRIM(SUBSTITUTE(O18,".","")))</f>
        <v>Consumer</v>
      </c>
      <c r="Q18" s="3" t="s">
        <v>62</v>
      </c>
      <c r="R18" s="7" t="str">
        <f>PROPER(TRIM(SUBSTITUTE(Q18,"  "," ")))</f>
        <v>South</v>
      </c>
      <c r="S18" s="3" t="s">
        <v>229</v>
      </c>
      <c r="T18" s="6" t="str">
        <f>PROPER(TRIM(SUBSTITUTE(S18,"  "," ")))</f>
        <v>Karnataka</v>
      </c>
      <c r="U18" s="3" t="s">
        <v>230</v>
      </c>
      <c r="V18" s="6" t="str">
        <f>PROPER(TRIM(SUBSTITUTE(U18,"  "," ")))</f>
        <v>Bengaluru</v>
      </c>
      <c r="W18" s="3" t="s">
        <v>30</v>
      </c>
      <c r="X18" s="6" t="str">
        <f>PROPER(TRIM(SUBSTITUTE(W18,"  "," ")))</f>
        <v>Office Supplies</v>
      </c>
      <c r="Y18" s="3" t="s">
        <v>198</v>
      </c>
      <c r="Z18" s="6" t="str">
        <f>PROPER(TRIM(SUBSTITUTE(Y18,"  "," ")))</f>
        <v>Binders</v>
      </c>
      <c r="AA18" s="3" t="s">
        <v>1722</v>
      </c>
      <c r="AB18" s="3" t="s">
        <v>67</v>
      </c>
      <c r="AC18" s="6" t="str">
        <f>PROPER(TRIM(SUBSTITUTE(AB18,"  "," ")))</f>
        <v>Standard Class</v>
      </c>
      <c r="AD18" s="3">
        <v>5</v>
      </c>
      <c r="AE18" s="3">
        <v>4058.08</v>
      </c>
      <c r="AF18" s="3">
        <v>0.1</v>
      </c>
      <c r="AG18" s="17">
        <v>0.1</v>
      </c>
      <c r="AH18" s="6" t="str">
        <f t="shared" si="2"/>
        <v>Valid</v>
      </c>
      <c r="AI18" s="3">
        <v>18261.36</v>
      </c>
      <c r="AJ18" s="3">
        <v>11399.94</v>
      </c>
      <c r="AK18" s="3">
        <v>6861.42</v>
      </c>
      <c r="AL18" s="3" t="s">
        <v>34</v>
      </c>
      <c r="AM18" s="6" t="str">
        <f>PROPER(TRIM(SUBSTITUTE(AL18,".","")))</f>
        <v>Paid</v>
      </c>
      <c r="AN18" s="3" t="s">
        <v>35</v>
      </c>
      <c r="AO18" s="8" t="str">
        <f>PROPER(TRIM(SUBSTITUTE(AN18,".","")))</f>
        <v>Completed</v>
      </c>
      <c r="AP18" t="str">
        <f>IF(COUNTIF($A$2:$A$933, A18) &gt; 1, "Duplicate ID", "Unique")</f>
        <v>Unique</v>
      </c>
      <c r="AR18">
        <f t="shared" si="4"/>
        <v>18261.36</v>
      </c>
      <c r="AS18">
        <f t="shared" si="5"/>
        <v>6861.42</v>
      </c>
      <c r="AT18" s="15">
        <f t="shared" si="6"/>
        <v>0.3757343374206521</v>
      </c>
      <c r="AU18" t="str">
        <f t="shared" si="7"/>
        <v>Clean</v>
      </c>
      <c r="AV18" s="8" t="str">
        <f t="shared" si="8"/>
        <v>Active</v>
      </c>
    </row>
    <row r="19" spans="1:48">
      <c r="A19" s="3" t="s">
        <v>2727</v>
      </c>
      <c r="B19" s="3" t="s">
        <v>1719</v>
      </c>
      <c r="C19" s="9">
        <f>IFERROR(DATEVALUE(TEXT(B19,"DD/MM/YYYY")), IF(ISNUMBER(B19), B19, ""))</f>
        <v>45312</v>
      </c>
      <c r="D19" s="9" t="str">
        <f>IF(B19="","Missing", IF(AND(ISNUMBER(B19)=FALSE, C19=""),"Invalid - Could Not Parse", IF(AND(ISNUMBER(B19)=FALSE, C19&lt;&gt;""),"Text - Converted to Date", IF(ISNUMBER(B19),"Valid","Check"))))</f>
        <v>Text - Converted to Date</v>
      </c>
      <c r="E19" s="5">
        <f t="shared" si="0"/>
        <v>1</v>
      </c>
      <c r="F19" s="5">
        <f t="shared" si="1"/>
        <v>2024</v>
      </c>
      <c r="G19" s="3" t="s">
        <v>2728</v>
      </c>
      <c r="H19" s="9">
        <f>IFERROR(DATEVALUE(TEXT(G19,"DD/MM/YYYY")), IF(ISNUMBER(G19), G19, ""))</f>
        <v>45315</v>
      </c>
      <c r="I19" s="9" t="str">
        <f>IF(G19="","Missing", IF(AND(ISNUMBER(G19)=FALSE, H19=""),"Invalid - Could Not Parse", IF(AND(ISNUMBER(G19)=FALSE, H19&lt;&gt;""),"Text - Converted to Date", IF(ISNUMBER(G19),"Valid","Check"))))</f>
        <v>Text - Converted to Date</v>
      </c>
      <c r="J19" s="9" t="str">
        <f>IF(OR(C19="", H19=""), "Cannot Check - Date Missing", IF(H19&lt;C19, "Invalid - Ship Before Order", "Valid"))</f>
        <v>Valid</v>
      </c>
      <c r="K19" s="5">
        <f>IF(OR(C19="", H19=""), "", IF(H19&lt;C19, "", H19-C19))</f>
        <v>3</v>
      </c>
      <c r="L19" s="3" t="s">
        <v>2729</v>
      </c>
      <c r="M19" s="3" t="s">
        <v>366</v>
      </c>
      <c r="N19" s="4" t="str">
        <f>TRIM(SUBSTITUTE(M19,"_"," "))</f>
        <v>Kabir Singh</v>
      </c>
      <c r="O19" s="3" t="s">
        <v>108</v>
      </c>
      <c r="P19" s="6" t="str">
        <f>PROPER(TRIM(SUBSTITUTE(O19,".","")))</f>
        <v>Corporate</v>
      </c>
      <c r="Q19" s="3" t="s">
        <v>27</v>
      </c>
      <c r="R19" s="7" t="str">
        <f>PROPER(TRIM(SUBSTITUTE(Q19,"  "," ")))</f>
        <v>North</v>
      </c>
      <c r="S19" s="3" t="s">
        <v>154</v>
      </c>
      <c r="T19" s="6" t="str">
        <f>PROPER(TRIM(SUBSTITUTE(S19,"  "," ")))</f>
        <v>Punjab</v>
      </c>
      <c r="U19" s="3" t="s">
        <v>155</v>
      </c>
      <c r="V19" s="6" t="str">
        <f>PROPER(TRIM(SUBSTITUTE(U19,"  "," ")))</f>
        <v>Ludhiana</v>
      </c>
      <c r="W19" s="3" t="s">
        <v>86</v>
      </c>
      <c r="X19" s="6" t="str">
        <f>PROPER(TRIM(SUBSTITUTE(W19,"  "," ")))</f>
        <v>Technology</v>
      </c>
      <c r="Y19" s="3" t="s">
        <v>382</v>
      </c>
      <c r="Z19" s="6" t="str">
        <f>PROPER(TRIM(SUBSTITUTE(Y19,"  "," ")))</f>
        <v>Machines</v>
      </c>
      <c r="AA19" s="3" t="s">
        <v>2730</v>
      </c>
      <c r="AB19" s="3" t="s">
        <v>48</v>
      </c>
      <c r="AC19" s="6" t="str">
        <f>PROPER(TRIM(SUBSTITUTE(AB19,"  "," ")))</f>
        <v>Same Day</v>
      </c>
      <c r="AD19" s="3">
        <v>1</v>
      </c>
      <c r="AE19" s="3">
        <v>3806.3</v>
      </c>
      <c r="AF19" s="3">
        <v>0.25</v>
      </c>
      <c r="AG19" s="17">
        <v>0.25</v>
      </c>
      <c r="AH19" s="6" t="str">
        <f t="shared" si="2"/>
        <v>Valid</v>
      </c>
      <c r="AI19" s="3">
        <v>2854.73</v>
      </c>
      <c r="AJ19" s="3">
        <v>1968.12</v>
      </c>
      <c r="AK19" s="3">
        <v>886.61</v>
      </c>
      <c r="AL19" s="3" t="s">
        <v>34</v>
      </c>
      <c r="AM19" s="6" t="str">
        <f>PROPER(TRIM(SUBSTITUTE(AL19,".","")))</f>
        <v>Paid</v>
      </c>
      <c r="AN19" s="3" t="s">
        <v>35</v>
      </c>
      <c r="AO19" s="8" t="str">
        <f>PROPER(TRIM(SUBSTITUTE(AN19,".","")))</f>
        <v>Completed</v>
      </c>
      <c r="AP19" t="str">
        <f>IF(COUNTIF($A$2:$A$933, A19) &gt; 1, "Duplicate ID", "Unique")</f>
        <v>Unique</v>
      </c>
      <c r="AR19">
        <f t="shared" si="4"/>
        <v>2854.7250000000004</v>
      </c>
      <c r="AS19">
        <f t="shared" si="5"/>
        <v>886.60500000000047</v>
      </c>
      <c r="AT19" s="15">
        <f t="shared" si="6"/>
        <v>0.31057457373302172</v>
      </c>
      <c r="AU19" t="str">
        <f t="shared" si="7"/>
        <v>Clean</v>
      </c>
      <c r="AV19" s="8" t="str">
        <f t="shared" si="8"/>
        <v>Active</v>
      </c>
    </row>
    <row r="20" spans="1:48">
      <c r="A20" s="3" t="s">
        <v>1057</v>
      </c>
      <c r="B20" s="3" t="s">
        <v>1058</v>
      </c>
      <c r="C20" s="9">
        <f>IFERROR(DATEVALUE(TEXT(B20,"DD/MM/YYYY")), IF(ISNUMBER(B20), B20, ""))</f>
        <v>45313</v>
      </c>
      <c r="D20" s="9" t="str">
        <f>IF(B20="","Missing", IF(AND(ISNUMBER(B20)=FALSE, C20=""),"Invalid - Could Not Parse", IF(AND(ISNUMBER(B20)=FALSE, C20&lt;&gt;""),"Text - Converted to Date", IF(ISNUMBER(B20),"Valid","Check"))))</f>
        <v>Text - Converted to Date</v>
      </c>
      <c r="E20" s="5">
        <f t="shared" si="0"/>
        <v>1</v>
      </c>
      <c r="F20" s="5">
        <f t="shared" si="1"/>
        <v>2024</v>
      </c>
      <c r="G20" s="3" t="s">
        <v>1059</v>
      </c>
      <c r="H20" s="9">
        <f>IFERROR(DATEVALUE(TEXT(G20,"DD/MM/YYYY")), IF(ISNUMBER(G20), G20, ""))</f>
        <v>45316</v>
      </c>
      <c r="I20" s="9" t="str">
        <f>IF(G20="","Missing", IF(AND(ISNUMBER(G20)=FALSE, H20=""),"Invalid - Could Not Parse", IF(AND(ISNUMBER(G20)=FALSE, H20&lt;&gt;""),"Text - Converted to Date", IF(ISNUMBER(G20),"Valid","Check"))))</f>
        <v>Text - Converted to Date</v>
      </c>
      <c r="J20" s="9" t="str">
        <f>IF(OR(C20="", H20=""), "Cannot Check - Date Missing", IF(H20&lt;C20, "Invalid - Ship Before Order", "Valid"))</f>
        <v>Valid</v>
      </c>
      <c r="K20" s="5">
        <f>IF(OR(C20="", H20=""), "", IF(H20&lt;C20, "", H20-C20))</f>
        <v>3</v>
      </c>
      <c r="L20" s="3" t="s">
        <v>1060</v>
      </c>
      <c r="M20" s="3" t="s">
        <v>366</v>
      </c>
      <c r="N20" s="4" t="str">
        <f>TRIM(SUBSTITUTE(M20,"_"," "))</f>
        <v>Kabir Singh</v>
      </c>
      <c r="O20" s="3" t="s">
        <v>115</v>
      </c>
      <c r="P20" s="6" t="str">
        <f>PROPER(TRIM(SUBSTITUTE(O20,".","")))</f>
        <v>Home Office</v>
      </c>
      <c r="Q20" s="3" t="s">
        <v>27</v>
      </c>
      <c r="R20" s="7" t="str">
        <f>PROPER(TRIM(SUBSTITUTE(Q20,"  "," ")))</f>
        <v>North</v>
      </c>
      <c r="S20" s="3" t="s">
        <v>174</v>
      </c>
      <c r="T20" s="6" t="str">
        <f>PROPER(TRIM(SUBSTITUTE(S20,"  "," ")))</f>
        <v>Uttar Pradesh</v>
      </c>
      <c r="U20" s="3" t="s">
        <v>175</v>
      </c>
      <c r="V20" s="6" t="str">
        <f>PROPER(TRIM(SUBSTITUTE(U20,"  "," ")))</f>
        <v>Noida</v>
      </c>
      <c r="W20" s="3" t="s">
        <v>30</v>
      </c>
      <c r="X20" s="6" t="str">
        <f>PROPER(TRIM(SUBSTITUTE(W20,"  "," ")))</f>
        <v>Office Supplies</v>
      </c>
      <c r="Y20" s="3" t="s">
        <v>156</v>
      </c>
      <c r="Z20" s="6" t="str">
        <f>PROPER(TRIM(SUBSTITUTE(Y20,"  "," ")))</f>
        <v>Storage</v>
      </c>
      <c r="AA20" s="3" t="s">
        <v>1061</v>
      </c>
      <c r="AB20" s="3" t="s">
        <v>56</v>
      </c>
      <c r="AC20" s="6" t="str">
        <f>PROPER(TRIM(SUBSTITUTE(AB20,"  "," ")))</f>
        <v>First Class</v>
      </c>
      <c r="AD20" s="3">
        <v>3</v>
      </c>
      <c r="AE20" s="3">
        <v>1212.03</v>
      </c>
      <c r="AF20" s="3">
        <v>0.1</v>
      </c>
      <c r="AG20" s="17">
        <v>0.1</v>
      </c>
      <c r="AH20" s="6" t="str">
        <f t="shared" si="2"/>
        <v>Valid</v>
      </c>
      <c r="AI20" s="3">
        <v>3272.48</v>
      </c>
      <c r="AJ20" s="3">
        <v>2517.44</v>
      </c>
      <c r="AK20" s="3">
        <v>755.04</v>
      </c>
      <c r="AL20" s="3" t="s">
        <v>34</v>
      </c>
      <c r="AM20" s="6" t="str">
        <f>PROPER(TRIM(SUBSTITUTE(AL20,".","")))</f>
        <v>Paid</v>
      </c>
      <c r="AN20" s="3" t="s">
        <v>35</v>
      </c>
      <c r="AO20" s="8" t="str">
        <f>PROPER(TRIM(SUBSTITUTE(AN20,".","")))</f>
        <v>Completed</v>
      </c>
      <c r="AP20" t="str">
        <f>IF(COUNTIF($A$2:$A$933, A20) &gt; 1, "Duplicate ID", "Unique")</f>
        <v>Unique</v>
      </c>
      <c r="AR20">
        <f t="shared" si="4"/>
        <v>3272.4810000000002</v>
      </c>
      <c r="AS20">
        <f t="shared" si="5"/>
        <v>755.04100000000017</v>
      </c>
      <c r="AT20" s="15">
        <f t="shared" si="6"/>
        <v>0.23072433422837293</v>
      </c>
      <c r="AU20" t="str">
        <f t="shared" si="7"/>
        <v>Clean</v>
      </c>
      <c r="AV20" s="8" t="str">
        <f t="shared" si="8"/>
        <v>Active</v>
      </c>
    </row>
    <row r="21" spans="1:48">
      <c r="A21" s="3" t="s">
        <v>708</v>
      </c>
      <c r="B21" s="3" t="s">
        <v>709</v>
      </c>
      <c r="C21" s="9">
        <f>IFERROR(DATEVALUE(MID(B21,4,2) &amp; "/" &amp; LEFT(B21,2) &amp; "/" &amp; RIGHT(B21,4)), IF(ISNUMBER(B21), B21, IFERROR(DATEVALUE(B21), "")))</f>
        <v>45436</v>
      </c>
      <c r="D21" s="9" t="str">
        <f>IF(B21="","Missing", IF(AND(ISNUMBER(B21)=FALSE, C21=""),"Invalid - Could Not Parse", IF(AND(ISNUMBER(B21)=FALSE, C21&lt;&gt;""),"Text - Converted to Date", IF(ISNUMBER(B21),"Valid","Check"))))</f>
        <v>Text - Converted to Date</v>
      </c>
      <c r="E21" s="5">
        <f t="shared" si="0"/>
        <v>5</v>
      </c>
      <c r="F21" s="5">
        <f t="shared" si="1"/>
        <v>2024</v>
      </c>
      <c r="G21" s="3" t="s">
        <v>710</v>
      </c>
      <c r="H21" s="9">
        <f>IFERROR(DATEVALUE(TEXT(G21,"DD/MM/YYYY")), IF(ISNUMBER(G21), G21, ""))</f>
        <v>45437</v>
      </c>
      <c r="I21" s="9" t="str">
        <f>IF(G21="","Missing", IF(AND(ISNUMBER(G21)=FALSE, H21=""),"Invalid - Could Not Parse", IF(AND(ISNUMBER(G21)=FALSE, H21&lt;&gt;""),"Text - Converted to Date", IF(ISNUMBER(G21),"Valid","Check"))))</f>
        <v>Text - Converted to Date</v>
      </c>
      <c r="J21" s="9" t="str">
        <f>IF(OR(C21="", H21=""), "Cannot Check - Date Missing", IF(H21&lt;C21, "Invalid - Ship Before Order", "Valid"))</f>
        <v>Valid</v>
      </c>
      <c r="K21" s="5">
        <f>IF(OR(C21="", H21=""), "", IF(H21&lt;C21, "", H21-C21))</f>
        <v>1</v>
      </c>
      <c r="L21" s="3" t="s">
        <v>711</v>
      </c>
      <c r="M21" s="3" t="s">
        <v>168</v>
      </c>
      <c r="N21" s="4" t="str">
        <f>TRIM(SUBSTITUTE(M21,"_"," "))</f>
        <v>Sneha Kapoor</v>
      </c>
      <c r="O21" s="3" t="s">
        <v>41</v>
      </c>
      <c r="P21" s="6" t="str">
        <f>PROPER(TRIM(SUBSTITUTE(O21,".","")))</f>
        <v>Small Business</v>
      </c>
      <c r="Q21" s="3" t="s">
        <v>712</v>
      </c>
      <c r="R21" s="7" t="str">
        <f>PROPER(TRIM(SUBSTITUTE(Q21,"  "," ")))</f>
        <v>North</v>
      </c>
      <c r="S21" s="3" t="s">
        <v>154</v>
      </c>
      <c r="T21" s="6" t="str">
        <f>PROPER(TRIM(SUBSTITUTE(S21,"  "," ")))</f>
        <v>Punjab</v>
      </c>
      <c r="U21" s="3" t="s">
        <v>155</v>
      </c>
      <c r="V21" s="6" t="str">
        <f>PROPER(TRIM(SUBSTITUTE(U21,"  "," ")))</f>
        <v>Ludhiana</v>
      </c>
      <c r="W21" s="3" t="s">
        <v>86</v>
      </c>
      <c r="X21" s="6" t="str">
        <f>PROPER(TRIM(SUBSTITUTE(W21,"  "," ")))</f>
        <v>Technology</v>
      </c>
      <c r="Y21" s="3" t="s">
        <v>94</v>
      </c>
      <c r="Z21" s="6" t="str">
        <f>PROPER(TRIM(SUBSTITUTE(Y21,"  "," ")))</f>
        <v>Copiers</v>
      </c>
      <c r="AA21" s="3" t="s">
        <v>713</v>
      </c>
      <c r="AB21" s="3" t="s">
        <v>48</v>
      </c>
      <c r="AC21" s="6" t="str">
        <f>PROPER(TRIM(SUBSTITUTE(AB21,"  "," ")))</f>
        <v>Same Day</v>
      </c>
      <c r="AD21" s="3">
        <v>1</v>
      </c>
      <c r="AE21" s="3">
        <v>634.13</v>
      </c>
      <c r="AF21" s="3">
        <v>0</v>
      </c>
      <c r="AG21" s="17">
        <v>0</v>
      </c>
      <c r="AH21" s="6" t="str">
        <f t="shared" si="2"/>
        <v>Valid</v>
      </c>
      <c r="AI21" s="3">
        <v>808.67</v>
      </c>
      <c r="AJ21" s="3">
        <v>453.35</v>
      </c>
      <c r="AK21" s="3">
        <v>180.78</v>
      </c>
      <c r="AL21" s="3" t="s">
        <v>124</v>
      </c>
      <c r="AM21" s="6" t="str">
        <f>PROPER(TRIM(SUBSTITUTE(AL21,".","")))</f>
        <v>Refunded</v>
      </c>
      <c r="AN21" s="3" t="s">
        <v>125</v>
      </c>
      <c r="AO21" s="8" t="str">
        <f>PROPER(TRIM(SUBSTITUTE(AN21,".","")))</f>
        <v>Returned</v>
      </c>
      <c r="AP21" t="str">
        <f>IF(COUNTIF($A$2:$A$933, A21) &gt; 1, "Duplicate ID", "Unique")</f>
        <v>Duplicate ID</v>
      </c>
      <c r="AQ21" t="s">
        <v>4106</v>
      </c>
      <c r="AR21">
        <f t="shared" si="4"/>
        <v>634.13</v>
      </c>
      <c r="AS21">
        <f t="shared" si="5"/>
        <v>180.77999999999997</v>
      </c>
      <c r="AT21" s="15">
        <f t="shared" si="6"/>
        <v>0.28508350022865969</v>
      </c>
      <c r="AU21" t="str">
        <f t="shared" si="7"/>
        <v>Invalid</v>
      </c>
      <c r="AV21" s="8" t="str">
        <f t="shared" si="8"/>
        <v>Refund</v>
      </c>
    </row>
    <row r="22" spans="1:48">
      <c r="A22" s="3" t="s">
        <v>1854</v>
      </c>
      <c r="B22" s="3" t="s">
        <v>1058</v>
      </c>
      <c r="C22" s="9">
        <f>IFERROR(DATEVALUE(TEXT(B22,"DD/MM/YYYY")), IF(ISNUMBER(B22), B22, ""))</f>
        <v>45313</v>
      </c>
      <c r="D22" s="9" t="str">
        <f>IF(B22="","Missing", IF(AND(ISNUMBER(B22)=FALSE, C22=""),"Invalid - Could Not Parse", IF(AND(ISNUMBER(B22)=FALSE, C22&lt;&gt;""),"Text - Converted to Date", IF(ISNUMBER(B22),"Valid","Check"))))</f>
        <v>Text - Converted to Date</v>
      </c>
      <c r="E22" s="5">
        <f t="shared" si="0"/>
        <v>1</v>
      </c>
      <c r="F22" s="5">
        <f t="shared" si="1"/>
        <v>2024</v>
      </c>
      <c r="G22" s="3" t="s">
        <v>1855</v>
      </c>
      <c r="H22" s="9">
        <f>IFERROR(DATEVALUE(TEXT(G22,"DD/MM/YYYY")), IF(ISNUMBER(G22), G22, ""))</f>
        <v>45315</v>
      </c>
      <c r="I22" s="9" t="str">
        <f>IF(G22="","Missing", IF(AND(ISNUMBER(G22)=FALSE, H22=""),"Invalid - Could Not Parse", IF(AND(ISNUMBER(G22)=FALSE, H22&lt;&gt;""),"Text - Converted to Date", IF(ISNUMBER(G22),"Valid","Check"))))</f>
        <v>Text - Converted to Date</v>
      </c>
      <c r="J22" s="9" t="str">
        <f>IF(OR(C22="", H22=""), "Cannot Check - Date Missing", IF(H22&lt;C22, "Invalid - Ship Before Order", "Valid"))</f>
        <v>Valid</v>
      </c>
      <c r="K22" s="5">
        <f>IF(OR(C22="", H22=""), "", IF(H22&lt;C22, "", H22-C22))</f>
        <v>2</v>
      </c>
      <c r="L22" s="3" t="s">
        <v>1856</v>
      </c>
      <c r="M22" s="3" t="s">
        <v>210</v>
      </c>
      <c r="N22" s="4" t="str">
        <f>TRIM(SUBSTITUTE(M22,"_"," "))</f>
        <v>Diya Patel</v>
      </c>
      <c r="O22" s="3" t="s">
        <v>115</v>
      </c>
      <c r="P22" s="6" t="str">
        <f>PROPER(TRIM(SUBSTITUTE(O22,".","")))</f>
        <v>Home Office</v>
      </c>
      <c r="Q22" s="3" t="s">
        <v>73</v>
      </c>
      <c r="R22" s="7" t="str">
        <f>PROPER(TRIM(SUBSTITUTE(Q22,"  "," ")))</f>
        <v>West</v>
      </c>
      <c r="S22" s="3" t="s">
        <v>74</v>
      </c>
      <c r="T22" s="6" t="str">
        <f>PROPER(TRIM(SUBSTITUTE(S22,"  "," ")))</f>
        <v>Maharashtra</v>
      </c>
      <c r="U22" s="3" t="s">
        <v>75</v>
      </c>
      <c r="V22" s="6" t="str">
        <f>PROPER(TRIM(SUBSTITUTE(U22,"  "," ")))</f>
        <v>Mumbai</v>
      </c>
      <c r="W22" s="3" t="s">
        <v>30</v>
      </c>
      <c r="X22" s="6" t="str">
        <f>PROPER(TRIM(SUBSTITUTE(W22,"  "," ")))</f>
        <v>Office Supplies</v>
      </c>
      <c r="Y22" s="3" t="s">
        <v>54</v>
      </c>
      <c r="Z22" s="6" t="str">
        <f>PROPER(TRIM(SUBSTITUTE(Y22,"  "," ")))</f>
        <v>Art</v>
      </c>
      <c r="AA22" s="3" t="s">
        <v>1857</v>
      </c>
      <c r="AB22" s="3" t="s">
        <v>67</v>
      </c>
      <c r="AC22" s="6" t="str">
        <f>PROPER(TRIM(SUBSTITUTE(AB22,"  "," ")))</f>
        <v>Standard Class</v>
      </c>
      <c r="AD22" s="3">
        <v>6</v>
      </c>
      <c r="AE22" s="3">
        <v>1026.06</v>
      </c>
      <c r="AF22" s="3"/>
      <c r="AG22" s="18">
        <f>IF(ISBLANK(AF22), 0, AF22)</f>
        <v>0</v>
      </c>
      <c r="AH22" s="6" t="str">
        <f t="shared" si="2"/>
        <v>Missing</v>
      </c>
      <c r="AI22" s="3">
        <v>4617.2700000000004</v>
      </c>
      <c r="AJ22" s="3">
        <v>2981.94</v>
      </c>
      <c r="AK22" s="3">
        <v>1635.33</v>
      </c>
      <c r="AL22" s="3" t="s">
        <v>124</v>
      </c>
      <c r="AM22" s="6" t="str">
        <f>PROPER(TRIM(SUBSTITUTE(AL22,".","")))</f>
        <v>Refunded</v>
      </c>
      <c r="AN22" s="3" t="s">
        <v>78</v>
      </c>
      <c r="AO22" s="8" t="str">
        <f>PROPER(TRIM(SUBSTITUTE(AN22,".","")))</f>
        <v>Cancelled</v>
      </c>
      <c r="AP22" t="str">
        <f>IF(COUNTIF($A$2:$A$933, A22) &gt; 1, "Duplicate ID", "Unique")</f>
        <v>Unique</v>
      </c>
      <c r="AQ22" t="s">
        <v>4106</v>
      </c>
      <c r="AR22">
        <f t="shared" si="4"/>
        <v>6156.36</v>
      </c>
      <c r="AS22">
        <f t="shared" si="5"/>
        <v>3174.4199999999996</v>
      </c>
      <c r="AT22" s="15">
        <f t="shared" si="6"/>
        <v>0.51563261407714944</v>
      </c>
      <c r="AU22" t="str">
        <f t="shared" si="7"/>
        <v>Invalid</v>
      </c>
      <c r="AV22" s="8" t="str">
        <f t="shared" si="8"/>
        <v>Refund</v>
      </c>
    </row>
    <row r="23" spans="1:48">
      <c r="A23" s="3" t="s">
        <v>2037</v>
      </c>
      <c r="B23" s="3" t="s">
        <v>2038</v>
      </c>
      <c r="C23" s="9">
        <f>IFERROR(DATEVALUE(TEXT(B23,"DD/MM/YYYY")), IF(ISNUMBER(B23), B23, ""))</f>
        <v>45313</v>
      </c>
      <c r="D23" s="9" t="str">
        <f>IF(B23="","Missing", IF(AND(ISNUMBER(B23)=FALSE, C23=""),"Invalid - Could Not Parse", IF(AND(ISNUMBER(B23)=FALSE, C23&lt;&gt;""),"Text - Converted to Date", IF(ISNUMBER(B23),"Valid","Check"))))</f>
        <v>Text - Converted to Date</v>
      </c>
      <c r="E23" s="5">
        <f t="shared" si="0"/>
        <v>1</v>
      </c>
      <c r="F23" s="5">
        <f t="shared" si="1"/>
        <v>2024</v>
      </c>
      <c r="G23" s="3" t="s">
        <v>834</v>
      </c>
      <c r="H23" s="9">
        <f>IFERROR(DATEVALUE(TEXT(G23,"DD/MM/YYYY")), IF(ISNUMBER(G23), G23, ""))</f>
        <v>45321</v>
      </c>
      <c r="I23" s="9" t="str">
        <f>IF(G23="","Missing", IF(AND(ISNUMBER(G23)=FALSE, H23=""),"Invalid - Could Not Parse", IF(AND(ISNUMBER(G23)=FALSE, H23&lt;&gt;""),"Text - Converted to Date", IF(ISNUMBER(G23),"Valid","Check"))))</f>
        <v>Text - Converted to Date</v>
      </c>
      <c r="J23" s="9" t="str">
        <f>IF(OR(C23="", H23=""), "Cannot Check - Date Missing", IF(H23&lt;C23, "Invalid - Ship Before Order", "Valid"))</f>
        <v>Valid</v>
      </c>
      <c r="K23" s="5">
        <f>IF(OR(C23="", H23=""), "", IF(H23&lt;C23, "", H23-C23))</f>
        <v>8</v>
      </c>
      <c r="L23" s="3" t="s">
        <v>2039</v>
      </c>
      <c r="M23" s="3" t="s">
        <v>53</v>
      </c>
      <c r="N23" s="4" t="str">
        <f>TRIM(SUBSTITUTE(M23,"_"," "))</f>
        <v>Isha Nair</v>
      </c>
      <c r="O23" s="3" t="s">
        <v>108</v>
      </c>
      <c r="P23" s="6" t="str">
        <f>PROPER(TRIM(SUBSTITUTE(O23,".","")))</f>
        <v>Corporate</v>
      </c>
      <c r="Q23" s="3" t="s">
        <v>62</v>
      </c>
      <c r="R23" s="7" t="str">
        <f>PROPER(TRIM(SUBSTITUTE(Q23,"  "," ")))</f>
        <v>South</v>
      </c>
      <c r="S23" s="3" t="s">
        <v>229</v>
      </c>
      <c r="T23" s="6" t="str">
        <f>PROPER(TRIM(SUBSTITUTE(S23,"  "," ")))</f>
        <v>Karnataka</v>
      </c>
      <c r="U23" s="3" t="s">
        <v>230</v>
      </c>
      <c r="V23" s="6" t="str">
        <f>PROPER(TRIM(SUBSTITUTE(U23,"  "," ")))</f>
        <v>Bengaluru</v>
      </c>
      <c r="W23" s="3" t="s">
        <v>45</v>
      </c>
      <c r="X23" s="6" t="str">
        <f>PROPER(TRIM(SUBSTITUTE(W23,"  "," ")))</f>
        <v>Furniture</v>
      </c>
      <c r="Y23" s="3" t="s">
        <v>76</v>
      </c>
      <c r="Z23" s="6" t="str">
        <f>PROPER(TRIM(SUBSTITUTE(Y23,"  "," ")))</f>
        <v>Chairs</v>
      </c>
      <c r="AA23" s="3" t="s">
        <v>2040</v>
      </c>
      <c r="AB23" s="3" t="s">
        <v>48</v>
      </c>
      <c r="AC23" s="6" t="str">
        <f>PROPER(TRIM(SUBSTITUTE(AB23,"  "," ")))</f>
        <v>Same Day</v>
      </c>
      <c r="AD23" s="3">
        <v>1</v>
      </c>
      <c r="AE23" s="3">
        <v>2111.39</v>
      </c>
      <c r="AF23" s="3">
        <v>0.25</v>
      </c>
      <c r="AG23" s="17">
        <v>0.25</v>
      </c>
      <c r="AH23" s="6" t="str">
        <f t="shared" si="2"/>
        <v>Valid</v>
      </c>
      <c r="AI23" s="3">
        <v>1583.54</v>
      </c>
      <c r="AJ23" s="3">
        <v>1014.19</v>
      </c>
      <c r="AK23" s="3">
        <v>569.35</v>
      </c>
      <c r="AL23" s="3" t="s">
        <v>34</v>
      </c>
      <c r="AM23" s="6" t="str">
        <f>PROPER(TRIM(SUBSTITUTE(AL23,".","")))</f>
        <v>Paid</v>
      </c>
      <c r="AN23" s="3" t="s">
        <v>35</v>
      </c>
      <c r="AO23" s="8" t="str">
        <f>PROPER(TRIM(SUBSTITUTE(AN23,".","")))</f>
        <v>Completed</v>
      </c>
      <c r="AP23" t="str">
        <f>IF(COUNTIF($A$2:$A$933, A23) &gt; 1, "Duplicate ID", "Unique")</f>
        <v>Unique</v>
      </c>
      <c r="AR23">
        <f t="shared" si="4"/>
        <v>1583.5425</v>
      </c>
      <c r="AS23">
        <f t="shared" si="5"/>
        <v>569.35249999999996</v>
      </c>
      <c r="AT23" s="15">
        <f t="shared" si="6"/>
        <v>0.35954355503562424</v>
      </c>
      <c r="AU23" t="str">
        <f t="shared" si="7"/>
        <v>Clean</v>
      </c>
      <c r="AV23" s="8" t="str">
        <f t="shared" si="8"/>
        <v>Active</v>
      </c>
    </row>
    <row r="24" spans="1:48">
      <c r="A24" s="3" t="s">
        <v>2595</v>
      </c>
      <c r="B24" s="3" t="s">
        <v>2038</v>
      </c>
      <c r="C24" s="9">
        <f>IFERROR(DATEVALUE(TEXT(B24,"DD/MM/YYYY")), IF(ISNUMBER(B24), B24, ""))</f>
        <v>45313</v>
      </c>
      <c r="D24" s="9" t="str">
        <f>IF(B24="","Missing", IF(AND(ISNUMBER(B24)=FALSE, C24=""),"Invalid - Could Not Parse", IF(AND(ISNUMBER(B24)=FALSE, C24&lt;&gt;""),"Text - Converted to Date", IF(ISNUMBER(B24),"Valid","Check"))))</f>
        <v>Text - Converted to Date</v>
      </c>
      <c r="E24" s="5">
        <f t="shared" si="0"/>
        <v>1</v>
      </c>
      <c r="F24" s="5">
        <f t="shared" si="1"/>
        <v>2024</v>
      </c>
      <c r="G24" s="3" t="s">
        <v>2596</v>
      </c>
      <c r="H24" s="9">
        <f>IFERROR(DATEVALUE(TEXT(G24,"DD/MM/YYYY")), IF(ISNUMBER(G24), G24, ""))</f>
        <v>45321</v>
      </c>
      <c r="I24" s="9" t="str">
        <f>IF(G24="","Missing", IF(AND(ISNUMBER(G24)=FALSE, H24=""),"Invalid - Could Not Parse", IF(AND(ISNUMBER(G24)=FALSE, H24&lt;&gt;""),"Text - Converted to Date", IF(ISNUMBER(G24),"Valid","Check"))))</f>
        <v>Text - Converted to Date</v>
      </c>
      <c r="J24" s="9" t="str">
        <f>IF(OR(C24="", H24=""), "Cannot Check - Date Missing", IF(H24&lt;C24, "Invalid - Ship Before Order", "Valid"))</f>
        <v>Valid</v>
      </c>
      <c r="K24" s="5">
        <f>IF(OR(C24="", H24=""), "", IF(H24&lt;C24, "", H24-C24))</f>
        <v>8</v>
      </c>
      <c r="L24" s="3" t="s">
        <v>2597</v>
      </c>
      <c r="M24" s="3" t="s">
        <v>72</v>
      </c>
      <c r="N24" s="4" t="str">
        <f>TRIM(SUBSTITUTE(M24,"_"," "))</f>
        <v>Ananya Rao</v>
      </c>
      <c r="O24" s="3" t="s">
        <v>41</v>
      </c>
      <c r="P24" s="6" t="str">
        <f>PROPER(TRIM(SUBSTITUTE(O24,".","")))</f>
        <v>Small Business</v>
      </c>
      <c r="Q24" s="3" t="s">
        <v>27</v>
      </c>
      <c r="R24" s="7" t="str">
        <f>PROPER(TRIM(SUBSTITUTE(Q24,"  "," ")))</f>
        <v>North</v>
      </c>
      <c r="S24" s="3" t="s">
        <v>323</v>
      </c>
      <c r="T24" s="6" t="str">
        <f>PROPER(TRIM(SUBSTITUTE(S24,"  "," ")))</f>
        <v>Haryana</v>
      </c>
      <c r="U24" s="3" t="s">
        <v>324</v>
      </c>
      <c r="V24" s="6" t="str">
        <f>PROPER(TRIM(SUBSTITUTE(U24,"  "," ")))</f>
        <v>Gurugram</v>
      </c>
      <c r="W24" s="3" t="s">
        <v>30</v>
      </c>
      <c r="X24" s="6" t="str">
        <f>PROPER(TRIM(SUBSTITUTE(W24,"  "," ")))</f>
        <v>Office Supplies</v>
      </c>
      <c r="Y24" s="3" t="s">
        <v>54</v>
      </c>
      <c r="Z24" s="6" t="str">
        <f>PROPER(TRIM(SUBSTITUTE(Y24,"  "," ")))</f>
        <v>Art</v>
      </c>
      <c r="AA24" s="3" t="s">
        <v>2598</v>
      </c>
      <c r="AB24" s="3" t="s">
        <v>48</v>
      </c>
      <c r="AC24" s="6" t="str">
        <f>PROPER(TRIM(SUBSTITUTE(AB24,"  "," ")))</f>
        <v>Same Day</v>
      </c>
      <c r="AD24" s="3">
        <v>3</v>
      </c>
      <c r="AE24" s="3">
        <v>676.37</v>
      </c>
      <c r="AF24" s="3">
        <v>0.05</v>
      </c>
      <c r="AG24" s="17">
        <v>0.05</v>
      </c>
      <c r="AH24" s="6" t="str">
        <f t="shared" si="2"/>
        <v>Valid</v>
      </c>
      <c r="AI24" s="3">
        <v>1927.65</v>
      </c>
      <c r="AJ24" s="3">
        <v>1460.6</v>
      </c>
      <c r="AK24" s="3">
        <v>467.05</v>
      </c>
      <c r="AL24" s="3" t="s">
        <v>200</v>
      </c>
      <c r="AM24" s="6" t="str">
        <f>PROPER(TRIM(SUBSTITUTE(AL24,".","")))</f>
        <v>Failed</v>
      </c>
      <c r="AN24" s="3" t="s">
        <v>78</v>
      </c>
      <c r="AO24" s="8" t="str">
        <f>PROPER(TRIM(SUBSTITUTE(AN24,".","")))</f>
        <v>Cancelled</v>
      </c>
      <c r="AP24" t="str">
        <f>IF(COUNTIF($A$2:$A$933, A24) &gt; 1, "Duplicate ID", "Unique")</f>
        <v>Unique</v>
      </c>
      <c r="AR24">
        <f t="shared" si="4"/>
        <v>1927.6545000000001</v>
      </c>
      <c r="AS24">
        <f t="shared" si="5"/>
        <v>467.05450000000019</v>
      </c>
      <c r="AT24" s="15">
        <f t="shared" si="6"/>
        <v>0.24229160360427668</v>
      </c>
      <c r="AU24" t="str">
        <f t="shared" si="7"/>
        <v>Clean</v>
      </c>
      <c r="AV24" s="8" t="str">
        <f t="shared" si="8"/>
        <v>Cancelled</v>
      </c>
    </row>
    <row r="25" spans="1:48">
      <c r="A25" s="3" t="s">
        <v>4002</v>
      </c>
      <c r="B25" s="3" t="s">
        <v>2038</v>
      </c>
      <c r="C25" s="9">
        <f>IFERROR(DATEVALUE(TEXT(B25,"DD/MM/YYYY")), IF(ISNUMBER(B25), B25, ""))</f>
        <v>45313</v>
      </c>
      <c r="D25" s="9" t="str">
        <f>IF(B25="","Missing", IF(AND(ISNUMBER(B25)=FALSE, C25=""),"Invalid - Could Not Parse", IF(AND(ISNUMBER(B25)=FALSE, C25&lt;&gt;""),"Text - Converted to Date", IF(ISNUMBER(B25),"Valid","Check"))))</f>
        <v>Text - Converted to Date</v>
      </c>
      <c r="E25" s="5">
        <f t="shared" si="0"/>
        <v>1</v>
      </c>
      <c r="F25" s="5">
        <f t="shared" si="1"/>
        <v>2024</v>
      </c>
      <c r="G25" s="3" t="s">
        <v>2038</v>
      </c>
      <c r="H25" s="9">
        <f>IFERROR(DATEVALUE(TEXT(G25,"DD/MM/YYYY")), IF(ISNUMBER(G25), G25, ""))</f>
        <v>45313</v>
      </c>
      <c r="I25" s="9" t="str">
        <f>IF(G25="","Missing", IF(AND(ISNUMBER(G25)=FALSE, H25=""),"Invalid - Could Not Parse", IF(AND(ISNUMBER(G25)=FALSE, H25&lt;&gt;""),"Text - Converted to Date", IF(ISNUMBER(G25),"Valid","Check"))))</f>
        <v>Text - Converted to Date</v>
      </c>
      <c r="J25" s="9" t="str">
        <f>IF(OR(C25="", H25=""), "Cannot Check - Date Missing", IF(H25&lt;C25, "Invalid - Ship Before Order", "Valid"))</f>
        <v>Valid</v>
      </c>
      <c r="K25" s="5">
        <f>IF(OR(C25="", H25=""), "", IF(H25&lt;C25, "", H25-C25))</f>
        <v>0</v>
      </c>
      <c r="L25" s="3" t="s">
        <v>4003</v>
      </c>
      <c r="M25" s="3" t="s">
        <v>25</v>
      </c>
      <c r="N25" s="4" t="str">
        <f>TRIM(SUBSTITUTE(M25,"_"," "))</f>
        <v>Karan Malhotra</v>
      </c>
      <c r="O25" s="3" t="s">
        <v>108</v>
      </c>
      <c r="P25" s="6" t="str">
        <f>PROPER(TRIM(SUBSTITUTE(O25,".","")))</f>
        <v>Corporate</v>
      </c>
      <c r="Q25" s="3" t="s">
        <v>42</v>
      </c>
      <c r="R25" s="7" t="str">
        <f>PROPER(TRIM(SUBSTITUTE(Q25,"  "," ")))</f>
        <v>East</v>
      </c>
      <c r="S25" s="3" t="s">
        <v>121</v>
      </c>
      <c r="T25" s="6" t="str">
        <f>PROPER(TRIM(SUBSTITUTE(S25,"  "," ")))</f>
        <v>West Bengal</v>
      </c>
      <c r="U25" s="3" t="s">
        <v>122</v>
      </c>
      <c r="V25" s="6" t="str">
        <f>PROPER(TRIM(SUBSTITUTE(U25,"  "," ")))</f>
        <v>Kolkata</v>
      </c>
      <c r="W25" s="3" t="s">
        <v>30</v>
      </c>
      <c r="X25" s="6" t="str">
        <f>PROPER(TRIM(SUBSTITUTE(W25,"  "," ")))</f>
        <v>Office Supplies</v>
      </c>
      <c r="Y25" s="3" t="s">
        <v>31</v>
      </c>
      <c r="Z25" s="6" t="str">
        <f>PROPER(TRIM(SUBSTITUTE(Y25,"  "," ")))</f>
        <v>Paper</v>
      </c>
      <c r="AA25" s="3" t="s">
        <v>4004</v>
      </c>
      <c r="AB25" s="3" t="s">
        <v>56</v>
      </c>
      <c r="AC25" s="6" t="str">
        <f>PROPER(TRIM(SUBSTITUTE(AB25,"  "," ")))</f>
        <v>First Class</v>
      </c>
      <c r="AD25" s="3">
        <v>8</v>
      </c>
      <c r="AE25" s="3">
        <v>1557.21</v>
      </c>
      <c r="AF25" s="3">
        <v>0.05</v>
      </c>
      <c r="AG25" s="17">
        <v>0.05</v>
      </c>
      <c r="AH25" s="6" t="str">
        <f t="shared" si="2"/>
        <v>Valid</v>
      </c>
      <c r="AI25" s="3">
        <v>11834.8</v>
      </c>
      <c r="AJ25" s="3">
        <v>9322.36</v>
      </c>
      <c r="AK25" s="3">
        <v>2512.44</v>
      </c>
      <c r="AL25" s="3" t="s">
        <v>34</v>
      </c>
      <c r="AM25" s="6" t="str">
        <f>PROPER(TRIM(SUBSTITUTE(AL25,".","")))</f>
        <v>Paid</v>
      </c>
      <c r="AN25" s="3" t="s">
        <v>35</v>
      </c>
      <c r="AO25" s="8" t="str">
        <f>PROPER(TRIM(SUBSTITUTE(AN25,".","")))</f>
        <v>Completed</v>
      </c>
      <c r="AP25" t="str">
        <f>IF(COUNTIF($A$2:$A$933, A25) &gt; 1, "Duplicate ID", "Unique")</f>
        <v>Unique</v>
      </c>
      <c r="AR25">
        <f t="shared" si="4"/>
        <v>11834.796</v>
      </c>
      <c r="AS25">
        <f t="shared" si="5"/>
        <v>2512.4359999999997</v>
      </c>
      <c r="AT25" s="15">
        <f t="shared" si="6"/>
        <v>0.21229229468763125</v>
      </c>
      <c r="AU25" t="str">
        <f t="shared" si="7"/>
        <v>Clean</v>
      </c>
      <c r="AV25" s="8" t="str">
        <f t="shared" si="8"/>
        <v>Active</v>
      </c>
    </row>
    <row r="26" spans="1:48">
      <c r="A26" s="3" t="s">
        <v>755</v>
      </c>
      <c r="B26" s="3" t="s">
        <v>756</v>
      </c>
      <c r="C26" s="9">
        <f>IFERROR(DATEVALUE(TEXT(B26,"DD/MM/YYYY")), IF(ISNUMBER(B26), B26, ""))</f>
        <v>45639</v>
      </c>
      <c r="D26" s="9" t="str">
        <f>IF(B26="","Missing", IF(AND(ISNUMBER(B26)=FALSE, C26=""),"Invalid - Could Not Parse", IF(AND(ISNUMBER(B26)=FALSE, C26&lt;&gt;""),"Text - Converted to Date", IF(ISNUMBER(B26),"Valid","Check"))))</f>
        <v>Text - Converted to Date</v>
      </c>
      <c r="E26" s="5">
        <f t="shared" si="0"/>
        <v>12</v>
      </c>
      <c r="F26" s="5">
        <f t="shared" si="1"/>
        <v>2024</v>
      </c>
      <c r="G26" s="3" t="s">
        <v>757</v>
      </c>
      <c r="H26" s="9">
        <f>IFERROR(DATEVALUE(MID(G26,4,2) &amp; "/" &amp; LEFT(G26,2) &amp; "/" &amp; RIGHT(G26,4)), IF(ISNUMBER(G26), G26, IFERROR(DATEVALUE(G26), "")))</f>
        <v>45644</v>
      </c>
      <c r="I26" s="9" t="str">
        <f>IF(G26="","Missing", IF(AND(ISNUMBER(G26)=FALSE, H26=""),"Invalid - Could Not Parse", IF(AND(ISNUMBER(G26)=FALSE, H26&lt;&gt;""),"Text - Converted to Date", IF(ISNUMBER(G26),"Valid","Check"))))</f>
        <v>Text - Converted to Date</v>
      </c>
      <c r="J26" s="9" t="str">
        <f>IF(OR(C26="", H26=""), "Cannot Check - Date Missing", IF(H26&lt;C26, "Invalid - Ship Before Order", "Valid"))</f>
        <v>Valid</v>
      </c>
      <c r="K26" s="5">
        <f>IF(OR(C26="", H26=""), "", IF(H26&lt;C26, "", H26-C26))</f>
        <v>5</v>
      </c>
      <c r="L26" s="3" t="s">
        <v>758</v>
      </c>
      <c r="M26" s="3" t="s">
        <v>25</v>
      </c>
      <c r="N26" s="4" t="str">
        <f>TRIM(SUBSTITUTE(M26,"_"," "))</f>
        <v>Karan Malhotra</v>
      </c>
      <c r="O26" s="3" t="s">
        <v>26</v>
      </c>
      <c r="P26" s="6" t="str">
        <f>PROPER(TRIM(SUBSTITUTE(O26,".","")))</f>
        <v>Consumer</v>
      </c>
      <c r="Q26" s="3" t="s">
        <v>73</v>
      </c>
      <c r="R26" s="7" t="str">
        <f>PROPER(TRIM(SUBSTITUTE(Q26,"  "," ")))</f>
        <v>West</v>
      </c>
      <c r="S26" s="3" t="s">
        <v>249</v>
      </c>
      <c r="T26" s="6" t="str">
        <f>PROPER(TRIM(SUBSTITUTE(S26,"  "," ")))</f>
        <v>Goa</v>
      </c>
      <c r="U26" s="3" t="s">
        <v>250</v>
      </c>
      <c r="V26" s="6" t="str">
        <f>PROPER(TRIM(SUBSTITUTE(U26,"  "," ")))</f>
        <v>Panaji</v>
      </c>
      <c r="W26" s="3" t="s">
        <v>86</v>
      </c>
      <c r="X26" s="6" t="str">
        <f>PROPER(TRIM(SUBSTITUTE(W26,"  "," ")))</f>
        <v>Technology</v>
      </c>
      <c r="Y26" s="3" t="s">
        <v>223</v>
      </c>
      <c r="Z26" s="6" t="str">
        <f>PROPER(TRIM(SUBSTITUTE(Y26,"  "," ")))</f>
        <v>Phones</v>
      </c>
      <c r="AA26" s="3" t="s">
        <v>759</v>
      </c>
      <c r="AB26" s="3" t="s">
        <v>33</v>
      </c>
      <c r="AC26" s="6" t="str">
        <f>PROPER(TRIM(SUBSTITUTE(AB26,"  "," ")))</f>
        <v>Second Class</v>
      </c>
      <c r="AD26" s="3">
        <v>8</v>
      </c>
      <c r="AE26" s="3">
        <v>3372.15</v>
      </c>
      <c r="AF26" s="3">
        <v>0.15</v>
      </c>
      <c r="AG26" s="17">
        <v>0.15</v>
      </c>
      <c r="AH26" s="6" t="str">
        <f t="shared" si="2"/>
        <v>Valid</v>
      </c>
      <c r="AI26" s="3">
        <v>22930.62</v>
      </c>
      <c r="AJ26" s="3">
        <v>16875.55</v>
      </c>
      <c r="AK26" s="3">
        <v>6055.07</v>
      </c>
      <c r="AL26" s="3" t="s">
        <v>34</v>
      </c>
      <c r="AM26" s="6" t="str">
        <f>PROPER(TRIM(SUBSTITUTE(AL26,".","")))</f>
        <v>Paid</v>
      </c>
      <c r="AN26" s="3" t="s">
        <v>35</v>
      </c>
      <c r="AO26" s="8" t="str">
        <f>PROPER(TRIM(SUBSTITUTE(AN26,".","")))</f>
        <v>Completed</v>
      </c>
      <c r="AP26" t="str">
        <f>IF(COUNTIF($A$2:$A$933, A26) &gt; 1, "Duplicate ID", "Unique")</f>
        <v>Unique</v>
      </c>
      <c r="AR26">
        <f t="shared" si="4"/>
        <v>22930.62</v>
      </c>
      <c r="AS26">
        <f t="shared" si="5"/>
        <v>6055.07</v>
      </c>
      <c r="AT26" s="15">
        <f t="shared" si="6"/>
        <v>0.26406045715292475</v>
      </c>
      <c r="AU26" t="str">
        <f t="shared" si="7"/>
        <v>Clean</v>
      </c>
      <c r="AV26" s="8" t="str">
        <f t="shared" si="8"/>
        <v>Active</v>
      </c>
    </row>
    <row r="27" spans="1:48">
      <c r="A27" s="3" t="s">
        <v>419</v>
      </c>
      <c r="B27" s="3" t="s">
        <v>420</v>
      </c>
      <c r="C27" s="9">
        <f>IFERROR(DATEVALUE(TEXT(B27,"DD/MM/YYYY")), IF(ISNUMBER(B27), B27, ""))</f>
        <v>45316</v>
      </c>
      <c r="D27" s="9" t="str">
        <f>IF(B27="","Missing", IF(AND(ISNUMBER(B27)=FALSE, C27=""),"Invalid - Could Not Parse", IF(AND(ISNUMBER(B27)=FALSE, C27&lt;&gt;""),"Text - Converted to Date", IF(ISNUMBER(B27),"Valid","Check"))))</f>
        <v>Text - Converted to Date</v>
      </c>
      <c r="E27" s="5">
        <f t="shared" si="0"/>
        <v>1</v>
      </c>
      <c r="F27" s="5">
        <f t="shared" si="1"/>
        <v>2024</v>
      </c>
      <c r="G27" s="3" t="s">
        <v>421</v>
      </c>
      <c r="H27" s="9">
        <f>IFERROR(DATEVALUE(TEXT(G27,"DD/MM/YYYY")), IF(ISNUMBER(G27), G27, ""))</f>
        <v>45323</v>
      </c>
      <c r="I27" s="9" t="str">
        <f>IF(G27="","Missing", IF(AND(ISNUMBER(G27)=FALSE, H27=""),"Invalid - Could Not Parse", IF(AND(ISNUMBER(G27)=FALSE, H27&lt;&gt;""),"Text - Converted to Date", IF(ISNUMBER(G27),"Valid","Check"))))</f>
        <v>Text - Converted to Date</v>
      </c>
      <c r="J27" s="9" t="str">
        <f>IF(OR(C27="", H27=""), "Cannot Check - Date Missing", IF(H27&lt;C27, "Invalid - Ship Before Order", "Valid"))</f>
        <v>Valid</v>
      </c>
      <c r="K27" s="5">
        <f>IF(OR(C27="", H27=""), "", IF(H27&lt;C27, "", H27-C27))</f>
        <v>7</v>
      </c>
      <c r="L27" s="3" t="s">
        <v>422</v>
      </c>
      <c r="M27" s="3" t="s">
        <v>168</v>
      </c>
      <c r="N27" s="4" t="str">
        <f>TRIM(SUBSTITUTE(M27,"_"," "))</f>
        <v>Sneha Kapoor</v>
      </c>
      <c r="O27" s="3" t="s">
        <v>115</v>
      </c>
      <c r="P27" s="6" t="str">
        <f>PROPER(TRIM(SUBSTITUTE(O27,".","")))</f>
        <v>Home Office</v>
      </c>
      <c r="Q27" s="3" t="s">
        <v>27</v>
      </c>
      <c r="R27" s="7" t="str">
        <f>PROPER(TRIM(SUBSTITUTE(Q27,"  "," ")))</f>
        <v>North</v>
      </c>
      <c r="S27" s="3" t="s">
        <v>323</v>
      </c>
      <c r="T27" s="6" t="str">
        <f>PROPER(TRIM(SUBSTITUTE(S27,"  "," ")))</f>
        <v>Haryana</v>
      </c>
      <c r="U27" s="3" t="s">
        <v>324</v>
      </c>
      <c r="V27" s="6" t="str">
        <f>PROPER(TRIM(SUBSTITUTE(U27,"  "," ")))</f>
        <v>Gurugram</v>
      </c>
      <c r="W27" s="3" t="s">
        <v>30</v>
      </c>
      <c r="X27" s="6" t="str">
        <f>PROPER(TRIM(SUBSTITUTE(W27,"  "," ")))</f>
        <v>Office Supplies</v>
      </c>
      <c r="Y27" s="3" t="s">
        <v>198</v>
      </c>
      <c r="Z27" s="6" t="str">
        <f>PROPER(TRIM(SUBSTITUTE(Y27,"  "," ")))</f>
        <v>Binders</v>
      </c>
      <c r="AA27" s="3" t="s">
        <v>423</v>
      </c>
      <c r="AB27" s="3" t="s">
        <v>48</v>
      </c>
      <c r="AC27" s="6" t="str">
        <f>PROPER(TRIM(SUBSTITUTE(AB27,"  "," ")))</f>
        <v>Same Day</v>
      </c>
      <c r="AD27" s="3">
        <v>2</v>
      </c>
      <c r="AE27" s="3">
        <v>2832.77</v>
      </c>
      <c r="AF27" s="3">
        <v>0.15</v>
      </c>
      <c r="AG27" s="17">
        <v>0.15</v>
      </c>
      <c r="AH27" s="6" t="str">
        <f t="shared" si="2"/>
        <v>Valid</v>
      </c>
      <c r="AI27" s="3">
        <v>4815.71</v>
      </c>
      <c r="AJ27" s="3">
        <v>3027.75</v>
      </c>
      <c r="AK27" s="3">
        <v>1917.47</v>
      </c>
      <c r="AL27" s="3" t="s">
        <v>34</v>
      </c>
      <c r="AM27" s="6" t="str">
        <f>PROPER(TRIM(SUBSTITUTE(AL27,".","")))</f>
        <v>Paid</v>
      </c>
      <c r="AN27" s="3" t="s">
        <v>35</v>
      </c>
      <c r="AO27" s="8" t="str">
        <f>PROPER(TRIM(SUBSTITUTE(AN27,".","")))</f>
        <v>Completed</v>
      </c>
      <c r="AP27" t="str">
        <f>IF(COUNTIF($A$2:$A$933, A27) &gt; 1, "Duplicate ID", "Unique")</f>
        <v>Unique</v>
      </c>
      <c r="AR27">
        <f t="shared" si="4"/>
        <v>4815.7089999999998</v>
      </c>
      <c r="AS27">
        <f t="shared" si="5"/>
        <v>1787.9589999999998</v>
      </c>
      <c r="AT27" s="15">
        <f t="shared" si="6"/>
        <v>0.37127637903369992</v>
      </c>
      <c r="AU27" t="str">
        <f t="shared" si="7"/>
        <v>Clean</v>
      </c>
      <c r="AV27" s="8" t="str">
        <f t="shared" si="8"/>
        <v>Active</v>
      </c>
    </row>
    <row r="28" spans="1:48">
      <c r="A28" s="3" t="s">
        <v>586</v>
      </c>
      <c r="B28" s="3" t="s">
        <v>587</v>
      </c>
      <c r="C28" s="9">
        <f>IFERROR(DATEVALUE(TEXT(B28,"DD/MM/YYYY")), IF(ISNUMBER(B28), B28, ""))</f>
        <v>45317</v>
      </c>
      <c r="D28" s="9" t="str">
        <f>IF(B28="","Missing", IF(AND(ISNUMBER(B28)=FALSE, C28=""),"Invalid - Could Not Parse", IF(AND(ISNUMBER(B28)=FALSE, C28&lt;&gt;""),"Text - Converted to Date", IF(ISNUMBER(B28),"Valid","Check"))))</f>
        <v>Text - Converted to Date</v>
      </c>
      <c r="E28" s="5">
        <f t="shared" si="0"/>
        <v>1</v>
      </c>
      <c r="F28" s="5">
        <f t="shared" si="1"/>
        <v>2024</v>
      </c>
      <c r="G28" s="3" t="s">
        <v>588</v>
      </c>
      <c r="H28" s="9">
        <f>IFERROR(DATEVALUE(TEXT(G28,"DD/MM/YYYY")), IF(ISNUMBER(G28), G28, ""))</f>
        <v>45293</v>
      </c>
      <c r="I28" s="9" t="str">
        <f>IF(G28="","Missing", IF(AND(ISNUMBER(G28)=FALSE, H28=""),"Invalid - Could Not Parse", IF(AND(ISNUMBER(G28)=FALSE, H28&lt;&gt;""),"Text - Converted to Date", IF(ISNUMBER(G28),"Valid","Check"))))</f>
        <v>Text - Converted to Date</v>
      </c>
      <c r="J28" s="9" t="str">
        <f>IF(OR(C28="", H28=""), "Cannot Check - Date Missing", IF(H28&lt;C28, "Invalid - Ship Before Order", "Valid"))</f>
        <v>Invalid - Ship Before Order</v>
      </c>
      <c r="K28" s="5" t="str">
        <f>IF(OR(C28="", H28=""), "", IF(H28&lt;C28, "", H28-C28))</f>
        <v/>
      </c>
      <c r="L28" s="3" t="s">
        <v>589</v>
      </c>
      <c r="M28" s="3" t="s">
        <v>180</v>
      </c>
      <c r="N28" s="4" t="str">
        <f>TRIM(SUBSTITUTE(M28,"_"," "))</f>
        <v>Rohan Mehta</v>
      </c>
      <c r="O28" s="3" t="s">
        <v>115</v>
      </c>
      <c r="P28" s="6" t="str">
        <f>PROPER(TRIM(SUBSTITUTE(O28,".","")))</f>
        <v>Home Office</v>
      </c>
      <c r="Q28" s="3" t="s">
        <v>62</v>
      </c>
      <c r="R28" s="7" t="str">
        <f>PROPER(TRIM(SUBSTITUTE(Q28,"  "," ")))</f>
        <v>South</v>
      </c>
      <c r="S28" s="3" t="s">
        <v>242</v>
      </c>
      <c r="T28" s="6" t="str">
        <f>PROPER(TRIM(SUBSTITUTE(S28,"  "," ")))</f>
        <v>Kerala</v>
      </c>
      <c r="U28" s="3" t="s">
        <v>243</v>
      </c>
      <c r="V28" s="6" t="str">
        <f>PROPER(TRIM(SUBSTITUTE(U28,"  "," ")))</f>
        <v>Kochi</v>
      </c>
      <c r="W28" s="3" t="s">
        <v>86</v>
      </c>
      <c r="X28" s="6" t="str">
        <f>PROPER(TRIM(SUBSTITUTE(W28,"  "," ")))</f>
        <v>Technology</v>
      </c>
      <c r="Y28" s="3" t="s">
        <v>94</v>
      </c>
      <c r="Z28" s="6" t="str">
        <f>PROPER(TRIM(SUBSTITUTE(Y28,"  "," ")))</f>
        <v>Copiers</v>
      </c>
      <c r="AA28" s="3" t="s">
        <v>590</v>
      </c>
      <c r="AB28" s="3"/>
      <c r="AC28" s="11" t="str">
        <f>IF(ISBLANK(AB28), "Unknown", AB28)</f>
        <v>Unknown</v>
      </c>
      <c r="AD28" s="3">
        <v>8</v>
      </c>
      <c r="AE28" s="3">
        <v>2108.9299999999998</v>
      </c>
      <c r="AF28" s="3">
        <v>0.1</v>
      </c>
      <c r="AG28" s="17">
        <v>0.1</v>
      </c>
      <c r="AH28" s="6" t="str">
        <f t="shared" si="2"/>
        <v>Valid</v>
      </c>
      <c r="AI28" s="3">
        <v>15184.3</v>
      </c>
      <c r="AJ28" s="3">
        <v>11270.74</v>
      </c>
      <c r="AK28" s="3">
        <v>3913.56</v>
      </c>
      <c r="AL28" s="3" t="s">
        <v>34</v>
      </c>
      <c r="AM28" s="6" t="str">
        <f>PROPER(TRIM(SUBSTITUTE(AL28,".","")))</f>
        <v>Paid</v>
      </c>
      <c r="AN28" s="3" t="s">
        <v>35</v>
      </c>
      <c r="AO28" s="8" t="str">
        <f>PROPER(TRIM(SUBSTITUTE(AN28,".","")))</f>
        <v>Completed</v>
      </c>
      <c r="AP28" t="str">
        <f>IF(COUNTIF($A$2:$A$933, A28) &gt; 1, "Duplicate ID", "Unique")</f>
        <v>Unique</v>
      </c>
      <c r="AR28">
        <f t="shared" si="4"/>
        <v>15184.295999999998</v>
      </c>
      <c r="AS28">
        <f t="shared" si="5"/>
        <v>3913.5559999999987</v>
      </c>
      <c r="AT28" s="15">
        <f t="shared" si="6"/>
        <v>0.25773707256497103</v>
      </c>
      <c r="AU28" t="str">
        <f t="shared" si="7"/>
        <v>Invalid</v>
      </c>
      <c r="AV28" s="8" t="str">
        <f t="shared" si="8"/>
        <v>Active</v>
      </c>
    </row>
    <row r="29" spans="1:48">
      <c r="A29" s="3" t="s">
        <v>2869</v>
      </c>
      <c r="B29" s="3" t="s">
        <v>2870</v>
      </c>
      <c r="C29" s="9">
        <f>IFERROR(DATEVALUE(TEXT(B29,"DD/MM/YYYY")), IF(ISNUMBER(B29), B29, ""))</f>
        <v>45317</v>
      </c>
      <c r="D29" s="9" t="str">
        <f>IF(B29="","Missing", IF(AND(ISNUMBER(B29)=FALSE, C29=""),"Invalid - Could Not Parse", IF(AND(ISNUMBER(B29)=FALSE, C29&lt;&gt;""),"Text - Converted to Date", IF(ISNUMBER(B29),"Valid","Check"))))</f>
        <v>Text - Converted to Date</v>
      </c>
      <c r="E29" s="5">
        <f t="shared" si="0"/>
        <v>1</v>
      </c>
      <c r="F29" s="5">
        <f t="shared" si="1"/>
        <v>2024</v>
      </c>
      <c r="G29" s="3" t="s">
        <v>2871</v>
      </c>
      <c r="H29" s="9">
        <f>IFERROR(DATEVALUE(MID(G29,4,2) &amp; "/" &amp; LEFT(G29,2) &amp; "/" &amp; RIGHT(G29,4)), IF(ISNUMBER(G29), G29, IFERROR(DATEVALUE(G29), "")))</f>
        <v>45322</v>
      </c>
      <c r="I29" s="9" t="str">
        <f>IF(G29="","Missing", IF(AND(ISNUMBER(G29)=FALSE, H29=""),"Invalid - Could Not Parse", IF(AND(ISNUMBER(G29)=FALSE, H29&lt;&gt;""),"Text - Converted to Date", IF(ISNUMBER(G29),"Valid","Check"))))</f>
        <v>Text - Converted to Date</v>
      </c>
      <c r="J29" s="9" t="str">
        <f>IF(OR(C29="", H29=""), "Cannot Check - Date Missing", IF(H29&lt;C29, "Invalid - Ship Before Order", "Valid"))</f>
        <v>Valid</v>
      </c>
      <c r="K29" s="5">
        <f>IF(OR(C29="", H29=""), "", IF(H29&lt;C29, "", H29-C29))</f>
        <v>5</v>
      </c>
      <c r="L29" s="3" t="s">
        <v>2872</v>
      </c>
      <c r="M29" s="3" t="s">
        <v>72</v>
      </c>
      <c r="N29" s="4" t="str">
        <f>TRIM(SUBSTITUTE(M29,"_"," "))</f>
        <v>Ananya Rao</v>
      </c>
      <c r="O29" s="3" t="s">
        <v>115</v>
      </c>
      <c r="P29" s="6" t="str">
        <f>PROPER(TRIM(SUBSTITUTE(O29,".","")))</f>
        <v>Home Office</v>
      </c>
      <c r="Q29" s="3" t="s">
        <v>42</v>
      </c>
      <c r="R29" s="7" t="str">
        <f>PROPER(TRIM(SUBSTITUTE(Q29,"  "," ")))</f>
        <v>East</v>
      </c>
      <c r="S29" s="3" t="s">
        <v>121</v>
      </c>
      <c r="T29" s="6" t="str">
        <f>PROPER(TRIM(SUBSTITUTE(S29,"  "," ")))</f>
        <v>West Bengal</v>
      </c>
      <c r="U29" s="3" t="s">
        <v>122</v>
      </c>
      <c r="V29" s="6" t="str">
        <f>PROPER(TRIM(SUBSTITUTE(U29,"  "," ")))</f>
        <v>Kolkata</v>
      </c>
      <c r="W29" s="3" t="s">
        <v>30</v>
      </c>
      <c r="X29" s="6" t="str">
        <f>PROPER(TRIM(SUBSTITUTE(W29,"  "," ")))</f>
        <v>Office Supplies</v>
      </c>
      <c r="Y29" s="3" t="s">
        <v>31</v>
      </c>
      <c r="Z29" s="6" t="str">
        <f>PROPER(TRIM(SUBSTITUTE(Y29,"  "," ")))</f>
        <v>Paper</v>
      </c>
      <c r="AA29" s="3" t="s">
        <v>2873</v>
      </c>
      <c r="AB29" s="3" t="s">
        <v>33</v>
      </c>
      <c r="AC29" s="6" t="str">
        <f>PROPER(TRIM(SUBSTITUTE(AB29,"  "," ")))</f>
        <v>Second Class</v>
      </c>
      <c r="AD29" s="3">
        <v>5</v>
      </c>
      <c r="AE29" s="3">
        <v>1615.03</v>
      </c>
      <c r="AF29" s="3">
        <v>0.2</v>
      </c>
      <c r="AG29" s="17">
        <v>0.2</v>
      </c>
      <c r="AH29" s="6" t="str">
        <f t="shared" si="2"/>
        <v>Valid</v>
      </c>
      <c r="AI29" s="3">
        <v>6460.12</v>
      </c>
      <c r="AJ29" s="3">
        <v>3604.03</v>
      </c>
      <c r="AK29" s="3">
        <v>2856.09</v>
      </c>
      <c r="AL29" s="3" t="s">
        <v>34</v>
      </c>
      <c r="AM29" s="6" t="str">
        <f>PROPER(TRIM(SUBSTITUTE(AL29,".","")))</f>
        <v>Paid</v>
      </c>
      <c r="AN29" s="3" t="s">
        <v>35</v>
      </c>
      <c r="AO29" s="8" t="str">
        <f>PROPER(TRIM(SUBSTITUTE(AN29,".","")))</f>
        <v>Completed</v>
      </c>
      <c r="AP29" t="str">
        <f>IF(COUNTIF($A$2:$A$933, A29) &gt; 1, "Duplicate ID", "Unique")</f>
        <v>Unique</v>
      </c>
      <c r="AR29">
        <f t="shared" si="4"/>
        <v>6460.12</v>
      </c>
      <c r="AS29">
        <f t="shared" si="5"/>
        <v>2856.0899999999997</v>
      </c>
      <c r="AT29" s="15">
        <f t="shared" si="6"/>
        <v>0.44211098245853014</v>
      </c>
      <c r="AU29" t="str">
        <f t="shared" si="7"/>
        <v>Warning</v>
      </c>
      <c r="AV29" s="8" t="str">
        <f t="shared" si="8"/>
        <v>Active</v>
      </c>
    </row>
    <row r="30" spans="1:48">
      <c r="A30" s="3" t="s">
        <v>3022</v>
      </c>
      <c r="B30" s="3" t="s">
        <v>2870</v>
      </c>
      <c r="C30" s="9">
        <f>IFERROR(DATEVALUE(TEXT(B30,"DD/MM/YYYY")), IF(ISNUMBER(B30), B30, ""))</f>
        <v>45317</v>
      </c>
      <c r="D30" s="9" t="str">
        <f>IF(B30="","Missing", IF(AND(ISNUMBER(B30)=FALSE, C30=""),"Invalid - Could Not Parse", IF(AND(ISNUMBER(B30)=FALSE, C30&lt;&gt;""),"Text - Converted to Date", IF(ISNUMBER(B30),"Valid","Check"))))</f>
        <v>Text - Converted to Date</v>
      </c>
      <c r="E30" s="5">
        <f t="shared" si="0"/>
        <v>1</v>
      </c>
      <c r="F30" s="5">
        <f t="shared" si="1"/>
        <v>2024</v>
      </c>
      <c r="G30" s="3" t="s">
        <v>3023</v>
      </c>
      <c r="H30" s="9">
        <f>IFERROR(DATEVALUE(TEXT(G30,"DD/MM/YYYY")), IF(ISNUMBER(G30), G30, ""))</f>
        <v>45322</v>
      </c>
      <c r="I30" s="9" t="str">
        <f>IF(G30="","Missing", IF(AND(ISNUMBER(G30)=FALSE, H30=""),"Invalid - Could Not Parse", IF(AND(ISNUMBER(G30)=FALSE, H30&lt;&gt;""),"Text - Converted to Date", IF(ISNUMBER(G30),"Valid","Check"))))</f>
        <v>Text - Converted to Date</v>
      </c>
      <c r="J30" s="9" t="str">
        <f>IF(OR(C30="", H30=""), "Cannot Check - Date Missing", IF(H30&lt;C30, "Invalid - Ship Before Order", "Valid"))</f>
        <v>Valid</v>
      </c>
      <c r="K30" s="5">
        <f>IF(OR(C30="", H30=""), "", IF(H30&lt;C30, "", H30-C30))</f>
        <v>5</v>
      </c>
      <c r="L30" s="3" t="s">
        <v>3024</v>
      </c>
      <c r="M30" s="3" t="s">
        <v>25</v>
      </c>
      <c r="N30" s="4" t="str">
        <f>TRIM(SUBSTITUTE(M30,"_"," "))</f>
        <v>Karan Malhotra</v>
      </c>
      <c r="O30" s="3" t="s">
        <v>108</v>
      </c>
      <c r="P30" s="6" t="str">
        <f>PROPER(TRIM(SUBSTITUTE(O30,".","")))</f>
        <v>Corporate</v>
      </c>
      <c r="Q30" s="3" t="s">
        <v>62</v>
      </c>
      <c r="R30" s="7" t="str">
        <f>PROPER(TRIM(SUBSTITUTE(Q30,"  "," ")))</f>
        <v>South</v>
      </c>
      <c r="S30" s="3" t="s">
        <v>242</v>
      </c>
      <c r="T30" s="6" t="str">
        <f>PROPER(TRIM(SUBSTITUTE(S30,"  "," ")))</f>
        <v>Kerala</v>
      </c>
      <c r="U30" s="3" t="s">
        <v>243</v>
      </c>
      <c r="V30" s="6" t="str">
        <f>PROPER(TRIM(SUBSTITUTE(U30,"  "," ")))</f>
        <v>Kochi</v>
      </c>
      <c r="W30" s="3" t="s">
        <v>30</v>
      </c>
      <c r="X30" s="6" t="str">
        <f>PROPER(TRIM(SUBSTITUTE(W30,"  "," ")))</f>
        <v>Office Supplies</v>
      </c>
      <c r="Y30" s="3" t="s">
        <v>156</v>
      </c>
      <c r="Z30" s="6" t="str">
        <f>PROPER(TRIM(SUBSTITUTE(Y30,"  "," ")))</f>
        <v>Storage</v>
      </c>
      <c r="AA30" s="3" t="s">
        <v>3025</v>
      </c>
      <c r="AB30" s="3" t="s">
        <v>33</v>
      </c>
      <c r="AC30" s="6" t="str">
        <f>PROPER(TRIM(SUBSTITUTE(AB30,"  "," ")))</f>
        <v>Second Class</v>
      </c>
      <c r="AD30" s="3">
        <v>3</v>
      </c>
      <c r="AE30" s="3">
        <v>3224.32</v>
      </c>
      <c r="AF30" s="3">
        <v>0.2</v>
      </c>
      <c r="AG30" s="17">
        <v>0.2</v>
      </c>
      <c r="AH30" s="6" t="str">
        <f t="shared" si="2"/>
        <v>Valid</v>
      </c>
      <c r="AI30" s="3">
        <v>7738.37</v>
      </c>
      <c r="AJ30" s="3">
        <v>4626.8500000000004</v>
      </c>
      <c r="AK30" s="3">
        <v>3111.52</v>
      </c>
      <c r="AL30" s="3" t="s">
        <v>200</v>
      </c>
      <c r="AM30" s="6" t="str">
        <f>PROPER(TRIM(SUBSTITUTE(AL30,".","")))</f>
        <v>Failed</v>
      </c>
      <c r="AN30" s="3" t="s">
        <v>125</v>
      </c>
      <c r="AO30" s="8" t="str">
        <f>PROPER(TRIM(SUBSTITUTE(AN30,".","")))</f>
        <v>Returned</v>
      </c>
      <c r="AP30" t="str">
        <f>IF(COUNTIF($A$2:$A$933, A30) &gt; 1, "Duplicate ID", "Unique")</f>
        <v>Unique</v>
      </c>
      <c r="AR30">
        <f t="shared" si="4"/>
        <v>7738.3680000000013</v>
      </c>
      <c r="AS30">
        <f t="shared" si="5"/>
        <v>3111.5180000000009</v>
      </c>
      <c r="AT30" s="15">
        <f t="shared" si="6"/>
        <v>0.40208969126306743</v>
      </c>
      <c r="AU30" t="str">
        <f t="shared" si="7"/>
        <v>Clean</v>
      </c>
      <c r="AV30" s="8" t="str">
        <f t="shared" si="8"/>
        <v>Active</v>
      </c>
    </row>
    <row r="31" spans="1:48">
      <c r="A31" s="3" t="s">
        <v>741</v>
      </c>
      <c r="B31" s="3" t="s">
        <v>742</v>
      </c>
      <c r="C31" s="9">
        <f>IFERROR(DATEVALUE(TEXT(B31,"DD/MM/YYYY")), IF(ISNUMBER(B31), B31, ""))</f>
        <v>45318</v>
      </c>
      <c r="D31" s="9" t="str">
        <f>IF(B31="","Missing", IF(AND(ISNUMBER(B31)=FALSE, C31=""),"Invalid - Could Not Parse", IF(AND(ISNUMBER(B31)=FALSE, C31&lt;&gt;""),"Text - Converted to Date", IF(ISNUMBER(B31),"Valid","Check"))))</f>
        <v>Text - Converted to Date</v>
      </c>
      <c r="E31" s="5">
        <f t="shared" si="0"/>
        <v>1</v>
      </c>
      <c r="F31" s="5">
        <f t="shared" si="1"/>
        <v>2024</v>
      </c>
      <c r="G31" s="3" t="s">
        <v>743</v>
      </c>
      <c r="H31" s="9">
        <f>IFERROR(DATEVALUE(TEXT(G31,"DD/MM/YYYY")), IF(ISNUMBER(G31), G31, ""))</f>
        <v>45324</v>
      </c>
      <c r="I31" s="9" t="str">
        <f>IF(G31="","Missing", IF(AND(ISNUMBER(G31)=FALSE, H31=""),"Invalid - Could Not Parse", IF(AND(ISNUMBER(G31)=FALSE, H31&lt;&gt;""),"Text - Converted to Date", IF(ISNUMBER(G31),"Valid","Check"))))</f>
        <v>Text - Converted to Date</v>
      </c>
      <c r="J31" s="9" t="str">
        <f>IF(OR(C31="", H31=""), "Cannot Check - Date Missing", IF(H31&lt;C31, "Invalid - Ship Before Order", "Valid"))</f>
        <v>Valid</v>
      </c>
      <c r="K31" s="5">
        <f>IF(OR(C31="", H31=""), "", IF(H31&lt;C31, "", H31-C31))</f>
        <v>6</v>
      </c>
      <c r="L31" s="3" t="s">
        <v>744</v>
      </c>
      <c r="M31" s="3" t="s">
        <v>61</v>
      </c>
      <c r="N31" s="4" t="str">
        <f>TRIM(SUBSTITUTE(M31,"_"," "))</f>
        <v>Arjun Bose</v>
      </c>
      <c r="O31" s="3" t="s">
        <v>26</v>
      </c>
      <c r="P31" s="6" t="str">
        <f>PROPER(TRIM(SUBSTITUTE(O31,".","")))</f>
        <v>Consumer</v>
      </c>
      <c r="Q31" s="3" t="s">
        <v>73</v>
      </c>
      <c r="R31" s="7" t="str">
        <f>PROPER(TRIM(SUBSTITUTE(Q31,"  "," ")))</f>
        <v>West</v>
      </c>
      <c r="S31" s="3" t="s">
        <v>235</v>
      </c>
      <c r="T31" s="6" t="str">
        <f>PROPER(TRIM(SUBSTITUTE(S31,"  "," ")))</f>
        <v>Gujarat</v>
      </c>
      <c r="U31" s="3" t="s">
        <v>236</v>
      </c>
      <c r="V31" s="6" t="str">
        <f>PROPER(TRIM(SUBSTITUTE(U31,"  "," ")))</f>
        <v>Ahmedabad</v>
      </c>
      <c r="W31" s="3" t="s">
        <v>30</v>
      </c>
      <c r="X31" s="6" t="str">
        <f>PROPER(TRIM(SUBSTITUTE(W31,"  "," ")))</f>
        <v>Office Supplies</v>
      </c>
      <c r="Y31" s="3" t="s">
        <v>109</v>
      </c>
      <c r="Z31" s="6" t="str">
        <f>PROPER(TRIM(SUBSTITUTE(Y31,"  "," ")))</f>
        <v>Labels</v>
      </c>
      <c r="AA31" s="3" t="s">
        <v>745</v>
      </c>
      <c r="AB31" s="3" t="s">
        <v>48</v>
      </c>
      <c r="AC31" s="6" t="str">
        <f>PROPER(TRIM(SUBSTITUTE(AB31,"  "," ")))</f>
        <v>Same Day</v>
      </c>
      <c r="AD31" s="3">
        <v>5</v>
      </c>
      <c r="AE31" s="3">
        <v>218.42</v>
      </c>
      <c r="AF31" s="3">
        <v>0.2</v>
      </c>
      <c r="AG31" s="17">
        <v>0.2</v>
      </c>
      <c r="AH31" s="6" t="str">
        <f t="shared" si="2"/>
        <v>Valid</v>
      </c>
      <c r="AI31" s="3">
        <v>873.68</v>
      </c>
      <c r="AJ31" s="3">
        <v>661.72</v>
      </c>
      <c r="AK31" s="3">
        <v>211.96</v>
      </c>
      <c r="AL31" s="3" t="s">
        <v>137</v>
      </c>
      <c r="AM31" s="6" t="str">
        <f>PROPER(TRIM(SUBSTITUTE(AL31,".","")))</f>
        <v>Pending</v>
      </c>
      <c r="AN31" s="3" t="s">
        <v>78</v>
      </c>
      <c r="AO31" s="8" t="str">
        <f>PROPER(TRIM(SUBSTITUTE(AN31,".","")))</f>
        <v>Cancelled</v>
      </c>
      <c r="AP31" t="str">
        <f>IF(COUNTIF($A$2:$A$933, A31) &gt; 1, "Duplicate ID", "Unique")</f>
        <v>Unique</v>
      </c>
      <c r="AR31">
        <f t="shared" si="4"/>
        <v>873.68</v>
      </c>
      <c r="AS31">
        <f t="shared" si="5"/>
        <v>211.95999999999992</v>
      </c>
      <c r="AT31" s="15">
        <f t="shared" si="6"/>
        <v>0.24260598846259493</v>
      </c>
      <c r="AU31" t="str">
        <f t="shared" si="7"/>
        <v>Clean</v>
      </c>
      <c r="AV31" s="8" t="str">
        <f t="shared" si="8"/>
        <v>Cancelled</v>
      </c>
    </row>
    <row r="32" spans="1:48">
      <c r="A32" s="3" t="s">
        <v>958</v>
      </c>
      <c r="B32" s="3" t="s">
        <v>742</v>
      </c>
      <c r="C32" s="9">
        <f>IFERROR(DATEVALUE(TEXT(B32,"DD/MM/YYYY")), IF(ISNUMBER(B32), B32, ""))</f>
        <v>45318</v>
      </c>
      <c r="D32" s="9" t="str">
        <f>IF(B32="","Missing", IF(AND(ISNUMBER(B32)=FALSE, C32=""),"Invalid - Could Not Parse", IF(AND(ISNUMBER(B32)=FALSE, C32&lt;&gt;""),"Text - Converted to Date", IF(ISNUMBER(B32),"Valid","Check"))))</f>
        <v>Text - Converted to Date</v>
      </c>
      <c r="E32" s="5">
        <f t="shared" si="0"/>
        <v>1</v>
      </c>
      <c r="F32" s="5">
        <f t="shared" si="1"/>
        <v>2024</v>
      </c>
      <c r="G32" s="3" t="s">
        <v>959</v>
      </c>
      <c r="H32" s="9">
        <f>IFERROR(DATEVALUE(TEXT(G32,"DD/MM/YYYY")), IF(ISNUMBER(G32), G32, ""))</f>
        <v>45325</v>
      </c>
      <c r="I32" s="9" t="str">
        <f>IF(G32="","Missing", IF(AND(ISNUMBER(G32)=FALSE, H32=""),"Invalid - Could Not Parse", IF(AND(ISNUMBER(G32)=FALSE, H32&lt;&gt;""),"Text - Converted to Date", IF(ISNUMBER(G32),"Valid","Check"))))</f>
        <v>Text - Converted to Date</v>
      </c>
      <c r="J32" s="9" t="str">
        <f>IF(OR(C32="", H32=""), "Cannot Check - Date Missing", IF(H32&lt;C32, "Invalid - Ship Before Order", "Valid"))</f>
        <v>Valid</v>
      </c>
      <c r="K32" s="5">
        <f>IF(OR(C32="", H32=""), "", IF(H32&lt;C32, "", H32-C32))</f>
        <v>7</v>
      </c>
      <c r="L32" s="3" t="s">
        <v>960</v>
      </c>
      <c r="M32" s="3" t="s">
        <v>61</v>
      </c>
      <c r="N32" s="4" t="str">
        <f>TRIM(SUBSTITUTE(M32,"_"," "))</f>
        <v>Arjun Bose</v>
      </c>
      <c r="O32" s="3" t="s">
        <v>41</v>
      </c>
      <c r="P32" s="6" t="str">
        <f>PROPER(TRIM(SUBSTITUTE(O32,".","")))</f>
        <v>Small Business</v>
      </c>
      <c r="Q32" s="3" t="s">
        <v>42</v>
      </c>
      <c r="R32" s="7" t="str">
        <f>PROPER(TRIM(SUBSTITUTE(Q32,"  "," ")))</f>
        <v>East</v>
      </c>
      <c r="S32" s="3" t="s">
        <v>186</v>
      </c>
      <c r="T32" s="6" t="str">
        <f>PROPER(TRIM(SUBSTITUTE(S32,"  "," ")))</f>
        <v>Bihar</v>
      </c>
      <c r="U32" s="3" t="s">
        <v>187</v>
      </c>
      <c r="V32" s="6" t="str">
        <f>PROPER(TRIM(SUBSTITUTE(U32,"  "," ")))</f>
        <v>Patna</v>
      </c>
      <c r="W32" s="3" t="s">
        <v>86</v>
      </c>
      <c r="X32" s="6" t="str">
        <f>PROPER(TRIM(SUBSTITUTE(W32,"  "," ")))</f>
        <v>Technology</v>
      </c>
      <c r="Y32" s="3" t="s">
        <v>382</v>
      </c>
      <c r="Z32" s="6" t="str">
        <f>PROPER(TRIM(SUBSTITUTE(Y32,"  "," ")))</f>
        <v>Machines</v>
      </c>
      <c r="AA32" s="3" t="s">
        <v>961</v>
      </c>
      <c r="AB32" s="3" t="s">
        <v>48</v>
      </c>
      <c r="AC32" s="6" t="str">
        <f>PROPER(TRIM(SUBSTITUTE(AB32,"  "," ")))</f>
        <v>Same Day</v>
      </c>
      <c r="AD32" s="3">
        <v>7</v>
      </c>
      <c r="AE32" s="3">
        <v>2673.42</v>
      </c>
      <c r="AF32" s="3">
        <v>0.15</v>
      </c>
      <c r="AG32" s="17">
        <v>0.15</v>
      </c>
      <c r="AH32" s="6" t="str">
        <f t="shared" si="2"/>
        <v>Valid</v>
      </c>
      <c r="AI32" s="3">
        <v>15906.85</v>
      </c>
      <c r="AJ32" s="3">
        <v>11014.46</v>
      </c>
      <c r="AK32" s="3">
        <v>4892.3900000000003</v>
      </c>
      <c r="AL32" s="3" t="s">
        <v>34</v>
      </c>
      <c r="AM32" s="6" t="str">
        <f>PROPER(TRIM(SUBSTITUTE(AL32,".","")))</f>
        <v>Paid</v>
      </c>
      <c r="AN32" s="3" t="s">
        <v>125</v>
      </c>
      <c r="AO32" s="8" t="str">
        <f>PROPER(TRIM(SUBSTITUTE(AN32,".","")))</f>
        <v>Returned</v>
      </c>
      <c r="AP32" t="str">
        <f>IF(COUNTIF($A$2:$A$933, A32) &gt; 1, "Duplicate ID", "Unique")</f>
        <v>Unique</v>
      </c>
      <c r="AR32">
        <f t="shared" si="4"/>
        <v>15906.849000000002</v>
      </c>
      <c r="AS32">
        <f t="shared" si="5"/>
        <v>4892.3890000000029</v>
      </c>
      <c r="AT32" s="15">
        <f t="shared" si="6"/>
        <v>0.30756493633654297</v>
      </c>
      <c r="AU32" t="str">
        <f t="shared" si="7"/>
        <v>Clean</v>
      </c>
      <c r="AV32" s="8" t="str">
        <f t="shared" si="8"/>
        <v>Active</v>
      </c>
    </row>
    <row r="33" spans="1:48">
      <c r="A33" s="3" t="s">
        <v>2002</v>
      </c>
      <c r="B33" s="3" t="s">
        <v>2003</v>
      </c>
      <c r="C33" s="9">
        <f>IFERROR(DATEVALUE(TEXT(B33,"DD/MM/YYYY")), IF(ISNUMBER(B33), B33, ""))</f>
        <v>45318</v>
      </c>
      <c r="D33" s="9" t="str">
        <f>IF(B33="","Missing", IF(AND(ISNUMBER(B33)=FALSE, C33=""),"Invalid - Could Not Parse", IF(AND(ISNUMBER(B33)=FALSE, C33&lt;&gt;""),"Text - Converted to Date", IF(ISNUMBER(B33),"Valid","Check"))))</f>
        <v>Text - Converted to Date</v>
      </c>
      <c r="E33" s="5">
        <f t="shared" si="0"/>
        <v>1</v>
      </c>
      <c r="F33" s="5">
        <f t="shared" si="1"/>
        <v>2024</v>
      </c>
      <c r="G33" s="3" t="s">
        <v>2004</v>
      </c>
      <c r="H33" s="9">
        <f>IFERROR(DATEVALUE(TEXT(G33,"DD/MM/YYYY")), IF(ISNUMBER(G33), G33, ""))</f>
        <v>45353</v>
      </c>
      <c r="I33" s="9" t="str">
        <f>IF(G33="","Missing", IF(AND(ISNUMBER(G33)=FALSE, H33=""),"Invalid - Could Not Parse", IF(AND(ISNUMBER(G33)=FALSE, H33&lt;&gt;""),"Text - Converted to Date", IF(ISNUMBER(G33),"Valid","Check"))))</f>
        <v>Text - Converted to Date</v>
      </c>
      <c r="J33" s="9" t="str">
        <f>IF(OR(C33="", H33=""), "Cannot Check - Date Missing", IF(H33&lt;C33, "Invalid - Ship Before Order", "Valid"))</f>
        <v>Valid</v>
      </c>
      <c r="K33" s="5">
        <f>IF(OR(C33="", H33=""), "", IF(H33&lt;C33, "", H33-C33))</f>
        <v>35</v>
      </c>
      <c r="L33" s="3" t="s">
        <v>2005</v>
      </c>
      <c r="M33" s="3" t="s">
        <v>107</v>
      </c>
      <c r="N33" s="4" t="str">
        <f>TRIM(SUBSTITUTE(M33,"_"," "))</f>
        <v>Aditi Sen</v>
      </c>
      <c r="O33" s="3" t="s">
        <v>108</v>
      </c>
      <c r="P33" s="6" t="str">
        <f>PROPER(TRIM(SUBSTITUTE(O33,".","")))</f>
        <v>Corporate</v>
      </c>
      <c r="Q33" s="3" t="s">
        <v>73</v>
      </c>
      <c r="R33" s="7" t="str">
        <f>PROPER(TRIM(SUBSTITUTE(Q33,"  "," ")))</f>
        <v>West</v>
      </c>
      <c r="S33" s="3" t="s">
        <v>28</v>
      </c>
      <c r="T33" s="6" t="str">
        <f>PROPER(TRIM(SUBSTITUTE(S33,"  "," ")))</f>
        <v>Rajasthan</v>
      </c>
      <c r="U33" s="3" t="s">
        <v>135</v>
      </c>
      <c r="V33" s="6" t="str">
        <f>PROPER(TRIM(SUBSTITUTE(U33,"  "," ")))</f>
        <v>Udaipur</v>
      </c>
      <c r="W33" s="3" t="s">
        <v>45</v>
      </c>
      <c r="X33" s="6" t="str">
        <f>PROPER(TRIM(SUBSTITUTE(W33,"  "," ")))</f>
        <v>Furniture</v>
      </c>
      <c r="Y33" s="3" t="s">
        <v>76</v>
      </c>
      <c r="Z33" s="6" t="str">
        <f>PROPER(TRIM(SUBSTITUTE(Y33,"  "," ")))</f>
        <v>Chairs</v>
      </c>
      <c r="AA33" s="3" t="s">
        <v>2006</v>
      </c>
      <c r="AB33" s="3" t="s">
        <v>48</v>
      </c>
      <c r="AC33" s="6" t="str">
        <f>PROPER(TRIM(SUBSTITUTE(AB33,"  "," ")))</f>
        <v>Same Day</v>
      </c>
      <c r="AD33" s="3">
        <v>3</v>
      </c>
      <c r="AE33" s="3">
        <v>359.61</v>
      </c>
      <c r="AF33" s="3">
        <v>0</v>
      </c>
      <c r="AG33" s="17">
        <v>0</v>
      </c>
      <c r="AH33" s="6" t="str">
        <f t="shared" si="2"/>
        <v>Valid</v>
      </c>
      <c r="AI33" s="3">
        <v>1078.83</v>
      </c>
      <c r="AJ33" s="3">
        <v>926.35</v>
      </c>
      <c r="AK33" s="3">
        <v>152.47999999999999</v>
      </c>
      <c r="AL33" s="3" t="s">
        <v>34</v>
      </c>
      <c r="AM33" s="6" t="str">
        <f>PROPER(TRIM(SUBSTITUTE(AL33,".","")))</f>
        <v>Paid</v>
      </c>
      <c r="AN33" s="3" t="s">
        <v>35</v>
      </c>
      <c r="AO33" s="8" t="str">
        <f>PROPER(TRIM(SUBSTITUTE(AN33,".","")))</f>
        <v>Completed</v>
      </c>
      <c r="AP33" t="str">
        <f>IF(COUNTIF($A$2:$A$933, A33) &gt; 1, "Duplicate ID", "Unique")</f>
        <v>Unique</v>
      </c>
      <c r="AR33">
        <f t="shared" si="4"/>
        <v>1078.83</v>
      </c>
      <c r="AS33">
        <f t="shared" si="5"/>
        <v>152.4799999999999</v>
      </c>
      <c r="AT33" s="15">
        <f t="shared" si="6"/>
        <v>0.14133830167867034</v>
      </c>
      <c r="AU33" t="str">
        <f t="shared" si="7"/>
        <v>Clean</v>
      </c>
      <c r="AV33" s="8" t="str">
        <f t="shared" si="8"/>
        <v>Active</v>
      </c>
    </row>
    <row r="34" spans="1:48">
      <c r="A34" s="3" t="s">
        <v>2278</v>
      </c>
      <c r="B34" s="3" t="s">
        <v>2279</v>
      </c>
      <c r="C34" s="9">
        <f>IFERROR(DATEVALUE(TEXT(B34,"DD/MM/YYYY")), IF(ISNUMBER(B34), B34, ""))</f>
        <v>45320</v>
      </c>
      <c r="D34" s="9" t="str">
        <f>IF(B34="","Missing", IF(AND(ISNUMBER(B34)=FALSE, C34=""),"Invalid - Could Not Parse", IF(AND(ISNUMBER(B34)=FALSE, C34&lt;&gt;""),"Text - Converted to Date", IF(ISNUMBER(B34),"Valid","Check"))))</f>
        <v>Text - Converted to Date</v>
      </c>
      <c r="E34" s="5">
        <f t="shared" si="0"/>
        <v>1</v>
      </c>
      <c r="F34" s="5">
        <f t="shared" si="1"/>
        <v>2024</v>
      </c>
      <c r="G34" s="3" t="s">
        <v>2280</v>
      </c>
      <c r="H34" s="9">
        <f>IFERROR(DATEVALUE(TEXT(G34,"DD/MM/YYYY")), IF(ISNUMBER(G34), G34, ""))</f>
        <v>45328</v>
      </c>
      <c r="I34" s="9" t="str">
        <f>IF(G34="","Missing", IF(AND(ISNUMBER(G34)=FALSE, H34=""),"Invalid - Could Not Parse", IF(AND(ISNUMBER(G34)=FALSE, H34&lt;&gt;""),"Text - Converted to Date", IF(ISNUMBER(G34),"Valid","Check"))))</f>
        <v>Text - Converted to Date</v>
      </c>
      <c r="J34" s="9" t="str">
        <f>IF(OR(C34="", H34=""), "Cannot Check - Date Missing", IF(H34&lt;C34, "Invalid - Ship Before Order", "Valid"))</f>
        <v>Valid</v>
      </c>
      <c r="K34" s="5">
        <f>IF(OR(C34="", H34=""), "", IF(H34&lt;C34, "", H34-C34))</f>
        <v>8</v>
      </c>
      <c r="L34" s="3" t="s">
        <v>2281</v>
      </c>
      <c r="M34" s="3" t="s">
        <v>162</v>
      </c>
      <c r="N34" s="4" t="str">
        <f>TRIM(SUBSTITUTE(M34,"_"," "))</f>
        <v>Aarav Sharma</v>
      </c>
      <c r="O34" s="3" t="s">
        <v>41</v>
      </c>
      <c r="P34" s="6" t="str">
        <f>PROPER(TRIM(SUBSTITUTE(O34,".","")))</f>
        <v>Small Business</v>
      </c>
      <c r="Q34" s="3" t="s">
        <v>73</v>
      </c>
      <c r="R34" s="7" t="str">
        <f>PROPER(TRIM(SUBSTITUTE(Q34,"  "," ")))</f>
        <v>West</v>
      </c>
      <c r="S34" s="3" t="s">
        <v>84</v>
      </c>
      <c r="T34" s="6" t="str">
        <f>PROPER(TRIM(SUBSTITUTE(S34,"  "," ")))</f>
        <v>Madhya Pradesh</v>
      </c>
      <c r="U34" s="3" t="s">
        <v>85</v>
      </c>
      <c r="V34" s="6" t="str">
        <f>PROPER(TRIM(SUBSTITUTE(U34,"  "," ")))</f>
        <v>Indore</v>
      </c>
      <c r="W34" s="3" t="s">
        <v>30</v>
      </c>
      <c r="X34" s="6" t="str">
        <f>PROPER(TRIM(SUBSTITUTE(W34,"  "," ")))</f>
        <v>Office Supplies</v>
      </c>
      <c r="Y34" s="3" t="s">
        <v>109</v>
      </c>
      <c r="Z34" s="6" t="str">
        <f>PROPER(TRIM(SUBSTITUTE(Y34,"  "," ")))</f>
        <v>Labels</v>
      </c>
      <c r="AA34" s="3" t="s">
        <v>2282</v>
      </c>
      <c r="AB34" s="3" t="s">
        <v>67</v>
      </c>
      <c r="AC34" s="6" t="str">
        <f>PROPER(TRIM(SUBSTITUTE(AB34,"  "," ")))</f>
        <v>Standard Class</v>
      </c>
      <c r="AD34" s="3">
        <v>2</v>
      </c>
      <c r="AE34" s="3">
        <v>1258.9000000000001</v>
      </c>
      <c r="AF34" s="3">
        <v>0</v>
      </c>
      <c r="AG34" s="17">
        <v>0</v>
      </c>
      <c r="AH34" s="6" t="str">
        <f t="shared" si="2"/>
        <v>Valid</v>
      </c>
      <c r="AI34" s="3">
        <v>2517.8000000000002</v>
      </c>
      <c r="AJ34" s="3">
        <v>1478.54</v>
      </c>
      <c r="AK34" s="3">
        <v>1039.26</v>
      </c>
      <c r="AL34" s="3" t="s">
        <v>34</v>
      </c>
      <c r="AM34" s="6" t="str">
        <f>PROPER(TRIM(SUBSTITUTE(AL34,".","")))</f>
        <v>Paid</v>
      </c>
      <c r="AN34" s="3" t="s">
        <v>35</v>
      </c>
      <c r="AO34" s="8" t="str">
        <f>PROPER(TRIM(SUBSTITUTE(AN34,".","")))</f>
        <v>Completed</v>
      </c>
      <c r="AP34" t="str">
        <f>IF(COUNTIF($A$2:$A$933, A34) &gt; 1, "Duplicate ID", "Unique")</f>
        <v>Unique</v>
      </c>
      <c r="AR34">
        <f t="shared" si="4"/>
        <v>2517.8000000000002</v>
      </c>
      <c r="AS34">
        <f t="shared" si="5"/>
        <v>1039.2600000000002</v>
      </c>
      <c r="AT34" s="15">
        <f t="shared" si="6"/>
        <v>0.41276511239971408</v>
      </c>
      <c r="AU34" t="str">
        <f t="shared" si="7"/>
        <v>Clean</v>
      </c>
      <c r="AV34" s="8" t="str">
        <f t="shared" si="8"/>
        <v>Active</v>
      </c>
    </row>
    <row r="35" spans="1:48">
      <c r="A35" s="3" t="s">
        <v>833</v>
      </c>
      <c r="B35" s="3" t="s">
        <v>834</v>
      </c>
      <c r="C35" s="9">
        <f>IFERROR(DATEVALUE(TEXT(B35,"DD/MM/YYYY")), IF(ISNUMBER(B35), B35, ""))</f>
        <v>45321</v>
      </c>
      <c r="D35" s="9" t="str">
        <f>IF(B35="","Missing", IF(AND(ISNUMBER(B35)=FALSE, C35=""),"Invalid - Could Not Parse", IF(AND(ISNUMBER(B35)=FALSE, C35&lt;&gt;""),"Text - Converted to Date", IF(ISNUMBER(B35),"Valid","Check"))))</f>
        <v>Text - Converted to Date</v>
      </c>
      <c r="E35" s="5">
        <f t="shared" si="0"/>
        <v>1</v>
      </c>
      <c r="F35" s="5">
        <f t="shared" si="1"/>
        <v>2024</v>
      </c>
      <c r="G35" s="3" t="s">
        <v>834</v>
      </c>
      <c r="H35" s="9">
        <f>IFERROR(DATEVALUE(TEXT(G35,"DD/MM/YYYY")), IF(ISNUMBER(G35), G35, ""))</f>
        <v>45321</v>
      </c>
      <c r="I35" s="9" t="str">
        <f>IF(G35="","Missing", IF(AND(ISNUMBER(G35)=FALSE, H35=""),"Invalid - Could Not Parse", IF(AND(ISNUMBER(G35)=FALSE, H35&lt;&gt;""),"Text - Converted to Date", IF(ISNUMBER(G35),"Valid","Check"))))</f>
        <v>Text - Converted to Date</v>
      </c>
      <c r="J35" s="9" t="str">
        <f>IF(OR(C35="", H35=""), "Cannot Check - Date Missing", IF(H35&lt;C35, "Invalid - Ship Before Order", "Valid"))</f>
        <v>Valid</v>
      </c>
      <c r="K35" s="5">
        <f>IF(OR(C35="", H35=""), "", IF(H35&lt;C35, "", H35-C35))</f>
        <v>0</v>
      </c>
      <c r="L35" s="3" t="s">
        <v>835</v>
      </c>
      <c r="M35" s="3" t="s">
        <v>162</v>
      </c>
      <c r="N35" s="4" t="str">
        <f>TRIM(SUBSTITUTE(M35,"_"," "))</f>
        <v>Aarav Sharma</v>
      </c>
      <c r="O35" s="3" t="s">
        <v>41</v>
      </c>
      <c r="P35" s="6" t="str">
        <f>PROPER(TRIM(SUBSTITUTE(O35,".","")))</f>
        <v>Small Business</v>
      </c>
      <c r="Q35" s="3" t="s">
        <v>836</v>
      </c>
      <c r="R35" s="7" t="str">
        <f>PROPER(TRIM(SUBSTITUTE(Q35,"  "," ")))</f>
        <v>West</v>
      </c>
      <c r="S35" s="3" t="s">
        <v>28</v>
      </c>
      <c r="T35" s="6" t="str">
        <f>PROPER(TRIM(SUBSTITUTE(S35,"  "," ")))</f>
        <v>Rajasthan</v>
      </c>
      <c r="U35" s="3" t="s">
        <v>135</v>
      </c>
      <c r="V35" s="6" t="str">
        <f>PROPER(TRIM(SUBSTITUTE(U35,"  "," ")))</f>
        <v>Udaipur</v>
      </c>
      <c r="W35" s="3" t="s">
        <v>86</v>
      </c>
      <c r="X35" s="6" t="str">
        <f>PROPER(TRIM(SUBSTITUTE(W35,"  "," ")))</f>
        <v>Technology</v>
      </c>
      <c r="Y35" s="3" t="s">
        <v>94</v>
      </c>
      <c r="Z35" s="6" t="str">
        <f>PROPER(TRIM(SUBSTITUTE(Y35,"  "," ")))</f>
        <v>Copiers</v>
      </c>
      <c r="AA35" s="3" t="s">
        <v>837</v>
      </c>
      <c r="AB35" s="3" t="s">
        <v>48</v>
      </c>
      <c r="AC35" s="6" t="str">
        <f>PROPER(TRIM(SUBSTITUTE(AB35,"  "," ")))</f>
        <v>Same Day</v>
      </c>
      <c r="AD35" s="3">
        <v>7</v>
      </c>
      <c r="AE35" s="3">
        <v>2527.61</v>
      </c>
      <c r="AF35" s="3">
        <v>0.25</v>
      </c>
      <c r="AG35" s="17">
        <v>0.25</v>
      </c>
      <c r="AH35" s="6" t="str">
        <f t="shared" si="2"/>
        <v>Valid</v>
      </c>
      <c r="AI35" s="3">
        <v>13269.95</v>
      </c>
      <c r="AJ35" s="3">
        <v>8977.1</v>
      </c>
      <c r="AK35" s="3">
        <v>4292.8500000000004</v>
      </c>
      <c r="AL35" s="3" t="s">
        <v>34</v>
      </c>
      <c r="AM35" s="6" t="str">
        <f>PROPER(TRIM(SUBSTITUTE(AL35,".","")))</f>
        <v>Paid</v>
      </c>
      <c r="AN35" s="3" t="s">
        <v>35</v>
      </c>
      <c r="AO35" s="8" t="str">
        <f>PROPER(TRIM(SUBSTITUTE(AN35,".","")))</f>
        <v>Completed</v>
      </c>
      <c r="AP35" t="str">
        <f>IF(COUNTIF($A$2:$A$933, A35) &gt; 1, "Duplicate ID", "Unique")</f>
        <v>Unique</v>
      </c>
      <c r="AR35">
        <f t="shared" si="4"/>
        <v>13269.952499999999</v>
      </c>
      <c r="AS35">
        <f t="shared" si="5"/>
        <v>4292.8524999999991</v>
      </c>
      <c r="AT35" s="15">
        <f t="shared" si="6"/>
        <v>0.32350172315989822</v>
      </c>
      <c r="AU35" t="str">
        <f t="shared" si="7"/>
        <v>Clean</v>
      </c>
      <c r="AV35" s="8" t="str">
        <f t="shared" si="8"/>
        <v>Active</v>
      </c>
    </row>
    <row r="36" spans="1:48">
      <c r="A36" s="3" t="s">
        <v>2743</v>
      </c>
      <c r="B36" s="3" t="s">
        <v>2744</v>
      </c>
      <c r="C36" s="9">
        <f>IFERROR(DATEVALUE(TEXT(B36,"DD/MM/YYYY")), IF(ISNUMBER(B36), B36, ""))</f>
        <v>45323</v>
      </c>
      <c r="D36" s="9" t="str">
        <f>IF(B36="","Missing", IF(AND(ISNUMBER(B36)=FALSE, C36=""),"Invalid - Could Not Parse", IF(AND(ISNUMBER(B36)=FALSE, C36&lt;&gt;""),"Text - Converted to Date", IF(ISNUMBER(B36),"Valid","Check"))))</f>
        <v>Text - Converted to Date</v>
      </c>
      <c r="E36" s="5">
        <f t="shared" si="0"/>
        <v>2</v>
      </c>
      <c r="F36" s="5">
        <f t="shared" si="1"/>
        <v>2024</v>
      </c>
      <c r="G36" s="3" t="s">
        <v>2745</v>
      </c>
      <c r="H36" s="9">
        <f>IFERROR(DATEVALUE(TEXT(G36,"DD/MM/YYYY")), IF(ISNUMBER(G36), G36, ""))</f>
        <v>45300</v>
      </c>
      <c r="I36" s="9" t="str">
        <f>IF(G36="","Missing", IF(AND(ISNUMBER(G36)=FALSE, H36=""),"Invalid - Could Not Parse", IF(AND(ISNUMBER(G36)=FALSE, H36&lt;&gt;""),"Text - Converted to Date", IF(ISNUMBER(G36),"Valid","Check"))))</f>
        <v>Text - Converted to Date</v>
      </c>
      <c r="J36" s="9" t="str">
        <f>IF(OR(C36="", H36=""), "Cannot Check - Date Missing", IF(H36&lt;C36, "Invalid - Ship Before Order", "Valid"))</f>
        <v>Invalid - Ship Before Order</v>
      </c>
      <c r="K36" s="5" t="str">
        <f>IF(OR(C36="", H36=""), "", IF(H36&lt;C36, "", H36-C36))</f>
        <v/>
      </c>
      <c r="L36" s="3" t="s">
        <v>2746</v>
      </c>
      <c r="M36" s="3" t="s">
        <v>210</v>
      </c>
      <c r="N36" s="4" t="str">
        <f>TRIM(SUBSTITUTE(M36,"_"," "))</f>
        <v>Diya Patel</v>
      </c>
      <c r="O36" s="3" t="s">
        <v>108</v>
      </c>
      <c r="P36" s="6" t="str">
        <f>PROPER(TRIM(SUBSTITUTE(O36,".","")))</f>
        <v>Corporate</v>
      </c>
      <c r="Q36" s="3" t="s">
        <v>27</v>
      </c>
      <c r="R36" s="7" t="str">
        <f>PROPER(TRIM(SUBSTITUTE(Q36,"  "," ")))</f>
        <v>North</v>
      </c>
      <c r="S36" s="3" t="s">
        <v>506</v>
      </c>
      <c r="T36" s="6" t="str">
        <f>PROPER(TRIM(SUBSTITUTE(S36,"  "," ")))</f>
        <v>Delhi</v>
      </c>
      <c r="U36" s="3" t="s">
        <v>507</v>
      </c>
      <c r="V36" s="6" t="str">
        <f>PROPER(TRIM(SUBSTITUTE(U36,"  "," ")))</f>
        <v>New Delhi</v>
      </c>
      <c r="W36" s="3" t="s">
        <v>86</v>
      </c>
      <c r="X36" s="6" t="str">
        <f>PROPER(TRIM(SUBSTITUTE(W36,"  "," ")))</f>
        <v>Technology</v>
      </c>
      <c r="Y36" s="3" t="s">
        <v>223</v>
      </c>
      <c r="Z36" s="6" t="str">
        <f>PROPER(TRIM(SUBSTITUTE(Y36,"  "," ")))</f>
        <v>Phones</v>
      </c>
      <c r="AA36" s="3" t="s">
        <v>2747</v>
      </c>
      <c r="AB36" s="3" t="s">
        <v>67</v>
      </c>
      <c r="AC36" s="6" t="str">
        <f>PROPER(TRIM(SUBSTITUTE(AB36,"  "," ")))</f>
        <v>Standard Class</v>
      </c>
      <c r="AD36" s="3">
        <v>3</v>
      </c>
      <c r="AE36" s="3">
        <v>739.56</v>
      </c>
      <c r="AF36" s="3">
        <v>0.2</v>
      </c>
      <c r="AG36" s="17">
        <v>0.2</v>
      </c>
      <c r="AH36" s="6" t="str">
        <f t="shared" si="2"/>
        <v>Valid</v>
      </c>
      <c r="AI36" s="3">
        <v>1774.94</v>
      </c>
      <c r="AJ36" s="3">
        <v>1007.4</v>
      </c>
      <c r="AK36" s="3">
        <v>767.54</v>
      </c>
      <c r="AL36" s="3" t="s">
        <v>34</v>
      </c>
      <c r="AM36" s="6" t="str">
        <f>PROPER(TRIM(SUBSTITUTE(AL36,".","")))</f>
        <v>Paid</v>
      </c>
      <c r="AN36" s="3" t="s">
        <v>35</v>
      </c>
      <c r="AO36" s="8" t="str">
        <f>PROPER(TRIM(SUBSTITUTE(AN36,".","")))</f>
        <v>Completed</v>
      </c>
      <c r="AP36" t="str">
        <f>IF(COUNTIF($A$2:$A$933, A36) &gt; 1, "Duplicate ID", "Unique")</f>
        <v>Unique</v>
      </c>
      <c r="AR36">
        <f t="shared" si="4"/>
        <v>1774.944</v>
      </c>
      <c r="AS36">
        <f t="shared" si="5"/>
        <v>767.54399999999998</v>
      </c>
      <c r="AT36" s="15">
        <f t="shared" si="6"/>
        <v>0.43243279787982042</v>
      </c>
      <c r="AU36" t="str">
        <f t="shared" si="7"/>
        <v>Invalid</v>
      </c>
      <c r="AV36" s="8" t="str">
        <f t="shared" si="8"/>
        <v>Active</v>
      </c>
    </row>
    <row r="37" spans="1:48">
      <c r="A37" s="3" t="s">
        <v>3606</v>
      </c>
      <c r="B37" s="3" t="s">
        <v>3607</v>
      </c>
      <c r="C37" s="9">
        <f>IFERROR(DATEVALUE(TEXT(B37,"DD/MM/YYYY")), IF(ISNUMBER(B37), B37, ""))</f>
        <v>45324</v>
      </c>
      <c r="D37" s="9" t="str">
        <f>IF(B37="","Missing", IF(AND(ISNUMBER(B37)=FALSE, C37=""),"Invalid - Could Not Parse", IF(AND(ISNUMBER(B37)=FALSE, C37&lt;&gt;""),"Text - Converted to Date", IF(ISNUMBER(B37),"Valid","Check"))))</f>
        <v>Text - Converted to Date</v>
      </c>
      <c r="E37" s="5">
        <f t="shared" si="0"/>
        <v>2</v>
      </c>
      <c r="F37" s="5">
        <f t="shared" si="1"/>
        <v>2024</v>
      </c>
      <c r="G37" s="3" t="s">
        <v>2129</v>
      </c>
      <c r="H37" s="9">
        <f>IFERROR(DATEVALUE(TEXT(G37,"DD/MM/YYYY")), IF(ISNUMBER(G37), G37, ""))</f>
        <v>45332</v>
      </c>
      <c r="I37" s="9" t="str">
        <f>IF(G37="","Missing", IF(AND(ISNUMBER(G37)=FALSE, H37=""),"Invalid - Could Not Parse", IF(AND(ISNUMBER(G37)=FALSE, H37&lt;&gt;""),"Text - Converted to Date", IF(ISNUMBER(G37),"Valid","Check"))))</f>
        <v>Text - Converted to Date</v>
      </c>
      <c r="J37" s="9" t="str">
        <f>IF(OR(C37="", H37=""), "Cannot Check - Date Missing", IF(H37&lt;C37, "Invalid - Ship Before Order", "Valid"))</f>
        <v>Valid</v>
      </c>
      <c r="K37" s="5">
        <f>IF(OR(C37="", H37=""), "", IF(H37&lt;C37, "", H37-C37))</f>
        <v>8</v>
      </c>
      <c r="L37" s="3" t="s">
        <v>3608</v>
      </c>
      <c r="M37" s="3" t="s">
        <v>25</v>
      </c>
      <c r="N37" s="4" t="str">
        <f>TRIM(SUBSTITUTE(M37,"_"," "))</f>
        <v>Karan Malhotra</v>
      </c>
      <c r="O37" s="3" t="s">
        <v>115</v>
      </c>
      <c r="P37" s="6" t="str">
        <f>PROPER(TRIM(SUBSTITUTE(O37,".","")))</f>
        <v>Home Office</v>
      </c>
      <c r="Q37" s="3" t="s">
        <v>73</v>
      </c>
      <c r="R37" s="7" t="str">
        <f>PROPER(TRIM(SUBSTITUTE(Q37,"  "," ")))</f>
        <v>West</v>
      </c>
      <c r="S37" s="3" t="s">
        <v>28</v>
      </c>
      <c r="T37" s="6" t="str">
        <f>PROPER(TRIM(SUBSTITUTE(S37,"  "," ")))</f>
        <v>Rajasthan</v>
      </c>
      <c r="U37" s="3" t="s">
        <v>135</v>
      </c>
      <c r="V37" s="6" t="str">
        <f>PROPER(TRIM(SUBSTITUTE(U37,"  "," ")))</f>
        <v>Udaipur</v>
      </c>
      <c r="W37" s="3" t="s">
        <v>30</v>
      </c>
      <c r="X37" s="6" t="str">
        <f>PROPER(TRIM(SUBSTITUTE(W37,"  "," ")))</f>
        <v>Office Supplies</v>
      </c>
      <c r="Y37" s="3" t="s">
        <v>109</v>
      </c>
      <c r="Z37" s="6" t="str">
        <f>PROPER(TRIM(SUBSTITUTE(Y37,"  "," ")))</f>
        <v>Labels</v>
      </c>
      <c r="AA37" s="3" t="s">
        <v>3609</v>
      </c>
      <c r="AB37" s="3" t="s">
        <v>56</v>
      </c>
      <c r="AC37" s="6" t="str">
        <f>PROPER(TRIM(SUBSTITUTE(AB37,"  "," ")))</f>
        <v>First Class</v>
      </c>
      <c r="AD37" s="3">
        <v>3</v>
      </c>
      <c r="AE37" s="3">
        <v>383.4</v>
      </c>
      <c r="AF37" s="3">
        <v>0.25</v>
      </c>
      <c r="AG37" s="17">
        <v>0.25</v>
      </c>
      <c r="AH37" s="6" t="str">
        <f t="shared" si="2"/>
        <v>Valid</v>
      </c>
      <c r="AI37" s="3">
        <v>862.65</v>
      </c>
      <c r="AJ37" s="3">
        <v>603.73</v>
      </c>
      <c r="AK37" s="3">
        <v>258.92</v>
      </c>
      <c r="AL37" s="3" t="s">
        <v>137</v>
      </c>
      <c r="AM37" s="6" t="str">
        <f>PROPER(TRIM(SUBSTITUTE(AL37,".","")))</f>
        <v>Pending</v>
      </c>
      <c r="AN37" s="3" t="s">
        <v>125</v>
      </c>
      <c r="AO37" s="8" t="str">
        <f>PROPER(TRIM(SUBSTITUTE(AN37,".","")))</f>
        <v>Returned</v>
      </c>
      <c r="AP37" t="str">
        <f>IF(COUNTIF($A$2:$A$933, A37) &gt; 1, "Duplicate ID", "Unique")</f>
        <v>Unique</v>
      </c>
      <c r="AR37">
        <f t="shared" si="4"/>
        <v>862.64999999999986</v>
      </c>
      <c r="AS37">
        <f t="shared" si="5"/>
        <v>258.91999999999985</v>
      </c>
      <c r="AT37" s="15">
        <f t="shared" si="6"/>
        <v>0.30014490233582553</v>
      </c>
      <c r="AU37" t="str">
        <f t="shared" si="7"/>
        <v>Clean</v>
      </c>
      <c r="AV37" s="8" t="str">
        <f t="shared" si="8"/>
        <v>Active</v>
      </c>
    </row>
    <row r="38" spans="1:48">
      <c r="A38" s="3" t="s">
        <v>3931</v>
      </c>
      <c r="B38" s="3" t="s">
        <v>743</v>
      </c>
      <c r="C38" s="9">
        <f>IFERROR(DATEVALUE(TEXT(B38,"DD/MM/YYYY")), IF(ISNUMBER(B38), B38, ""))</f>
        <v>45324</v>
      </c>
      <c r="D38" s="9" t="str">
        <f>IF(B38="","Missing", IF(AND(ISNUMBER(B38)=FALSE, C38=""),"Invalid - Could Not Parse", IF(AND(ISNUMBER(B38)=FALSE, C38&lt;&gt;""),"Text - Converted to Date", IF(ISNUMBER(B38),"Valid","Check"))))</f>
        <v>Text - Converted to Date</v>
      </c>
      <c r="E38" s="5">
        <f t="shared" si="0"/>
        <v>2</v>
      </c>
      <c r="F38" s="5">
        <f t="shared" si="1"/>
        <v>2024</v>
      </c>
      <c r="G38" s="3" t="s">
        <v>3932</v>
      </c>
      <c r="H38" s="9">
        <f>IFERROR(DATEVALUE(TEXT(G38,"DD/MM/YYYY")), IF(ISNUMBER(G38), G38, ""))</f>
        <v>45326</v>
      </c>
      <c r="I38" s="9" t="str">
        <f>IF(G38="","Missing", IF(AND(ISNUMBER(G38)=FALSE, H38=""),"Invalid - Could Not Parse", IF(AND(ISNUMBER(G38)=FALSE, H38&lt;&gt;""),"Text - Converted to Date", IF(ISNUMBER(G38),"Valid","Check"))))</f>
        <v>Text - Converted to Date</v>
      </c>
      <c r="J38" s="9" t="str">
        <f>IF(OR(C38="", H38=""), "Cannot Check - Date Missing", IF(H38&lt;C38, "Invalid - Ship Before Order", "Valid"))</f>
        <v>Valid</v>
      </c>
      <c r="K38" s="5">
        <f>IF(OR(C38="", H38=""), "", IF(H38&lt;C38, "", H38-C38))</f>
        <v>2</v>
      </c>
      <c r="L38" s="3" t="s">
        <v>3933</v>
      </c>
      <c r="M38" s="3" t="s">
        <v>83</v>
      </c>
      <c r="N38" s="4" t="str">
        <f>TRIM(SUBSTITUTE(M38,"_"," "))</f>
        <v>Vikram Iyer</v>
      </c>
      <c r="O38" s="3" t="s">
        <v>115</v>
      </c>
      <c r="P38" s="6" t="str">
        <f>PROPER(TRIM(SUBSTITUTE(O38,".","")))</f>
        <v>Home Office</v>
      </c>
      <c r="Q38" s="3" t="s">
        <v>27</v>
      </c>
      <c r="R38" s="7" t="str">
        <f>PROPER(TRIM(SUBSTITUTE(Q38,"  "," ")))</f>
        <v>North</v>
      </c>
      <c r="S38" s="3" t="s">
        <v>174</v>
      </c>
      <c r="T38" s="6" t="str">
        <f>PROPER(TRIM(SUBSTITUTE(S38,"  "," ")))</f>
        <v>Uttar Pradesh</v>
      </c>
      <c r="U38" s="3" t="s">
        <v>175</v>
      </c>
      <c r="V38" s="6" t="str">
        <f>PROPER(TRIM(SUBSTITUTE(U38,"  "," ")))</f>
        <v>Noida</v>
      </c>
      <c r="W38" s="3" t="s">
        <v>30</v>
      </c>
      <c r="X38" s="6" t="str">
        <f>PROPER(TRIM(SUBSTITUTE(W38,"  "," ")))</f>
        <v>Office Supplies</v>
      </c>
      <c r="Y38" s="3" t="s">
        <v>156</v>
      </c>
      <c r="Z38" s="6" t="str">
        <f>PROPER(TRIM(SUBSTITUTE(Y38,"  "," ")))</f>
        <v>Storage</v>
      </c>
      <c r="AA38" s="3" t="s">
        <v>3934</v>
      </c>
      <c r="AB38" s="3" t="s">
        <v>33</v>
      </c>
      <c r="AC38" s="6" t="str">
        <f>PROPER(TRIM(SUBSTITUTE(AB38,"  "," ")))</f>
        <v>Second Class</v>
      </c>
      <c r="AD38" s="3">
        <v>1</v>
      </c>
      <c r="AE38" s="3">
        <v>4397.32</v>
      </c>
      <c r="AF38" s="3">
        <v>0.05</v>
      </c>
      <c r="AG38" s="17">
        <v>0.05</v>
      </c>
      <c r="AH38" s="6" t="str">
        <f t="shared" si="2"/>
        <v>Valid</v>
      </c>
      <c r="AI38" s="3">
        <v>4177.45</v>
      </c>
      <c r="AJ38" s="3">
        <v>2299.5</v>
      </c>
      <c r="AK38" s="3">
        <v>1877.95</v>
      </c>
      <c r="AL38" s="3" t="s">
        <v>34</v>
      </c>
      <c r="AM38" s="6" t="str">
        <f>PROPER(TRIM(SUBSTITUTE(AL38,".","")))</f>
        <v>Paid</v>
      </c>
      <c r="AN38" s="3" t="s">
        <v>35</v>
      </c>
      <c r="AO38" s="8" t="str">
        <f>PROPER(TRIM(SUBSTITUTE(AN38,".","")))</f>
        <v>Completed</v>
      </c>
      <c r="AP38" t="str">
        <f>IF(COUNTIF($A$2:$A$933, A38) &gt; 1, "Duplicate ID", "Unique")</f>
        <v>Unique</v>
      </c>
      <c r="AR38">
        <f t="shared" si="4"/>
        <v>4177.4539999999997</v>
      </c>
      <c r="AS38">
        <f t="shared" si="5"/>
        <v>1877.9539999999997</v>
      </c>
      <c r="AT38" s="15">
        <f t="shared" si="6"/>
        <v>0.44954510570313877</v>
      </c>
      <c r="AU38" t="str">
        <f t="shared" si="7"/>
        <v>Clean</v>
      </c>
      <c r="AV38" s="8" t="str">
        <f t="shared" si="8"/>
        <v>Active</v>
      </c>
    </row>
    <row r="39" spans="1:48">
      <c r="A39" s="3" t="s">
        <v>2169</v>
      </c>
      <c r="B39" s="3" t="s">
        <v>2170</v>
      </c>
      <c r="C39" s="9">
        <f>IFERROR(DATEVALUE(TEXT(B39,"DD/MM/YYYY")), IF(ISNUMBER(B39), B39, ""))</f>
        <v>45326</v>
      </c>
      <c r="D39" s="9" t="str">
        <f>IF(B39="","Missing", IF(AND(ISNUMBER(B39)=FALSE, C39=""),"Invalid - Could Not Parse", IF(AND(ISNUMBER(B39)=FALSE, C39&lt;&gt;""),"Text - Converted to Date", IF(ISNUMBER(B39),"Valid","Check"))))</f>
        <v>Text - Converted to Date</v>
      </c>
      <c r="E39" s="5">
        <f t="shared" si="0"/>
        <v>2</v>
      </c>
      <c r="F39" s="5">
        <f t="shared" si="1"/>
        <v>2024</v>
      </c>
      <c r="G39" s="3" t="s">
        <v>2171</v>
      </c>
      <c r="H39" s="9">
        <f>IFERROR(DATEVALUE(TEXT(G39,"DD/MM/YYYY")), IF(ISNUMBER(G39), G39, ""))</f>
        <v>45508</v>
      </c>
      <c r="I39" s="9" t="str">
        <f>IF(G39="","Missing", IF(AND(ISNUMBER(G39)=FALSE, H39=""),"Invalid - Could Not Parse", IF(AND(ISNUMBER(G39)=FALSE, H39&lt;&gt;""),"Text - Converted to Date", IF(ISNUMBER(G39),"Valid","Check"))))</f>
        <v>Text - Converted to Date</v>
      </c>
      <c r="J39" s="9" t="str">
        <f>IF(OR(C39="", H39=""), "Cannot Check - Date Missing", IF(H39&lt;C39, "Invalid - Ship Before Order", "Valid"))</f>
        <v>Valid</v>
      </c>
      <c r="K39" s="5">
        <f>IF(OR(C39="", H39=""), "", IF(H39&lt;C39, "", H39-C39))</f>
        <v>182</v>
      </c>
      <c r="L39" s="3" t="s">
        <v>376</v>
      </c>
      <c r="M39" s="3" t="s">
        <v>83</v>
      </c>
      <c r="N39" s="4" t="str">
        <f>TRIM(SUBSTITUTE(M39,"_"," "))</f>
        <v>Vikram Iyer</v>
      </c>
      <c r="O39" s="3" t="s">
        <v>108</v>
      </c>
      <c r="P39" s="6" t="str">
        <f>PROPER(TRIM(SUBSTITUTE(O39,".","")))</f>
        <v>Corporate</v>
      </c>
      <c r="Q39" s="3" t="s">
        <v>42</v>
      </c>
      <c r="R39" s="7" t="str">
        <f>PROPER(TRIM(SUBSTITUTE(Q39,"  "," ")))</f>
        <v>East</v>
      </c>
      <c r="S39" s="3" t="s">
        <v>43</v>
      </c>
      <c r="T39" s="6" t="str">
        <f>PROPER(TRIM(SUBSTITUTE(S39,"  "," ")))</f>
        <v>Odisha</v>
      </c>
      <c r="U39" s="3" t="s">
        <v>44</v>
      </c>
      <c r="V39" s="6" t="str">
        <f>PROPER(TRIM(SUBSTITUTE(U39,"  "," ")))</f>
        <v>Bhubaneswar</v>
      </c>
      <c r="W39" s="3" t="s">
        <v>86</v>
      </c>
      <c r="X39" s="6" t="str">
        <f>PROPER(TRIM(SUBSTITUTE(W39,"  "," ")))</f>
        <v>Technology</v>
      </c>
      <c r="Y39" s="3" t="s">
        <v>382</v>
      </c>
      <c r="Z39" s="6" t="str">
        <f>PROPER(TRIM(SUBSTITUTE(Y39,"  "," ")))</f>
        <v>Machines</v>
      </c>
      <c r="AA39" s="3" t="s">
        <v>2172</v>
      </c>
      <c r="AB39" s="3" t="s">
        <v>33</v>
      </c>
      <c r="AC39" s="6" t="str">
        <f>PROPER(TRIM(SUBSTITUTE(AB39,"  "," ")))</f>
        <v>Second Class</v>
      </c>
      <c r="AD39" s="3">
        <v>6</v>
      </c>
      <c r="AE39" s="3">
        <v>3722.84</v>
      </c>
      <c r="AF39" s="3">
        <v>0.2</v>
      </c>
      <c r="AG39" s="17">
        <v>0.2</v>
      </c>
      <c r="AH39" s="6" t="str">
        <f t="shared" si="2"/>
        <v>Valid</v>
      </c>
      <c r="AI39" s="3">
        <v>17869.63</v>
      </c>
      <c r="AJ39" s="3">
        <v>12163.8</v>
      </c>
      <c r="AK39" s="3">
        <v>5705.83</v>
      </c>
      <c r="AL39" s="3" t="s">
        <v>34</v>
      </c>
      <c r="AM39" s="6" t="str">
        <f>PROPER(TRIM(SUBSTITUTE(AL39,".","")))</f>
        <v>Paid</v>
      </c>
      <c r="AN39" s="3" t="s">
        <v>35</v>
      </c>
      <c r="AO39" s="8" t="str">
        <f>PROPER(TRIM(SUBSTITUTE(AN39,".","")))</f>
        <v>Completed</v>
      </c>
      <c r="AP39" t="str">
        <f>IF(COUNTIF($A$2:$A$933, A39) &gt; 1, "Duplicate ID", "Unique")</f>
        <v>Unique</v>
      </c>
      <c r="AR39">
        <f t="shared" si="4"/>
        <v>17869.632000000001</v>
      </c>
      <c r="AS39">
        <f t="shared" si="5"/>
        <v>5705.8320000000022</v>
      </c>
      <c r="AT39" s="15">
        <f t="shared" si="6"/>
        <v>0.31930327384469931</v>
      </c>
      <c r="AU39" t="str">
        <f t="shared" si="7"/>
        <v>Clean</v>
      </c>
      <c r="AV39" s="8" t="str">
        <f t="shared" si="8"/>
        <v>Active</v>
      </c>
    </row>
    <row r="40" spans="1:48">
      <c r="A40" s="3" t="s">
        <v>3590</v>
      </c>
      <c r="B40" s="3" t="s">
        <v>3591</v>
      </c>
      <c r="C40" s="9">
        <f>IFERROR(DATEVALUE(TEXT(B40,"DD/MM/YYYY")), IF(ISNUMBER(B40), B40, ""))</f>
        <v>45326</v>
      </c>
      <c r="D40" s="9" t="str">
        <f>IF(B40="","Missing", IF(AND(ISNUMBER(B40)=FALSE, C40=""),"Invalid - Could Not Parse", IF(AND(ISNUMBER(B40)=FALSE, C40&lt;&gt;""),"Text - Converted to Date", IF(ISNUMBER(B40),"Valid","Check"))))</f>
        <v>Text - Converted to Date</v>
      </c>
      <c r="E40" s="5">
        <f t="shared" si="0"/>
        <v>2</v>
      </c>
      <c r="F40" s="5">
        <f t="shared" si="1"/>
        <v>2024</v>
      </c>
      <c r="G40" s="3" t="s">
        <v>2280</v>
      </c>
      <c r="H40" s="9">
        <f>IFERROR(DATEVALUE(TEXT(G40,"DD/MM/YYYY")), IF(ISNUMBER(G40), G40, ""))</f>
        <v>45328</v>
      </c>
      <c r="I40" s="9" t="str">
        <f>IF(G40="","Missing", IF(AND(ISNUMBER(G40)=FALSE, H40=""),"Invalid - Could Not Parse", IF(AND(ISNUMBER(G40)=FALSE, H40&lt;&gt;""),"Text - Converted to Date", IF(ISNUMBER(G40),"Valid","Check"))))</f>
        <v>Text - Converted to Date</v>
      </c>
      <c r="J40" s="9" t="str">
        <f>IF(OR(C40="", H40=""), "Cannot Check - Date Missing", IF(H40&lt;C40, "Invalid - Ship Before Order", "Valid"))</f>
        <v>Valid</v>
      </c>
      <c r="K40" s="5">
        <f>IF(OR(C40="", H40=""), "", IF(H40&lt;C40, "", H40-C40))</f>
        <v>2</v>
      </c>
      <c r="L40" s="3" t="s">
        <v>3592</v>
      </c>
      <c r="M40" s="3" t="s">
        <v>366</v>
      </c>
      <c r="N40" s="4" t="str">
        <f>TRIM(SUBSTITUTE(M40,"_"," "))</f>
        <v>Kabir Singh</v>
      </c>
      <c r="O40" s="3" t="s">
        <v>41</v>
      </c>
      <c r="P40" s="6" t="str">
        <f>PROPER(TRIM(SUBSTITUTE(O40,".","")))</f>
        <v>Small Business</v>
      </c>
      <c r="Q40" s="3" t="s">
        <v>73</v>
      </c>
      <c r="R40" s="7" t="str">
        <f>PROPER(TRIM(SUBSTITUTE(Q40,"  "," ")))</f>
        <v>West</v>
      </c>
      <c r="S40" s="3" t="s">
        <v>84</v>
      </c>
      <c r="T40" s="6" t="str">
        <f>PROPER(TRIM(SUBSTITUTE(S40,"  "," ")))</f>
        <v>Madhya Pradesh</v>
      </c>
      <c r="U40" s="3" t="s">
        <v>85</v>
      </c>
      <c r="V40" s="6" t="str">
        <f>PROPER(TRIM(SUBSTITUTE(U40,"  "," ")))</f>
        <v>Indore</v>
      </c>
      <c r="W40" s="3" t="s">
        <v>86</v>
      </c>
      <c r="X40" s="6" t="str">
        <f>PROPER(TRIM(SUBSTITUTE(W40,"  "," ")))</f>
        <v>Technology</v>
      </c>
      <c r="Y40" s="3" t="s">
        <v>87</v>
      </c>
      <c r="Z40" s="6" t="str">
        <f>PROPER(TRIM(SUBSTITUTE(Y40,"  "," ")))</f>
        <v>Accessories</v>
      </c>
      <c r="AA40" s="3" t="s">
        <v>3593</v>
      </c>
      <c r="AB40" s="3" t="s">
        <v>33</v>
      </c>
      <c r="AC40" s="6" t="str">
        <f>PROPER(TRIM(SUBSTITUTE(AB40,"  "," ")))</f>
        <v>Second Class</v>
      </c>
      <c r="AD40" s="3">
        <v>4</v>
      </c>
      <c r="AE40" s="3">
        <v>1489.74</v>
      </c>
      <c r="AF40" s="3">
        <v>0.15</v>
      </c>
      <c r="AG40" s="17">
        <v>0.15</v>
      </c>
      <c r="AH40" s="6" t="str">
        <f t="shared" si="2"/>
        <v>Valid</v>
      </c>
      <c r="AI40" s="3">
        <v>5065.12</v>
      </c>
      <c r="AJ40" s="3">
        <v>3530.12</v>
      </c>
      <c r="AK40" s="3">
        <v>1535</v>
      </c>
      <c r="AL40" s="3" t="s">
        <v>200</v>
      </c>
      <c r="AM40" s="6" t="str">
        <f>PROPER(TRIM(SUBSTITUTE(AL40,".","")))</f>
        <v>Failed</v>
      </c>
      <c r="AN40" s="3" t="s">
        <v>78</v>
      </c>
      <c r="AO40" s="8" t="str">
        <f>PROPER(TRIM(SUBSTITUTE(AN40,".","")))</f>
        <v>Cancelled</v>
      </c>
      <c r="AP40" t="str">
        <f>IF(COUNTIF($A$2:$A$933, A40) &gt; 1, "Duplicate ID", "Unique")</f>
        <v>Unique</v>
      </c>
      <c r="AR40">
        <f t="shared" si="4"/>
        <v>5065.116</v>
      </c>
      <c r="AS40">
        <f t="shared" si="5"/>
        <v>1534.9960000000001</v>
      </c>
      <c r="AT40" s="15">
        <f t="shared" si="6"/>
        <v>0.30305248685321323</v>
      </c>
      <c r="AU40" t="str">
        <f t="shared" si="7"/>
        <v>Clean</v>
      </c>
      <c r="AV40" s="8" t="str">
        <f t="shared" si="8"/>
        <v>Cancelled</v>
      </c>
    </row>
    <row r="41" spans="1:48">
      <c r="A41" s="3" t="s">
        <v>3043</v>
      </c>
      <c r="B41" s="3" t="s">
        <v>3044</v>
      </c>
      <c r="C41" s="9">
        <f>IFERROR(DATEVALUE(TEXT(B41,"DD/MM/YYYY")), IF(ISNUMBER(B41), B41, ""))</f>
        <v>45327</v>
      </c>
      <c r="D41" s="9" t="str">
        <f>IF(B41="","Missing", IF(AND(ISNUMBER(B41)=FALSE, C41=""),"Invalid - Could Not Parse", IF(AND(ISNUMBER(B41)=FALSE, C41&lt;&gt;""),"Text - Converted to Date", IF(ISNUMBER(B41),"Valid","Check"))))</f>
        <v>Text - Converted to Date</v>
      </c>
      <c r="E41" s="5">
        <f t="shared" si="0"/>
        <v>2</v>
      </c>
      <c r="F41" s="5">
        <f t="shared" si="1"/>
        <v>2024</v>
      </c>
      <c r="G41" s="3" t="s">
        <v>3045</v>
      </c>
      <c r="H41" s="9">
        <f>IFERROR(DATEVALUE(TEXT(G41,"DD/MM/YYYY")), IF(ISNUMBER(G41), G41, ""))</f>
        <v>45335</v>
      </c>
      <c r="I41" s="9" t="str">
        <f>IF(G41="","Missing", IF(AND(ISNUMBER(G41)=FALSE, H41=""),"Invalid - Could Not Parse", IF(AND(ISNUMBER(G41)=FALSE, H41&lt;&gt;""),"Text - Converted to Date", IF(ISNUMBER(G41),"Valid","Check"))))</f>
        <v>Text - Converted to Date</v>
      </c>
      <c r="J41" s="9" t="str">
        <f>IF(OR(C41="", H41=""), "Cannot Check - Date Missing", IF(H41&lt;C41, "Invalid - Ship Before Order", "Valid"))</f>
        <v>Valid</v>
      </c>
      <c r="K41" s="5">
        <f>IF(OR(C41="", H41=""), "", IF(H41&lt;C41, "", H41-C41))</f>
        <v>8</v>
      </c>
      <c r="L41" s="3" t="s">
        <v>1096</v>
      </c>
      <c r="M41" s="3" t="s">
        <v>162</v>
      </c>
      <c r="N41" s="4" t="str">
        <f>TRIM(SUBSTITUTE(M41,"_"," "))</f>
        <v>Aarav Sharma</v>
      </c>
      <c r="O41" s="3" t="s">
        <v>115</v>
      </c>
      <c r="P41" s="6" t="str">
        <f>PROPER(TRIM(SUBSTITUTE(O41,".","")))</f>
        <v>Home Office</v>
      </c>
      <c r="Q41" s="3" t="s">
        <v>27</v>
      </c>
      <c r="R41" s="7" t="str">
        <f>PROPER(TRIM(SUBSTITUTE(Q41,"  "," ")))</f>
        <v>North</v>
      </c>
      <c r="S41" s="3" t="s">
        <v>174</v>
      </c>
      <c r="T41" s="6" t="str">
        <f>PROPER(TRIM(SUBSTITUTE(S41,"  "," ")))</f>
        <v>Uttar Pradesh</v>
      </c>
      <c r="U41" s="3" t="s">
        <v>175</v>
      </c>
      <c r="V41" s="6" t="str">
        <f>PROPER(TRIM(SUBSTITUTE(U41,"  "," ")))</f>
        <v>Noida</v>
      </c>
      <c r="W41" s="3" t="s">
        <v>30</v>
      </c>
      <c r="X41" s="6" t="str">
        <f>PROPER(TRIM(SUBSTITUTE(W41,"  "," ")))</f>
        <v>Office Supplies</v>
      </c>
      <c r="Y41" s="3" t="s">
        <v>109</v>
      </c>
      <c r="Z41" s="6" t="str">
        <f>PROPER(TRIM(SUBSTITUTE(Y41,"  "," ")))</f>
        <v>Labels</v>
      </c>
      <c r="AA41" s="3" t="s">
        <v>3046</v>
      </c>
      <c r="AB41" s="3" t="s">
        <v>67</v>
      </c>
      <c r="AC41" s="6" t="str">
        <f>PROPER(TRIM(SUBSTITUTE(AB41,"  "," ")))</f>
        <v>Standard Class</v>
      </c>
      <c r="AD41" s="3">
        <v>8</v>
      </c>
      <c r="AE41" s="3">
        <v>3871.18</v>
      </c>
      <c r="AF41" s="3">
        <v>0.15</v>
      </c>
      <c r="AG41" s="17">
        <v>0.15</v>
      </c>
      <c r="AH41" s="6" t="str">
        <f t="shared" si="2"/>
        <v>Valid</v>
      </c>
      <c r="AI41" s="3">
        <v>26324.02</v>
      </c>
      <c r="AJ41" s="3">
        <v>16277.96</v>
      </c>
      <c r="AK41" s="3">
        <v>10046.06</v>
      </c>
      <c r="AL41" s="3" t="s">
        <v>200</v>
      </c>
      <c r="AM41" s="6" t="str">
        <f>PROPER(TRIM(SUBSTITUTE(AL41,".","")))</f>
        <v>Failed</v>
      </c>
      <c r="AN41" s="3" t="s">
        <v>125</v>
      </c>
      <c r="AO41" s="8" t="str">
        <f>PROPER(TRIM(SUBSTITUTE(AN41,".","")))</f>
        <v>Returned</v>
      </c>
      <c r="AP41" t="str">
        <f>IF(COUNTIF($A$2:$A$933, A41) &gt; 1, "Duplicate ID", "Unique")</f>
        <v>Unique</v>
      </c>
      <c r="AR41">
        <f t="shared" si="4"/>
        <v>26324.023999999998</v>
      </c>
      <c r="AS41">
        <f t="shared" si="5"/>
        <v>10046.063999999998</v>
      </c>
      <c r="AT41" s="15">
        <f t="shared" si="6"/>
        <v>0.3816310150758106</v>
      </c>
      <c r="AU41" t="str">
        <f t="shared" si="7"/>
        <v>Clean</v>
      </c>
      <c r="AV41" s="8" t="str">
        <f t="shared" si="8"/>
        <v>Active</v>
      </c>
    </row>
    <row r="42" spans="1:48">
      <c r="A42" s="3" t="s">
        <v>3127</v>
      </c>
      <c r="B42" s="3" t="s">
        <v>1225</v>
      </c>
      <c r="C42" s="9">
        <f>IFERROR(DATEVALUE(TEXT(B42,"DD/MM/YYYY")), IF(ISNUMBER(B42), B42, ""))</f>
        <v>45327</v>
      </c>
      <c r="D42" s="9" t="str">
        <f>IF(B42="","Missing", IF(AND(ISNUMBER(B42)=FALSE, C42=""),"Invalid - Could Not Parse", IF(AND(ISNUMBER(B42)=FALSE, C42&lt;&gt;""),"Text - Converted to Date", IF(ISNUMBER(B42),"Valid","Check"))))</f>
        <v>Text - Converted to Date</v>
      </c>
      <c r="E42" s="5">
        <f t="shared" si="0"/>
        <v>2</v>
      </c>
      <c r="F42" s="5">
        <f t="shared" si="1"/>
        <v>2024</v>
      </c>
      <c r="G42" s="3" t="s">
        <v>2682</v>
      </c>
      <c r="H42" s="9">
        <f>IFERROR(DATEVALUE(TEXT(G42,"DD/MM/YYYY")), IF(ISNUMBER(G42), G42, ""))</f>
        <v>45420</v>
      </c>
      <c r="I42" s="9" t="str">
        <f>IF(G42="","Missing", IF(AND(ISNUMBER(G42)=FALSE, H42=""),"Invalid - Could Not Parse", IF(AND(ISNUMBER(G42)=FALSE, H42&lt;&gt;""),"Text - Converted to Date", IF(ISNUMBER(G42),"Valid","Check"))))</f>
        <v>Text - Converted to Date</v>
      </c>
      <c r="J42" s="9" t="str">
        <f>IF(OR(C42="", H42=""), "Cannot Check - Date Missing", IF(H42&lt;C42, "Invalid - Ship Before Order", "Valid"))</f>
        <v>Valid</v>
      </c>
      <c r="K42" s="5">
        <f>IF(OR(C42="", H42=""), "", IF(H42&lt;C42, "", H42-C42))</f>
        <v>93</v>
      </c>
      <c r="L42" s="3" t="s">
        <v>3128</v>
      </c>
      <c r="M42" s="3" t="s">
        <v>148</v>
      </c>
      <c r="N42" s="4" t="str">
        <f>TRIM(SUBSTITUTE(M42,"_"," "))</f>
        <v>Rahul Verma</v>
      </c>
      <c r="O42" s="3" t="s">
        <v>115</v>
      </c>
      <c r="P42" s="6" t="str">
        <f>PROPER(TRIM(SUBSTITUTE(O42,".","")))</f>
        <v>Home Office</v>
      </c>
      <c r="Q42" s="3" t="s">
        <v>42</v>
      </c>
      <c r="R42" s="7" t="str">
        <f>PROPER(TRIM(SUBSTITUTE(Q42,"  "," ")))</f>
        <v>East</v>
      </c>
      <c r="S42" s="3" t="s">
        <v>311</v>
      </c>
      <c r="T42" s="6" t="str">
        <f>PROPER(TRIM(SUBSTITUTE(S42,"  "," ")))</f>
        <v>Jharkhand</v>
      </c>
      <c r="U42" s="3" t="s">
        <v>312</v>
      </c>
      <c r="V42" s="6" t="str">
        <f>PROPER(TRIM(SUBSTITUTE(U42,"  "," ")))</f>
        <v>Ranchi</v>
      </c>
      <c r="W42" s="3" t="s">
        <v>86</v>
      </c>
      <c r="X42" s="6" t="str">
        <f>PROPER(TRIM(SUBSTITUTE(W42,"  "," ")))</f>
        <v>Technology</v>
      </c>
      <c r="Y42" s="3" t="s">
        <v>94</v>
      </c>
      <c r="Z42" s="6" t="str">
        <f>PROPER(TRIM(SUBSTITUTE(Y42,"  "," ")))</f>
        <v>Copiers</v>
      </c>
      <c r="AA42" s="3" t="s">
        <v>3129</v>
      </c>
      <c r="AB42" s="3" t="s">
        <v>33</v>
      </c>
      <c r="AC42" s="6" t="str">
        <f>PROPER(TRIM(SUBSTITUTE(AB42,"  "," ")))</f>
        <v>Second Class</v>
      </c>
      <c r="AD42" s="3">
        <v>2</v>
      </c>
      <c r="AE42" s="3">
        <v>3185.01</v>
      </c>
      <c r="AF42" s="3">
        <v>-0.24</v>
      </c>
      <c r="AG42" s="17">
        <v>-0.24</v>
      </c>
      <c r="AH42" s="6" t="str">
        <f t="shared" si="2"/>
        <v>Invalid - Negative</v>
      </c>
      <c r="AI42" s="3">
        <v>4777.5200000000004</v>
      </c>
      <c r="AJ42" s="3">
        <v>3152.98</v>
      </c>
      <c r="AK42" s="3">
        <v>1624.54</v>
      </c>
      <c r="AL42" s="3" t="s">
        <v>34</v>
      </c>
      <c r="AM42" s="6" t="str">
        <f>PROPER(TRIM(SUBSTITUTE(AL42,".","")))</f>
        <v>Paid</v>
      </c>
      <c r="AN42" s="3" t="s">
        <v>35</v>
      </c>
      <c r="AO42" s="8" t="str">
        <f>PROPER(TRIM(SUBSTITUTE(AN42,".","")))</f>
        <v>Completed</v>
      </c>
      <c r="AP42" t="str">
        <f>IF(COUNTIF($A$2:$A$933, A42) &gt; 1, "Duplicate ID", "Unique")</f>
        <v>Unique</v>
      </c>
      <c r="AR42">
        <f t="shared" si="4"/>
        <v>7898.8248000000003</v>
      </c>
      <c r="AS42">
        <f t="shared" si="5"/>
        <v>4745.8448000000008</v>
      </c>
      <c r="AT42" s="15">
        <f t="shared" si="6"/>
        <v>0.60082922715287979</v>
      </c>
      <c r="AU42" t="str">
        <f t="shared" si="7"/>
        <v>Invalid</v>
      </c>
      <c r="AV42" s="8" t="str">
        <f t="shared" si="8"/>
        <v>Active</v>
      </c>
    </row>
    <row r="43" spans="1:48">
      <c r="A43" s="3" t="s">
        <v>3924</v>
      </c>
      <c r="B43" s="3" t="s">
        <v>1225</v>
      </c>
      <c r="C43" s="9">
        <f>IFERROR(DATEVALUE(TEXT(B43,"DD/MM/YYYY")), IF(ISNUMBER(B43), B43, ""))</f>
        <v>45327</v>
      </c>
      <c r="D43" s="9" t="str">
        <f>IF(B43="","Missing", IF(AND(ISNUMBER(B43)=FALSE, C43=""),"Invalid - Could Not Parse", IF(AND(ISNUMBER(B43)=FALSE, C43&lt;&gt;""),"Text - Converted to Date", IF(ISNUMBER(B43),"Valid","Check"))))</f>
        <v>Text - Converted to Date</v>
      </c>
      <c r="E43" s="5">
        <f t="shared" si="0"/>
        <v>2</v>
      </c>
      <c r="F43" s="5">
        <f t="shared" si="1"/>
        <v>2024</v>
      </c>
      <c r="G43" s="3" t="s">
        <v>1294</v>
      </c>
      <c r="H43" s="9">
        <f>IFERROR(DATEVALUE(TEXT(G43,"DD/MM/YYYY")), IF(ISNUMBER(G43), G43, ""))</f>
        <v>45421</v>
      </c>
      <c r="I43" s="9" t="str">
        <f>IF(G43="","Missing", IF(AND(ISNUMBER(G43)=FALSE, H43=""),"Invalid - Could Not Parse", IF(AND(ISNUMBER(G43)=FALSE, H43&lt;&gt;""),"Text - Converted to Date", IF(ISNUMBER(G43),"Valid","Check"))))</f>
        <v>Text - Converted to Date</v>
      </c>
      <c r="J43" s="9" t="str">
        <f>IF(OR(C43="", H43=""), "Cannot Check - Date Missing", IF(H43&lt;C43, "Invalid - Ship Before Order", "Valid"))</f>
        <v>Valid</v>
      </c>
      <c r="K43" s="5">
        <f>IF(OR(C43="", H43=""), "", IF(H43&lt;C43, "", H43-C43))</f>
        <v>94</v>
      </c>
      <c r="L43" s="3" t="s">
        <v>3925</v>
      </c>
      <c r="M43" s="3" t="s">
        <v>61</v>
      </c>
      <c r="N43" s="4" t="str">
        <f>TRIM(SUBSTITUTE(M43,"_"," "))</f>
        <v>Arjun Bose</v>
      </c>
      <c r="O43" s="3" t="s">
        <v>26</v>
      </c>
      <c r="P43" s="6" t="str">
        <f>PROPER(TRIM(SUBSTITUTE(O43,".","")))</f>
        <v>Consumer</v>
      </c>
      <c r="Q43" s="3" t="s">
        <v>42</v>
      </c>
      <c r="R43" s="7" t="str">
        <f>PROPER(TRIM(SUBSTITUTE(Q43,"  "," ")))</f>
        <v>East</v>
      </c>
      <c r="S43" s="3" t="s">
        <v>43</v>
      </c>
      <c r="T43" s="6" t="str">
        <f>PROPER(TRIM(SUBSTITUTE(S43,"  "," ")))</f>
        <v>Odisha</v>
      </c>
      <c r="U43" s="3" t="s">
        <v>44</v>
      </c>
      <c r="V43" s="6" t="str">
        <f>PROPER(TRIM(SUBSTITUTE(U43,"  "," ")))</f>
        <v>Bhubaneswar</v>
      </c>
      <c r="W43" s="3" t="s">
        <v>86</v>
      </c>
      <c r="X43" s="6" t="str">
        <f>PROPER(TRIM(SUBSTITUTE(W43,"  "," ")))</f>
        <v>Technology</v>
      </c>
      <c r="Y43" s="3" t="s">
        <v>87</v>
      </c>
      <c r="Z43" s="6" t="str">
        <f>PROPER(TRIM(SUBSTITUTE(Y43,"  "," ")))</f>
        <v>Accessories</v>
      </c>
      <c r="AA43" s="3" t="s">
        <v>3926</v>
      </c>
      <c r="AB43" s="3" t="s">
        <v>33</v>
      </c>
      <c r="AC43" s="6" t="str">
        <f>PROPER(TRIM(SUBSTITUTE(AB43,"  "," ")))</f>
        <v>Second Class</v>
      </c>
      <c r="AD43" s="3">
        <v>4</v>
      </c>
      <c r="AE43" s="3">
        <v>2904.86</v>
      </c>
      <c r="AF43" s="3">
        <v>0</v>
      </c>
      <c r="AG43" s="17">
        <v>0</v>
      </c>
      <c r="AH43" s="6" t="str">
        <f t="shared" si="2"/>
        <v>Valid</v>
      </c>
      <c r="AI43" s="3">
        <v>11619.44</v>
      </c>
      <c r="AJ43" s="3">
        <v>7184.32</v>
      </c>
      <c r="AK43" s="3">
        <v>4494.6400000000003</v>
      </c>
      <c r="AL43" s="3" t="s">
        <v>34</v>
      </c>
      <c r="AM43" s="6" t="str">
        <f>PROPER(TRIM(SUBSTITUTE(AL43,".","")))</f>
        <v>Paid</v>
      </c>
      <c r="AN43" s="3" t="s">
        <v>35</v>
      </c>
      <c r="AO43" s="8" t="str">
        <f>PROPER(TRIM(SUBSTITUTE(AN43,".","")))</f>
        <v>Completed</v>
      </c>
      <c r="AP43" t="str">
        <f>IF(COUNTIF($A$2:$A$933, A43) &gt; 1, "Duplicate ID", "Unique")</f>
        <v>Unique</v>
      </c>
      <c r="AR43">
        <f t="shared" si="4"/>
        <v>11619.44</v>
      </c>
      <c r="AS43">
        <f t="shared" si="5"/>
        <v>4435.1200000000008</v>
      </c>
      <c r="AT43" s="15">
        <f t="shared" si="6"/>
        <v>0.3816982574031107</v>
      </c>
      <c r="AU43" t="str">
        <f t="shared" si="7"/>
        <v>Clean</v>
      </c>
      <c r="AV43" s="8" t="str">
        <f t="shared" si="8"/>
        <v>Active</v>
      </c>
    </row>
    <row r="44" spans="1:48">
      <c r="A44" s="3" t="s">
        <v>1302</v>
      </c>
      <c r="B44" s="3" t="s">
        <v>1303</v>
      </c>
      <c r="C44" s="9">
        <f>IFERROR(DATEVALUE(TEXT(B44,"DD/MM/YYYY")), IF(ISNUMBER(B44), B44, ""))</f>
        <v>45328</v>
      </c>
      <c r="D44" s="9" t="str">
        <f>IF(B44="","Missing", IF(AND(ISNUMBER(B44)=FALSE, C44=""),"Invalid - Could Not Parse", IF(AND(ISNUMBER(B44)=FALSE, C44&lt;&gt;""),"Text - Converted to Date", IF(ISNUMBER(B44),"Valid","Check"))))</f>
        <v>Text - Converted to Date</v>
      </c>
      <c r="E44" s="5">
        <f t="shared" si="0"/>
        <v>2</v>
      </c>
      <c r="F44" s="5">
        <f t="shared" si="1"/>
        <v>2024</v>
      </c>
      <c r="G44" s="3" t="s">
        <v>578</v>
      </c>
      <c r="H44" s="9">
        <f>IFERROR(DATEVALUE(TEXT(G44,"DD/MM/YYYY")), IF(ISNUMBER(G44), G44, ""))</f>
        <v>45450</v>
      </c>
      <c r="I44" s="9" t="str">
        <f>IF(G44="","Missing", IF(AND(ISNUMBER(G44)=FALSE, H44=""),"Invalid - Could Not Parse", IF(AND(ISNUMBER(G44)=FALSE, H44&lt;&gt;""),"Text - Converted to Date", IF(ISNUMBER(G44),"Valid","Check"))))</f>
        <v>Text - Converted to Date</v>
      </c>
      <c r="J44" s="9" t="str">
        <f>IF(OR(C44="", H44=""), "Cannot Check - Date Missing", IF(H44&lt;C44, "Invalid - Ship Before Order", "Valid"))</f>
        <v>Valid</v>
      </c>
      <c r="K44" s="5">
        <f>IF(OR(C44="", H44=""), "", IF(H44&lt;C44, "", H44-C44))</f>
        <v>122</v>
      </c>
      <c r="L44" s="3" t="s">
        <v>1304</v>
      </c>
      <c r="M44" s="3" t="s">
        <v>180</v>
      </c>
      <c r="N44" s="4" t="str">
        <f>TRIM(SUBSTITUTE(M44,"_"," "))</f>
        <v>Rohan Mehta</v>
      </c>
      <c r="O44" s="3" t="s">
        <v>115</v>
      </c>
      <c r="P44" s="6" t="str">
        <f>PROPER(TRIM(SUBSTITUTE(O44,".","")))</f>
        <v>Home Office</v>
      </c>
      <c r="Q44" s="3" t="s">
        <v>42</v>
      </c>
      <c r="R44" s="7" t="str">
        <f>PROPER(TRIM(SUBSTITUTE(Q44,"  "," ")))</f>
        <v>East</v>
      </c>
      <c r="S44" s="3" t="s">
        <v>43</v>
      </c>
      <c r="T44" s="6" t="str">
        <f>PROPER(TRIM(SUBSTITUTE(S44,"  "," ")))</f>
        <v>Odisha</v>
      </c>
      <c r="U44" s="3" t="s">
        <v>44</v>
      </c>
      <c r="V44" s="6" t="str">
        <f>PROPER(TRIM(SUBSTITUTE(U44,"  "," ")))</f>
        <v>Bhubaneswar</v>
      </c>
      <c r="W44" s="3" t="s">
        <v>30</v>
      </c>
      <c r="X44" s="6" t="str">
        <f>PROPER(TRIM(SUBSTITUTE(W44,"  "," ")))</f>
        <v>Office Supplies</v>
      </c>
      <c r="Y44" s="3" t="s">
        <v>109</v>
      </c>
      <c r="Z44" s="6" t="str">
        <f>PROPER(TRIM(SUBSTITUTE(Y44,"  "," ")))</f>
        <v>Labels</v>
      </c>
      <c r="AA44" s="3" t="s">
        <v>1305</v>
      </c>
      <c r="AB44" s="3" t="s">
        <v>33</v>
      </c>
      <c r="AC44" s="6" t="str">
        <f>PROPER(TRIM(SUBSTITUTE(AB44,"  "," ")))</f>
        <v>Second Class</v>
      </c>
      <c r="AD44" s="3">
        <v>9</v>
      </c>
      <c r="AE44" s="3">
        <v>787.91</v>
      </c>
      <c r="AF44" s="3">
        <v>0.15</v>
      </c>
      <c r="AG44" s="17">
        <v>0.15</v>
      </c>
      <c r="AH44" s="6" t="str">
        <f t="shared" si="2"/>
        <v>Valid</v>
      </c>
      <c r="AI44" s="3">
        <v>6027.51</v>
      </c>
      <c r="AJ44" s="3">
        <v>4883.82</v>
      </c>
      <c r="AK44" s="3">
        <v>1143.69</v>
      </c>
      <c r="AL44" s="3" t="s">
        <v>34</v>
      </c>
      <c r="AM44" s="6" t="str">
        <f>PROPER(TRIM(SUBSTITUTE(AL44,".","")))</f>
        <v>Paid</v>
      </c>
      <c r="AN44" s="3" t="s">
        <v>35</v>
      </c>
      <c r="AO44" s="8" t="str">
        <f>PROPER(TRIM(SUBSTITUTE(AN44,".","")))</f>
        <v>Completed</v>
      </c>
      <c r="AP44" t="str">
        <f>IF(COUNTIF($A$2:$A$933, A44) &gt; 1, "Duplicate ID", "Unique")</f>
        <v>Unique</v>
      </c>
      <c r="AR44">
        <f t="shared" si="4"/>
        <v>6027.5114999999996</v>
      </c>
      <c r="AS44">
        <f t="shared" si="5"/>
        <v>1143.6914999999999</v>
      </c>
      <c r="AT44" s="15">
        <f t="shared" si="6"/>
        <v>0.18974522072666306</v>
      </c>
      <c r="AU44" t="str">
        <f t="shared" si="7"/>
        <v>Clean</v>
      </c>
      <c r="AV44" s="8" t="str">
        <f t="shared" si="8"/>
        <v>Active</v>
      </c>
    </row>
    <row r="45" spans="1:48">
      <c r="A45" s="3" t="s">
        <v>1753</v>
      </c>
      <c r="B45" s="3" t="s">
        <v>1303</v>
      </c>
      <c r="C45" s="9">
        <f>IFERROR(DATEVALUE(TEXT(B45,"DD/MM/YYYY")), IF(ISNUMBER(B45), B45, ""))</f>
        <v>45328</v>
      </c>
      <c r="D45" s="9" t="str">
        <f>IF(B45="","Missing", IF(AND(ISNUMBER(B45)=FALSE, C45=""),"Invalid - Could Not Parse", IF(AND(ISNUMBER(B45)=FALSE, C45&lt;&gt;""),"Text - Converted to Date", IF(ISNUMBER(B45),"Valid","Check"))))</f>
        <v>Text - Converted to Date</v>
      </c>
      <c r="E45" s="5">
        <f t="shared" si="0"/>
        <v>2</v>
      </c>
      <c r="F45" s="5">
        <f t="shared" si="1"/>
        <v>2024</v>
      </c>
      <c r="G45" s="3" t="s">
        <v>1754</v>
      </c>
      <c r="H45" s="9">
        <f>IFERROR(DATEVALUE(TEXT(G45,"DD/MM/YYYY")), IF(ISNUMBER(G45), G45, ""))</f>
        <v>45479</v>
      </c>
      <c r="I45" s="9" t="str">
        <f>IF(G45="","Missing", IF(AND(ISNUMBER(G45)=FALSE, H45=""),"Invalid - Could Not Parse", IF(AND(ISNUMBER(G45)=FALSE, H45&lt;&gt;""),"Text - Converted to Date", IF(ISNUMBER(G45),"Valid","Check"))))</f>
        <v>Text - Converted to Date</v>
      </c>
      <c r="J45" s="9" t="str">
        <f>IF(OR(C45="", H45=""), "Cannot Check - Date Missing", IF(H45&lt;C45, "Invalid - Ship Before Order", "Valid"))</f>
        <v>Valid</v>
      </c>
      <c r="K45" s="5">
        <f>IF(OR(C45="", H45=""), "", IF(H45&lt;C45, "", H45-C45))</f>
        <v>151</v>
      </c>
      <c r="L45" s="3" t="s">
        <v>1755</v>
      </c>
      <c r="M45" s="3" t="s">
        <v>162</v>
      </c>
      <c r="N45" s="4" t="str">
        <f>TRIM(SUBSTITUTE(M45,"_"," "))</f>
        <v>Aarav Sharma</v>
      </c>
      <c r="O45" s="3" t="s">
        <v>108</v>
      </c>
      <c r="P45" s="6" t="str">
        <f>PROPER(TRIM(SUBSTITUTE(O45,".","")))</f>
        <v>Corporate</v>
      </c>
      <c r="Q45" s="3" t="s">
        <v>62</v>
      </c>
      <c r="R45" s="7" t="str">
        <f>PROPER(TRIM(SUBSTITUTE(Q45,"  "," ")))</f>
        <v>South</v>
      </c>
      <c r="S45" s="3" t="s">
        <v>229</v>
      </c>
      <c r="T45" s="6" t="str">
        <f>PROPER(TRIM(SUBSTITUTE(S45,"  "," ")))</f>
        <v>Karnataka</v>
      </c>
      <c r="U45" s="3" t="s">
        <v>230</v>
      </c>
      <c r="V45" s="6" t="str">
        <f>PROPER(TRIM(SUBSTITUTE(U45,"  "," ")))</f>
        <v>Bengaluru</v>
      </c>
      <c r="W45" s="3" t="s">
        <v>86</v>
      </c>
      <c r="X45" s="6" t="str">
        <f>PROPER(TRIM(SUBSTITUTE(W45,"  "," ")))</f>
        <v>Technology</v>
      </c>
      <c r="Y45" s="3" t="s">
        <v>223</v>
      </c>
      <c r="Z45" s="6" t="str">
        <f>PROPER(TRIM(SUBSTITUTE(Y45,"  "," ")))</f>
        <v>Phones</v>
      </c>
      <c r="AA45" s="3" t="s">
        <v>1756</v>
      </c>
      <c r="AB45" s="3" t="s">
        <v>48</v>
      </c>
      <c r="AC45" s="6" t="str">
        <f>PROPER(TRIM(SUBSTITUTE(AB45,"  "," ")))</f>
        <v>Same Day</v>
      </c>
      <c r="AD45" s="3">
        <v>9</v>
      </c>
      <c r="AE45" s="3">
        <v>2860.26</v>
      </c>
      <c r="AF45" s="3">
        <v>0.25</v>
      </c>
      <c r="AG45" s="17">
        <v>0.25</v>
      </c>
      <c r="AH45" s="6" t="str">
        <f t="shared" si="2"/>
        <v>Valid</v>
      </c>
      <c r="AI45" s="3">
        <v>19306.759999999998</v>
      </c>
      <c r="AJ45" s="3">
        <v>14442.38</v>
      </c>
      <c r="AK45" s="3">
        <v>4864.38</v>
      </c>
      <c r="AL45" s="3" t="s">
        <v>34</v>
      </c>
      <c r="AM45" s="6" t="str">
        <f>PROPER(TRIM(SUBSTITUTE(AL45,".","")))</f>
        <v>Paid</v>
      </c>
      <c r="AN45" s="3" t="s">
        <v>35</v>
      </c>
      <c r="AO45" s="8" t="str">
        <f>PROPER(TRIM(SUBSTITUTE(AN45,".","")))</f>
        <v>Completed</v>
      </c>
      <c r="AP45" t="str">
        <f>IF(COUNTIF($A$2:$A$933, A45) &gt; 1, "Duplicate ID", "Unique")</f>
        <v>Unique</v>
      </c>
      <c r="AR45">
        <f t="shared" si="4"/>
        <v>19306.755000000005</v>
      </c>
      <c r="AS45">
        <f t="shared" si="5"/>
        <v>4864.3750000000055</v>
      </c>
      <c r="AT45" s="15">
        <f t="shared" si="6"/>
        <v>0.25195197225012717</v>
      </c>
      <c r="AU45" t="str">
        <f t="shared" si="7"/>
        <v>Clean</v>
      </c>
      <c r="AV45" s="8" t="str">
        <f t="shared" si="8"/>
        <v>Active</v>
      </c>
    </row>
    <row r="46" spans="1:48">
      <c r="A46" s="3" t="s">
        <v>2561</v>
      </c>
      <c r="B46" s="3" t="s">
        <v>2280</v>
      </c>
      <c r="C46" s="9">
        <f>IFERROR(DATEVALUE(TEXT(B46,"DD/MM/YYYY")), IF(ISNUMBER(B46), B46, ""))</f>
        <v>45328</v>
      </c>
      <c r="D46" s="9" t="str">
        <f>IF(B46="","Missing", IF(AND(ISNUMBER(B46)=FALSE, C46=""),"Invalid - Could Not Parse", IF(AND(ISNUMBER(B46)=FALSE, C46&lt;&gt;""),"Text - Converted to Date", IF(ISNUMBER(B46),"Valid","Check"))))</f>
        <v>Text - Converted to Date</v>
      </c>
      <c r="E46" s="5">
        <f t="shared" si="0"/>
        <v>2</v>
      </c>
      <c r="F46" s="5">
        <f t="shared" si="1"/>
        <v>2024</v>
      </c>
      <c r="G46" s="3" t="s">
        <v>2562</v>
      </c>
      <c r="H46" s="9">
        <f>IFERROR(DATEVALUE(TEXT(G46,"DD/MM/YYYY")), IF(ISNUMBER(G46), G46, ""))</f>
        <v>45330</v>
      </c>
      <c r="I46" s="9" t="str">
        <f>IF(G46="","Missing", IF(AND(ISNUMBER(G46)=FALSE, H46=""),"Invalid - Could Not Parse", IF(AND(ISNUMBER(G46)=FALSE, H46&lt;&gt;""),"Text - Converted to Date", IF(ISNUMBER(G46),"Valid","Check"))))</f>
        <v>Text - Converted to Date</v>
      </c>
      <c r="J46" s="9" t="str">
        <f>IF(OR(C46="", H46=""), "Cannot Check - Date Missing", IF(H46&lt;C46, "Invalid - Ship Before Order", "Valid"))</f>
        <v>Valid</v>
      </c>
      <c r="K46" s="5">
        <f>IF(OR(C46="", H46=""), "", IF(H46&lt;C46, "", H46-C46))</f>
        <v>2</v>
      </c>
      <c r="L46" s="3" t="s">
        <v>1110</v>
      </c>
      <c r="M46" s="3" t="s">
        <v>25</v>
      </c>
      <c r="N46" s="4" t="str">
        <f>TRIM(SUBSTITUTE(M46,"_"," "))</f>
        <v>Karan Malhotra</v>
      </c>
      <c r="O46" s="3" t="s">
        <v>26</v>
      </c>
      <c r="P46" s="6" t="str">
        <f>PROPER(TRIM(SUBSTITUTE(O46,".","")))</f>
        <v>Consumer</v>
      </c>
      <c r="Q46" s="3" t="s">
        <v>42</v>
      </c>
      <c r="R46" s="7" t="str">
        <f>PROPER(TRIM(SUBSTITUTE(Q46,"  "," ")))</f>
        <v>East</v>
      </c>
      <c r="S46" s="3" t="s">
        <v>311</v>
      </c>
      <c r="T46" s="6" t="str">
        <f>PROPER(TRIM(SUBSTITUTE(S46,"  "," ")))</f>
        <v>Jharkhand</v>
      </c>
      <c r="U46" s="3" t="s">
        <v>312</v>
      </c>
      <c r="V46" s="6" t="str">
        <f>PROPER(TRIM(SUBSTITUTE(U46,"  "," ")))</f>
        <v>Ranchi</v>
      </c>
      <c r="W46" s="3" t="s">
        <v>45</v>
      </c>
      <c r="X46" s="6" t="str">
        <f>PROPER(TRIM(SUBSTITUTE(W46,"  "," ")))</f>
        <v>Furniture</v>
      </c>
      <c r="Y46" s="3" t="s">
        <v>204</v>
      </c>
      <c r="Z46" s="6" t="str">
        <f>PROPER(TRIM(SUBSTITUTE(Y46,"  "," ")))</f>
        <v>Bookcases</v>
      </c>
      <c r="AA46" s="3" t="s">
        <v>2563</v>
      </c>
      <c r="AB46" s="3" t="s">
        <v>33</v>
      </c>
      <c r="AC46" s="6" t="str">
        <f>PROPER(TRIM(SUBSTITUTE(AB46,"  "," ")))</f>
        <v>Second Class</v>
      </c>
      <c r="AD46" s="3">
        <v>9</v>
      </c>
      <c r="AE46" s="3">
        <v>1822.25</v>
      </c>
      <c r="AF46" s="3">
        <v>0</v>
      </c>
      <c r="AG46" s="17">
        <v>0</v>
      </c>
      <c r="AH46" s="6" t="str">
        <f t="shared" si="2"/>
        <v>Valid</v>
      </c>
      <c r="AI46" s="3">
        <v>16400.25</v>
      </c>
      <c r="AJ46" s="3">
        <v>12146.96</v>
      </c>
      <c r="AK46" s="3">
        <v>4253.29</v>
      </c>
      <c r="AL46" s="3" t="s">
        <v>34</v>
      </c>
      <c r="AM46" s="6" t="str">
        <f>PROPER(TRIM(SUBSTITUTE(AL46,".","")))</f>
        <v>Paid</v>
      </c>
      <c r="AN46" s="3" t="s">
        <v>35</v>
      </c>
      <c r="AO46" s="8" t="str">
        <f>PROPER(TRIM(SUBSTITUTE(AN46,".","")))</f>
        <v>Completed</v>
      </c>
      <c r="AP46" t="str">
        <f>IF(COUNTIF($A$2:$A$933, A46) &gt; 1, "Duplicate ID", "Unique")</f>
        <v>Unique</v>
      </c>
      <c r="AR46">
        <f t="shared" si="4"/>
        <v>16400.25</v>
      </c>
      <c r="AS46">
        <f t="shared" si="5"/>
        <v>4253.2900000000009</v>
      </c>
      <c r="AT46" s="15">
        <f t="shared" si="6"/>
        <v>0.25934299782015524</v>
      </c>
      <c r="AU46" t="str">
        <f t="shared" si="7"/>
        <v>Clean</v>
      </c>
      <c r="AV46" s="8" t="str">
        <f t="shared" si="8"/>
        <v>Active</v>
      </c>
    </row>
    <row r="47" spans="1:48">
      <c r="A47" s="3" t="s">
        <v>2723</v>
      </c>
      <c r="B47" s="3" t="s">
        <v>2724</v>
      </c>
      <c r="C47" s="9">
        <f>IFERROR(DATEVALUE(TEXT(B47,"DD/MM/YYYY")), IF(ISNUMBER(B47), B47, ""))</f>
        <v>45328</v>
      </c>
      <c r="D47" s="9" t="str">
        <f>IF(B47="","Missing", IF(AND(ISNUMBER(B47)=FALSE, C47=""),"Invalid - Could Not Parse", IF(AND(ISNUMBER(B47)=FALSE, C47&lt;&gt;""),"Text - Converted to Date", IF(ISNUMBER(B47),"Valid","Check"))))</f>
        <v>Text - Converted to Date</v>
      </c>
      <c r="E47" s="5">
        <f t="shared" si="0"/>
        <v>2</v>
      </c>
      <c r="F47" s="5">
        <f t="shared" si="1"/>
        <v>2024</v>
      </c>
      <c r="G47" s="3" t="s">
        <v>2725</v>
      </c>
      <c r="H47" s="9">
        <f>IFERROR(DATEVALUE(TEXT(G47,"DD/MM/YYYY")), IF(ISNUMBER(G47), G47, ""))</f>
        <v>45332</v>
      </c>
      <c r="I47" s="9" t="str">
        <f>IF(G47="","Missing", IF(AND(ISNUMBER(G47)=FALSE, H47=""),"Invalid - Could Not Parse", IF(AND(ISNUMBER(G47)=FALSE, H47&lt;&gt;""),"Text - Converted to Date", IF(ISNUMBER(G47),"Valid","Check"))))</f>
        <v>Text - Converted to Date</v>
      </c>
      <c r="J47" s="9" t="str">
        <f>IF(OR(C47="", H47=""), "Cannot Check - Date Missing", IF(H47&lt;C47, "Invalid - Ship Before Order", "Valid"))</f>
        <v>Valid</v>
      </c>
      <c r="K47" s="5">
        <f>IF(OR(C47="", H47=""), "", IF(H47&lt;C47, "", H47-C47))</f>
        <v>4</v>
      </c>
      <c r="L47" s="3" t="s">
        <v>2726</v>
      </c>
      <c r="M47" s="3" t="s">
        <v>61</v>
      </c>
      <c r="N47" s="4" t="str">
        <f>TRIM(SUBSTITUTE(M47,"_"," "))</f>
        <v>Arjun Bose</v>
      </c>
      <c r="O47" s="3" t="s">
        <v>115</v>
      </c>
      <c r="P47" s="6" t="str">
        <f>PROPER(TRIM(SUBSTITUTE(O47,".","")))</f>
        <v>Home Office</v>
      </c>
      <c r="Q47" s="3" t="s">
        <v>27</v>
      </c>
      <c r="R47" s="7" t="str">
        <f>PROPER(TRIM(SUBSTITUTE(Q47,"  "," ")))</f>
        <v>North</v>
      </c>
      <c r="S47" s="3" t="s">
        <v>174</v>
      </c>
      <c r="T47" s="6" t="str">
        <f>PROPER(TRIM(SUBSTITUTE(S47,"  "," ")))</f>
        <v>Uttar Pradesh</v>
      </c>
      <c r="U47" s="3" t="s">
        <v>175</v>
      </c>
      <c r="V47" s="6" t="str">
        <f>PROPER(TRIM(SUBSTITUTE(U47,"  "," ")))</f>
        <v>Noida</v>
      </c>
      <c r="W47" s="3" t="s">
        <v>45</v>
      </c>
      <c r="X47" s="6" t="str">
        <f>PROPER(TRIM(SUBSTITUTE(W47,"  "," ")))</f>
        <v>Furniture</v>
      </c>
      <c r="Y47" s="3" t="s">
        <v>65</v>
      </c>
      <c r="Z47" s="6" t="str">
        <f>PROPER(TRIM(SUBSTITUTE(Y47,"  "," ")))</f>
        <v>Furnishings</v>
      </c>
      <c r="AA47" s="3" t="s">
        <v>900</v>
      </c>
      <c r="AB47" s="3" t="s">
        <v>48</v>
      </c>
      <c r="AC47" s="6" t="str">
        <f>PROPER(TRIM(SUBSTITUTE(AB47,"  "," ")))</f>
        <v>Same Day</v>
      </c>
      <c r="AD47" s="3">
        <v>1</v>
      </c>
      <c r="AE47" s="3">
        <v>1374.06</v>
      </c>
      <c r="AF47" s="3">
        <v>0.05</v>
      </c>
      <c r="AG47" s="17">
        <v>0.05</v>
      </c>
      <c r="AH47" s="6" t="str">
        <f t="shared" si="2"/>
        <v>Valid</v>
      </c>
      <c r="AI47" s="3">
        <v>1305.3599999999999</v>
      </c>
      <c r="AJ47" s="3">
        <v>731.89</v>
      </c>
      <c r="AK47" s="3">
        <v>573.47</v>
      </c>
      <c r="AL47" s="3" t="s">
        <v>34</v>
      </c>
      <c r="AM47" s="6" t="str">
        <f>PROPER(TRIM(SUBSTITUTE(AL47,".","")))</f>
        <v>Paid</v>
      </c>
      <c r="AN47" s="3" t="s">
        <v>35</v>
      </c>
      <c r="AO47" s="8" t="str">
        <f>PROPER(TRIM(SUBSTITUTE(AN47,".","")))</f>
        <v>Completed</v>
      </c>
      <c r="AP47" t="str">
        <f>IF(COUNTIF($A$2:$A$933, A47) &gt; 1, "Duplicate ID", "Unique")</f>
        <v>Unique</v>
      </c>
      <c r="AR47">
        <f t="shared" si="4"/>
        <v>1305.357</v>
      </c>
      <c r="AS47">
        <f t="shared" si="5"/>
        <v>573.46699999999998</v>
      </c>
      <c r="AT47" s="15">
        <f t="shared" si="6"/>
        <v>0.4393181328939133</v>
      </c>
      <c r="AU47" t="str">
        <f t="shared" si="7"/>
        <v>Clean</v>
      </c>
      <c r="AV47" s="8" t="str">
        <f t="shared" si="8"/>
        <v>Active</v>
      </c>
    </row>
    <row r="48" spans="1:48">
      <c r="A48" s="3" t="s">
        <v>389</v>
      </c>
      <c r="B48" s="3" t="s">
        <v>390</v>
      </c>
      <c r="C48" s="9">
        <f>IFERROR(DATEVALUE(TEXT(B48,"DD/MM/YYYY")), IF(ISNUMBER(B48), B48, ""))</f>
        <v>45329</v>
      </c>
      <c r="D48" s="9" t="str">
        <f>IF(B48="","Missing", IF(AND(ISNUMBER(B48)=FALSE, C48=""),"Invalid - Could Not Parse", IF(AND(ISNUMBER(B48)=FALSE, C48&lt;&gt;""),"Text - Converted to Date", IF(ISNUMBER(B48),"Valid","Check"))))</f>
        <v>Text - Converted to Date</v>
      </c>
      <c r="E48" s="5">
        <f t="shared" si="0"/>
        <v>2</v>
      </c>
      <c r="F48" s="5">
        <f t="shared" si="1"/>
        <v>2024</v>
      </c>
      <c r="G48" s="3" t="s">
        <v>391</v>
      </c>
      <c r="H48" s="9">
        <f>IFERROR(DATEVALUE(TEXT(G48,"DD/MM/YYYY")), IF(ISNUMBER(G48), G48, ""))</f>
        <v>45337</v>
      </c>
      <c r="I48" s="9" t="str">
        <f>IF(G48="","Missing", IF(AND(ISNUMBER(G48)=FALSE, H48=""),"Invalid - Could Not Parse", IF(AND(ISNUMBER(G48)=FALSE, H48&lt;&gt;""),"Text - Converted to Date", IF(ISNUMBER(G48),"Valid","Check"))))</f>
        <v>Text - Converted to Date</v>
      </c>
      <c r="J48" s="9" t="str">
        <f>IF(OR(C48="", H48=""), "Cannot Check - Date Missing", IF(H48&lt;C48, "Invalid - Ship Before Order", "Valid"))</f>
        <v>Valid</v>
      </c>
      <c r="K48" s="5">
        <f>IF(OR(C48="", H48=""), "", IF(H48&lt;C48, "", H48-C48))</f>
        <v>8</v>
      </c>
      <c r="L48" s="3" t="s">
        <v>392</v>
      </c>
      <c r="M48" s="3" t="s">
        <v>142</v>
      </c>
      <c r="N48" s="4" t="str">
        <f>TRIM(SUBSTITUTE(M48,"_"," "))</f>
        <v>Priya Menon</v>
      </c>
      <c r="O48" s="3" t="s">
        <v>26</v>
      </c>
      <c r="P48" s="6" t="str">
        <f>PROPER(TRIM(SUBSTITUTE(O48,".","")))</f>
        <v>Consumer</v>
      </c>
      <c r="Q48" s="3" t="s">
        <v>73</v>
      </c>
      <c r="R48" s="7" t="str">
        <f>PROPER(TRIM(SUBSTITUTE(Q48,"  "," ")))</f>
        <v>West</v>
      </c>
      <c r="S48" s="3" t="s">
        <v>249</v>
      </c>
      <c r="T48" s="6" t="str">
        <f>PROPER(TRIM(SUBSTITUTE(S48,"  "," ")))</f>
        <v>Goa</v>
      </c>
      <c r="U48" s="3" t="s">
        <v>250</v>
      </c>
      <c r="V48" s="6" t="str">
        <f>PROPER(TRIM(SUBSTITUTE(U48,"  "," ")))</f>
        <v>Panaji</v>
      </c>
      <c r="W48" s="3" t="s">
        <v>45</v>
      </c>
      <c r="X48" s="6" t="str">
        <f>PROPER(TRIM(SUBSTITUTE(W48,"  "," ")))</f>
        <v>Furniture</v>
      </c>
      <c r="Y48" s="3" t="s">
        <v>76</v>
      </c>
      <c r="Z48" s="6" t="str">
        <f>PROPER(TRIM(SUBSTITUTE(Y48,"  "," ")))</f>
        <v>Chairs</v>
      </c>
      <c r="AA48" s="3" t="s">
        <v>393</v>
      </c>
      <c r="AB48" s="3" t="s">
        <v>48</v>
      </c>
      <c r="AC48" s="6" t="str">
        <f>PROPER(TRIM(SUBSTITUTE(AB48,"  "," ")))</f>
        <v>Same Day</v>
      </c>
      <c r="AD48" s="3">
        <v>5</v>
      </c>
      <c r="AE48" s="3">
        <v>255.87</v>
      </c>
      <c r="AF48" s="3">
        <v>0</v>
      </c>
      <c r="AG48" s="17">
        <v>0</v>
      </c>
      <c r="AH48" s="6" t="str">
        <f t="shared" si="2"/>
        <v>Valid</v>
      </c>
      <c r="AI48" s="3">
        <v>1279.3499999999999</v>
      </c>
      <c r="AJ48" s="3">
        <v>1091.54</v>
      </c>
      <c r="AK48" s="3">
        <v>187.81</v>
      </c>
      <c r="AL48" s="3" t="s">
        <v>34</v>
      </c>
      <c r="AM48" s="6" t="str">
        <f>PROPER(TRIM(SUBSTITUTE(AL48,".","")))</f>
        <v>Paid</v>
      </c>
      <c r="AN48" s="3" t="s">
        <v>35</v>
      </c>
      <c r="AO48" s="8" t="str">
        <f>PROPER(TRIM(SUBSTITUTE(AN48,".","")))</f>
        <v>Completed</v>
      </c>
      <c r="AP48" t="str">
        <f>IF(COUNTIF($A$2:$A$933, A48) &gt; 1, "Duplicate ID", "Unique")</f>
        <v>Unique</v>
      </c>
      <c r="AR48">
        <f t="shared" si="4"/>
        <v>1279.3499999999999</v>
      </c>
      <c r="AS48">
        <f t="shared" si="5"/>
        <v>187.80999999999995</v>
      </c>
      <c r="AT48" s="15">
        <f t="shared" si="6"/>
        <v>0.14680110993864068</v>
      </c>
      <c r="AU48" t="str">
        <f t="shared" si="7"/>
        <v>Clean</v>
      </c>
      <c r="AV48" s="8" t="str">
        <f t="shared" si="8"/>
        <v>Active</v>
      </c>
    </row>
    <row r="49" spans="1:48">
      <c r="A49" s="3" t="s">
        <v>2383</v>
      </c>
      <c r="B49" s="3" t="s">
        <v>390</v>
      </c>
      <c r="C49" s="9">
        <f>IFERROR(DATEVALUE(TEXT(B49,"DD/MM/YYYY")), IF(ISNUMBER(B49), B49, ""))</f>
        <v>45329</v>
      </c>
      <c r="D49" s="9" t="str">
        <f>IF(B49="","Missing", IF(AND(ISNUMBER(B49)=FALSE, C49=""),"Invalid - Could Not Parse", IF(AND(ISNUMBER(B49)=FALSE, C49&lt;&gt;""),"Text - Converted to Date", IF(ISNUMBER(B49),"Valid","Check"))))</f>
        <v>Text - Converted to Date</v>
      </c>
      <c r="E49" s="5">
        <f t="shared" si="0"/>
        <v>2</v>
      </c>
      <c r="F49" s="5">
        <f t="shared" si="1"/>
        <v>2024</v>
      </c>
      <c r="G49" s="3" t="s">
        <v>2384</v>
      </c>
      <c r="H49" s="9">
        <f>IFERROR(DATEVALUE(TEXT(G49,"DD/MM/YYYY")), IF(ISNUMBER(G49), G49, ""))</f>
        <v>45334</v>
      </c>
      <c r="I49" s="9" t="str">
        <f>IF(G49="","Missing", IF(AND(ISNUMBER(G49)=FALSE, H49=""),"Invalid - Could Not Parse", IF(AND(ISNUMBER(G49)=FALSE, H49&lt;&gt;""),"Text - Converted to Date", IF(ISNUMBER(G49),"Valid","Check"))))</f>
        <v>Text - Converted to Date</v>
      </c>
      <c r="J49" s="9" t="str">
        <f>IF(OR(C49="", H49=""), "Cannot Check - Date Missing", IF(H49&lt;C49, "Invalid - Ship Before Order", "Valid"))</f>
        <v>Valid</v>
      </c>
      <c r="K49" s="5">
        <f>IF(OR(C49="", H49=""), "", IF(H49&lt;C49, "", H49-C49))</f>
        <v>5</v>
      </c>
      <c r="L49" s="3" t="s">
        <v>2385</v>
      </c>
      <c r="M49" s="3" t="s">
        <v>61</v>
      </c>
      <c r="N49" s="4" t="str">
        <f>TRIM(SUBSTITUTE(M49,"_"," "))</f>
        <v>Arjun Bose</v>
      </c>
      <c r="O49" s="3" t="s">
        <v>115</v>
      </c>
      <c r="P49" s="6" t="str">
        <f>PROPER(TRIM(SUBSTITUTE(O49,".","")))</f>
        <v>Home Office</v>
      </c>
      <c r="Q49" s="3" t="s">
        <v>42</v>
      </c>
      <c r="R49" s="7" t="str">
        <f>PROPER(TRIM(SUBSTITUTE(Q49,"  "," ")))</f>
        <v>East</v>
      </c>
      <c r="S49" s="3" t="s">
        <v>121</v>
      </c>
      <c r="T49" s="6" t="str">
        <f>PROPER(TRIM(SUBSTITUTE(S49,"  "," ")))</f>
        <v>West Bengal</v>
      </c>
      <c r="U49" s="3" t="s">
        <v>122</v>
      </c>
      <c r="V49" s="6" t="str">
        <f>PROPER(TRIM(SUBSTITUTE(U49,"  "," ")))</f>
        <v>Kolkata</v>
      </c>
      <c r="W49" s="3" t="s">
        <v>86</v>
      </c>
      <c r="X49" s="6" t="str">
        <f>PROPER(TRIM(SUBSTITUTE(W49,"  "," ")))</f>
        <v>Technology</v>
      </c>
      <c r="Y49" s="3" t="s">
        <v>87</v>
      </c>
      <c r="Z49" s="6" t="str">
        <f>PROPER(TRIM(SUBSTITUTE(Y49,"  "," ")))</f>
        <v>Accessories</v>
      </c>
      <c r="AA49" s="3" t="s">
        <v>2386</v>
      </c>
      <c r="AB49" s="3" t="s">
        <v>33</v>
      </c>
      <c r="AC49" s="6" t="str">
        <f>PROPER(TRIM(SUBSTITUTE(AB49,"  "," ")))</f>
        <v>Second Class</v>
      </c>
      <c r="AD49" s="3">
        <v>1</v>
      </c>
      <c r="AE49" s="3">
        <v>452.19</v>
      </c>
      <c r="AF49" s="3">
        <v>0.2</v>
      </c>
      <c r="AG49" s="17">
        <v>0.2</v>
      </c>
      <c r="AH49" s="6" t="str">
        <f t="shared" si="2"/>
        <v>Valid</v>
      </c>
      <c r="AI49" s="3">
        <v>361.75</v>
      </c>
      <c r="AJ49" s="3">
        <v>262.52999999999997</v>
      </c>
      <c r="AK49" s="3">
        <v>99.22</v>
      </c>
      <c r="AL49" s="3" t="s">
        <v>34</v>
      </c>
      <c r="AM49" s="6" t="str">
        <f>PROPER(TRIM(SUBSTITUTE(AL49,".","")))</f>
        <v>Paid</v>
      </c>
      <c r="AN49" s="3" t="s">
        <v>35</v>
      </c>
      <c r="AO49" s="8" t="str">
        <f>PROPER(TRIM(SUBSTITUTE(AN49,".","")))</f>
        <v>Completed</v>
      </c>
      <c r="AP49" t="str">
        <f>IF(COUNTIF($A$2:$A$933, A49) &gt; 1, "Duplicate ID", "Unique")</f>
        <v>Unique</v>
      </c>
      <c r="AR49">
        <f t="shared" si="4"/>
        <v>361.75200000000001</v>
      </c>
      <c r="AS49">
        <f t="shared" si="5"/>
        <v>99.222000000000037</v>
      </c>
      <c r="AT49" s="15">
        <f t="shared" si="6"/>
        <v>0.27428182843495003</v>
      </c>
      <c r="AU49" t="str">
        <f t="shared" si="7"/>
        <v>Clean</v>
      </c>
      <c r="AV49" s="8" t="str">
        <f t="shared" si="8"/>
        <v>Active</v>
      </c>
    </row>
    <row r="50" spans="1:48">
      <c r="A50" s="3" t="s">
        <v>245</v>
      </c>
      <c r="B50" s="3" t="s">
        <v>246</v>
      </c>
      <c r="C50" s="9">
        <f>IFERROR(DATEVALUE(TEXT(B50,"DD/MM/YYYY")), IF(ISNUMBER(B50), B50, ""))</f>
        <v>45331</v>
      </c>
      <c r="D50" s="9" t="str">
        <f>IF(B50="","Missing", IF(AND(ISNUMBER(B50)=FALSE, C50=""),"Invalid - Could Not Parse", IF(AND(ISNUMBER(B50)=FALSE, C50&lt;&gt;""),"Text - Converted to Date", IF(ISNUMBER(B50),"Valid","Check"))))</f>
        <v>Text - Converted to Date</v>
      </c>
      <c r="E50" s="5">
        <f t="shared" si="0"/>
        <v>2</v>
      </c>
      <c r="F50" s="5">
        <f t="shared" si="1"/>
        <v>2024</v>
      </c>
      <c r="G50" s="3" t="s">
        <v>247</v>
      </c>
      <c r="H50" s="9">
        <f>IFERROR(DATEVALUE(TEXT(G50,"DD/MM/YYYY")), IF(ISNUMBER(G50), G50, ""))</f>
        <v>45628</v>
      </c>
      <c r="I50" s="9" t="str">
        <f>IF(G50="","Missing", IF(AND(ISNUMBER(G50)=FALSE, H50=""),"Invalid - Could Not Parse", IF(AND(ISNUMBER(G50)=FALSE, H50&lt;&gt;""),"Text - Converted to Date", IF(ISNUMBER(G50),"Valid","Check"))))</f>
        <v>Text - Converted to Date</v>
      </c>
      <c r="J50" s="9" t="str">
        <f>IF(OR(C50="", H50=""), "Cannot Check - Date Missing", IF(H50&lt;C50, "Invalid - Ship Before Order", "Valid"))</f>
        <v>Valid</v>
      </c>
      <c r="K50" s="5">
        <f>IF(OR(C50="", H50=""), "", IF(H50&lt;C50, "", H50-C50))</f>
        <v>297</v>
      </c>
      <c r="L50" s="3" t="s">
        <v>248</v>
      </c>
      <c r="M50" s="3" t="s">
        <v>72</v>
      </c>
      <c r="N50" s="4" t="str">
        <f>TRIM(SUBSTITUTE(M50,"_"," "))</f>
        <v>Ananya Rao</v>
      </c>
      <c r="O50" s="3" t="s">
        <v>108</v>
      </c>
      <c r="P50" s="6" t="str">
        <f>PROPER(TRIM(SUBSTITUTE(O50,".","")))</f>
        <v>Corporate</v>
      </c>
      <c r="Q50" s="3" t="s">
        <v>73</v>
      </c>
      <c r="R50" s="7" t="str">
        <f>PROPER(TRIM(SUBSTITUTE(Q50,"  "," ")))</f>
        <v>West</v>
      </c>
      <c r="S50" s="3" t="s">
        <v>249</v>
      </c>
      <c r="T50" s="6" t="str">
        <f>PROPER(TRIM(SUBSTITUTE(S50,"  "," ")))</f>
        <v>Goa</v>
      </c>
      <c r="U50" s="3" t="s">
        <v>250</v>
      </c>
      <c r="V50" s="6" t="str">
        <f>PROPER(TRIM(SUBSTITUTE(U50,"  "," ")))</f>
        <v>Panaji</v>
      </c>
      <c r="W50" s="3" t="s">
        <v>30</v>
      </c>
      <c r="X50" s="6" t="str">
        <f>PROPER(TRIM(SUBSTITUTE(W50,"  "," ")))</f>
        <v>Office Supplies</v>
      </c>
      <c r="Y50" s="3" t="s">
        <v>109</v>
      </c>
      <c r="Z50" s="6" t="str">
        <f>PROPER(TRIM(SUBSTITUTE(Y50,"  "," ")))</f>
        <v>Labels</v>
      </c>
      <c r="AA50" s="3" t="s">
        <v>251</v>
      </c>
      <c r="AB50" s="3" t="s">
        <v>56</v>
      </c>
      <c r="AC50" s="6" t="str">
        <f>PROPER(TRIM(SUBSTITUTE(AB50,"  "," ")))</f>
        <v>First Class</v>
      </c>
      <c r="AD50" s="3">
        <v>1</v>
      </c>
      <c r="AE50" s="3">
        <v>3421.77</v>
      </c>
      <c r="AF50" s="3">
        <v>0.1</v>
      </c>
      <c r="AG50" s="17">
        <v>0.1</v>
      </c>
      <c r="AH50" s="6" t="str">
        <f t="shared" si="2"/>
        <v>Valid</v>
      </c>
      <c r="AI50" s="3">
        <v>3079.59</v>
      </c>
      <c r="AJ50" s="3">
        <v>2001.89</v>
      </c>
      <c r="AK50" s="3">
        <v>1077.7</v>
      </c>
      <c r="AL50" s="3" t="s">
        <v>34</v>
      </c>
      <c r="AM50" s="6" t="str">
        <f>PROPER(TRIM(SUBSTITUTE(AL50,".","")))</f>
        <v>Paid</v>
      </c>
      <c r="AN50" s="3" t="s">
        <v>35</v>
      </c>
      <c r="AO50" s="8" t="str">
        <f>PROPER(TRIM(SUBSTITUTE(AN50,".","")))</f>
        <v>Completed</v>
      </c>
      <c r="AP50" t="str">
        <f>IF(COUNTIF($A$2:$A$933, A50) &gt; 1, "Duplicate ID", "Unique")</f>
        <v>Unique</v>
      </c>
      <c r="AR50">
        <f t="shared" si="4"/>
        <v>3079.5929999999998</v>
      </c>
      <c r="AS50">
        <f t="shared" si="5"/>
        <v>1077.7029999999997</v>
      </c>
      <c r="AT50" s="15">
        <f t="shared" si="6"/>
        <v>0.34994981479695525</v>
      </c>
      <c r="AU50" t="str">
        <f t="shared" si="7"/>
        <v>Clean</v>
      </c>
      <c r="AV50" s="8" t="str">
        <f t="shared" si="8"/>
        <v>Active</v>
      </c>
    </row>
    <row r="51" spans="1:48">
      <c r="A51" s="3" t="s">
        <v>1239</v>
      </c>
      <c r="B51" s="3" t="s">
        <v>1240</v>
      </c>
      <c r="C51" s="9">
        <f>IFERROR(DATEVALUE(TEXT(B51,"DD/MM/YYYY")), IF(ISNUMBER(B51), B51, ""))</f>
        <v>45331</v>
      </c>
      <c r="D51" s="9" t="str">
        <f>IF(B51="","Missing", IF(AND(ISNUMBER(B51)=FALSE, C51=""),"Invalid - Could Not Parse", IF(AND(ISNUMBER(B51)=FALSE, C51&lt;&gt;""),"Text - Converted to Date", IF(ISNUMBER(B51),"Valid","Check"))))</f>
        <v>Text - Converted to Date</v>
      </c>
      <c r="E51" s="5">
        <f t="shared" si="0"/>
        <v>2</v>
      </c>
      <c r="F51" s="5">
        <f t="shared" si="1"/>
        <v>2024</v>
      </c>
      <c r="G51" s="3" t="s">
        <v>1241</v>
      </c>
      <c r="H51" s="9">
        <f>IFERROR(DATEVALUE(TEXT(G51,"DD/MM/YYYY")), IF(ISNUMBER(G51), G51, ""))</f>
        <v>45538</v>
      </c>
      <c r="I51" s="9" t="str">
        <f>IF(G51="","Missing", IF(AND(ISNUMBER(G51)=FALSE, H51=""),"Invalid - Could Not Parse", IF(AND(ISNUMBER(G51)=FALSE, H51&lt;&gt;""),"Text - Converted to Date", IF(ISNUMBER(G51),"Valid","Check"))))</f>
        <v>Text - Converted to Date</v>
      </c>
      <c r="J51" s="9" t="str">
        <f>IF(OR(C51="", H51=""), "Cannot Check - Date Missing", IF(H51&lt;C51, "Invalid - Ship Before Order", "Valid"))</f>
        <v>Valid</v>
      </c>
      <c r="K51" s="5">
        <f>IF(OR(C51="", H51=""), "", IF(H51&lt;C51, "", H51-C51))</f>
        <v>207</v>
      </c>
      <c r="L51" s="3" t="s">
        <v>1242</v>
      </c>
      <c r="M51" s="3" t="s">
        <v>366</v>
      </c>
      <c r="N51" s="4" t="str">
        <f>TRIM(SUBSTITUTE(M51,"_"," "))</f>
        <v>Kabir Singh</v>
      </c>
      <c r="O51" s="3" t="s">
        <v>115</v>
      </c>
      <c r="P51" s="6" t="str">
        <f>PROPER(TRIM(SUBSTITUTE(O51,".","")))</f>
        <v>Home Office</v>
      </c>
      <c r="Q51" s="3" t="s">
        <v>27</v>
      </c>
      <c r="R51" s="7" t="str">
        <f>PROPER(TRIM(SUBSTITUTE(Q51,"  "," ")))</f>
        <v>North</v>
      </c>
      <c r="S51" s="3" t="s">
        <v>506</v>
      </c>
      <c r="T51" s="6" t="str">
        <f>PROPER(TRIM(SUBSTITUTE(S51,"  "," ")))</f>
        <v>Delhi</v>
      </c>
      <c r="U51" s="3" t="s">
        <v>507</v>
      </c>
      <c r="V51" s="6" t="str">
        <f>PROPER(TRIM(SUBSTITUTE(U51,"  "," ")))</f>
        <v>New Delhi</v>
      </c>
      <c r="W51" s="3" t="s">
        <v>45</v>
      </c>
      <c r="X51" s="6" t="str">
        <f>PROPER(TRIM(SUBSTITUTE(W51,"  "," ")))</f>
        <v>Furniture</v>
      </c>
      <c r="Y51" s="3" t="s">
        <v>65</v>
      </c>
      <c r="Z51" s="6" t="str">
        <f>PROPER(TRIM(SUBSTITUTE(Y51,"  "," ")))</f>
        <v>Furnishings</v>
      </c>
      <c r="AA51" s="3" t="s">
        <v>1243</v>
      </c>
      <c r="AB51" s="3" t="s">
        <v>56</v>
      </c>
      <c r="AC51" s="6" t="str">
        <f>PROPER(TRIM(SUBSTITUTE(AB51,"  "," ")))</f>
        <v>First Class</v>
      </c>
      <c r="AD51" s="3">
        <v>9</v>
      </c>
      <c r="AE51" s="3">
        <v>1353.61</v>
      </c>
      <c r="AF51" s="3">
        <v>0.1</v>
      </c>
      <c r="AG51" s="17">
        <v>0.1</v>
      </c>
      <c r="AH51" s="6" t="str">
        <f t="shared" si="2"/>
        <v>Valid</v>
      </c>
      <c r="AI51" s="3">
        <v>10964.24</v>
      </c>
      <c r="AJ51" s="3">
        <v>9262.4699999999993</v>
      </c>
      <c r="AK51" s="3">
        <v>1701.77</v>
      </c>
      <c r="AL51" s="3" t="s">
        <v>34</v>
      </c>
      <c r="AM51" s="6" t="str">
        <f>PROPER(TRIM(SUBSTITUTE(AL51,".","")))</f>
        <v>Paid</v>
      </c>
      <c r="AN51" s="3" t="s">
        <v>35</v>
      </c>
      <c r="AO51" s="8" t="str">
        <f>PROPER(TRIM(SUBSTITUTE(AN51,".","")))</f>
        <v>Completed</v>
      </c>
      <c r="AP51" t="str">
        <f>IF(COUNTIF($A$2:$A$933, A51) &gt; 1, "Duplicate ID", "Unique")</f>
        <v>Unique</v>
      </c>
      <c r="AR51">
        <f t="shared" si="4"/>
        <v>10964.241</v>
      </c>
      <c r="AS51">
        <f t="shared" si="5"/>
        <v>1701.7710000000006</v>
      </c>
      <c r="AT51" s="15">
        <f t="shared" si="6"/>
        <v>0.15521101734265058</v>
      </c>
      <c r="AU51" t="str">
        <f t="shared" si="7"/>
        <v>Clean</v>
      </c>
      <c r="AV51" s="8" t="str">
        <f t="shared" si="8"/>
        <v>Active</v>
      </c>
    </row>
    <row r="52" spans="1:48">
      <c r="A52" s="3" t="s">
        <v>2128</v>
      </c>
      <c r="B52" s="3" t="s">
        <v>2129</v>
      </c>
      <c r="C52" s="9">
        <f>IFERROR(DATEVALUE(TEXT(B52,"DD/MM/YYYY")), IF(ISNUMBER(B52), B52, ""))</f>
        <v>45332</v>
      </c>
      <c r="D52" s="9" t="str">
        <f>IF(B52="","Missing", IF(AND(ISNUMBER(B52)=FALSE, C52=""),"Invalid - Could Not Parse", IF(AND(ISNUMBER(B52)=FALSE, C52&lt;&gt;""),"Text - Converted to Date", IF(ISNUMBER(B52),"Valid","Check"))))</f>
        <v>Text - Converted to Date</v>
      </c>
      <c r="E52" s="5">
        <f t="shared" si="0"/>
        <v>2</v>
      </c>
      <c r="F52" s="5">
        <f t="shared" si="1"/>
        <v>2024</v>
      </c>
      <c r="G52" s="3" t="s">
        <v>2130</v>
      </c>
      <c r="H52" s="9">
        <f>IFERROR(DATEVALUE(MID(G52,4,2) &amp; "/" &amp; LEFT(G52,2) &amp; "/" &amp; RIGHT(G52,4)), IF(ISNUMBER(G52), G52, IFERROR(DATEVALUE(G52), "")))</f>
        <v>45335</v>
      </c>
      <c r="I52" s="9" t="str">
        <f>IF(G52="","Missing", IF(AND(ISNUMBER(G52)=FALSE, H52=""),"Invalid - Could Not Parse", IF(AND(ISNUMBER(G52)=FALSE, H52&lt;&gt;""),"Text - Converted to Date", IF(ISNUMBER(G52),"Valid","Check"))))</f>
        <v>Text - Converted to Date</v>
      </c>
      <c r="J52" s="9" t="str">
        <f>IF(OR(C52="", H52=""), "Cannot Check - Date Missing", IF(H52&lt;C52, "Invalid - Ship Before Order", "Valid"))</f>
        <v>Valid</v>
      </c>
      <c r="K52" s="5">
        <f>IF(OR(C52="", H52=""), "", IF(H52&lt;C52, "", H52-C52))</f>
        <v>3</v>
      </c>
      <c r="L52" s="3" t="s">
        <v>2131</v>
      </c>
      <c r="M52" s="3" t="s">
        <v>25</v>
      </c>
      <c r="N52" s="4" t="str">
        <f>TRIM(SUBSTITUTE(M52,"_"," "))</f>
        <v>Karan Malhotra</v>
      </c>
      <c r="O52" s="3" t="s">
        <v>115</v>
      </c>
      <c r="P52" s="6" t="str">
        <f>PROPER(TRIM(SUBSTITUTE(O52,".","")))</f>
        <v>Home Office</v>
      </c>
      <c r="Q52" s="3" t="s">
        <v>73</v>
      </c>
      <c r="R52" s="7" t="str">
        <f>PROPER(TRIM(SUBSTITUTE(Q52,"  "," ")))</f>
        <v>West</v>
      </c>
      <c r="S52" s="3" t="s">
        <v>249</v>
      </c>
      <c r="T52" s="6" t="str">
        <f>PROPER(TRIM(SUBSTITUTE(S52,"  "," ")))</f>
        <v>Goa</v>
      </c>
      <c r="U52" s="3" t="s">
        <v>250</v>
      </c>
      <c r="V52" s="6" t="str">
        <f>PROPER(TRIM(SUBSTITUTE(U52,"  "," ")))</f>
        <v>Panaji</v>
      </c>
      <c r="W52" s="3" t="s">
        <v>86</v>
      </c>
      <c r="X52" s="6" t="str">
        <f>PROPER(TRIM(SUBSTITUTE(W52,"  "," ")))</f>
        <v>Technology</v>
      </c>
      <c r="Y52" s="3" t="s">
        <v>382</v>
      </c>
      <c r="Z52" s="6" t="str">
        <f>PROPER(TRIM(SUBSTITUTE(Y52,"  "," ")))</f>
        <v>Machines</v>
      </c>
      <c r="AA52" s="3" t="s">
        <v>2132</v>
      </c>
      <c r="AB52" s="3" t="s">
        <v>48</v>
      </c>
      <c r="AC52" s="6" t="str">
        <f>PROPER(TRIM(SUBSTITUTE(AB52,"  "," ")))</f>
        <v>Same Day</v>
      </c>
      <c r="AD52" s="3">
        <v>2</v>
      </c>
      <c r="AE52" s="3">
        <v>4118.45</v>
      </c>
      <c r="AF52" s="3">
        <v>0.25</v>
      </c>
      <c r="AG52" s="17">
        <v>0.25</v>
      </c>
      <c r="AH52" s="6" t="str">
        <f t="shared" si="2"/>
        <v>Valid</v>
      </c>
      <c r="AI52" s="3">
        <v>6177.67</v>
      </c>
      <c r="AJ52" s="3">
        <v>4520.75</v>
      </c>
      <c r="AK52" s="3">
        <v>1656.92</v>
      </c>
      <c r="AL52" s="3" t="s">
        <v>34</v>
      </c>
      <c r="AM52" s="6" t="str">
        <f>PROPER(TRIM(SUBSTITUTE(AL52,".","")))</f>
        <v>Paid</v>
      </c>
      <c r="AN52" s="3" t="s">
        <v>35</v>
      </c>
      <c r="AO52" s="8" t="str">
        <f>PROPER(TRIM(SUBSTITUTE(AN52,".","")))</f>
        <v>Completed</v>
      </c>
      <c r="AP52" t="str">
        <f>IF(COUNTIF($A$2:$A$933, A52) &gt; 1, "Duplicate ID", "Unique")</f>
        <v>Unique</v>
      </c>
      <c r="AR52">
        <f t="shared" si="4"/>
        <v>6177.6749999999993</v>
      </c>
      <c r="AS52">
        <f t="shared" si="5"/>
        <v>1656.9249999999993</v>
      </c>
      <c r="AT52" s="15">
        <f t="shared" si="6"/>
        <v>0.26821174632851347</v>
      </c>
      <c r="AU52" t="str">
        <f t="shared" si="7"/>
        <v>Clean</v>
      </c>
      <c r="AV52" s="8" t="str">
        <f t="shared" si="8"/>
        <v>Active</v>
      </c>
    </row>
    <row r="53" spans="1:48">
      <c r="A53" s="3" t="s">
        <v>2248</v>
      </c>
      <c r="B53" s="3" t="s">
        <v>2249</v>
      </c>
      <c r="C53" s="9">
        <f>IFERROR(DATEVALUE(TEXT(B53,"DD/MM/YYYY")), IF(ISNUMBER(B53), B53, ""))</f>
        <v>45332</v>
      </c>
      <c r="D53" s="9" t="str">
        <f>IF(B53="","Missing", IF(AND(ISNUMBER(B53)=FALSE, C53=""),"Invalid - Could Not Parse", IF(AND(ISNUMBER(B53)=FALSE, C53&lt;&gt;""),"Text - Converted to Date", IF(ISNUMBER(B53),"Valid","Check"))))</f>
        <v>Text - Converted to Date</v>
      </c>
      <c r="E53" s="5">
        <f t="shared" si="0"/>
        <v>2</v>
      </c>
      <c r="F53" s="5">
        <f t="shared" si="1"/>
        <v>2024</v>
      </c>
      <c r="G53" s="3" t="s">
        <v>860</v>
      </c>
      <c r="H53" s="9">
        <f>IFERROR(DATEVALUE(TEXT(G53,"DD/MM/YYYY")), IF(ISNUMBER(G53), G53, ""))</f>
        <v>45598</v>
      </c>
      <c r="I53" s="9" t="str">
        <f>IF(G53="","Missing", IF(AND(ISNUMBER(G53)=FALSE, H53=""),"Invalid - Could Not Parse", IF(AND(ISNUMBER(G53)=FALSE, H53&lt;&gt;""),"Text - Converted to Date", IF(ISNUMBER(G53),"Valid","Check"))))</f>
        <v>Text - Converted to Date</v>
      </c>
      <c r="J53" s="9" t="str">
        <f>IF(OR(C53="", H53=""), "Cannot Check - Date Missing", IF(H53&lt;C53, "Invalid - Ship Before Order", "Valid"))</f>
        <v>Valid</v>
      </c>
      <c r="K53" s="5">
        <f>IF(OR(C53="", H53=""), "", IF(H53&lt;C53, "", H53-C53))</f>
        <v>266</v>
      </c>
      <c r="L53" s="3" t="s">
        <v>2250</v>
      </c>
      <c r="M53" s="3" t="s">
        <v>25</v>
      </c>
      <c r="N53" s="4" t="str">
        <f>TRIM(SUBSTITUTE(M53,"_"," "))</f>
        <v>Karan Malhotra</v>
      </c>
      <c r="O53" s="3" t="s">
        <v>108</v>
      </c>
      <c r="P53" s="6" t="str">
        <f>PROPER(TRIM(SUBSTITUTE(O53,".","")))</f>
        <v>Corporate</v>
      </c>
      <c r="Q53" s="3" t="s">
        <v>27</v>
      </c>
      <c r="R53" s="7" t="str">
        <f>PROPER(TRIM(SUBSTITUTE(Q53,"  "," ")))</f>
        <v>North</v>
      </c>
      <c r="S53" s="3" t="s">
        <v>28</v>
      </c>
      <c r="T53" s="6" t="str">
        <f>PROPER(TRIM(SUBSTITUTE(S53,"  "," ")))</f>
        <v>Rajasthan</v>
      </c>
      <c r="U53" s="3" t="s">
        <v>29</v>
      </c>
      <c r="V53" s="6" t="str">
        <f>PROPER(TRIM(SUBSTITUTE(U53,"  "," ")))</f>
        <v>Jaipur</v>
      </c>
      <c r="W53" s="3" t="s">
        <v>86</v>
      </c>
      <c r="X53" s="6" t="str">
        <f>PROPER(TRIM(SUBSTITUTE(W53,"  "," ")))</f>
        <v>Technology</v>
      </c>
      <c r="Y53" s="3" t="s">
        <v>223</v>
      </c>
      <c r="Z53" s="6" t="str">
        <f>PROPER(TRIM(SUBSTITUTE(Y53,"  "," ")))</f>
        <v>Phones</v>
      </c>
      <c r="AA53" s="3" t="s">
        <v>2251</v>
      </c>
      <c r="AB53" s="3" t="s">
        <v>33</v>
      </c>
      <c r="AC53" s="6" t="str">
        <f>PROPER(TRIM(SUBSTITUTE(AB53,"  "," ")))</f>
        <v>Second Class</v>
      </c>
      <c r="AD53" s="3">
        <v>3</v>
      </c>
      <c r="AE53" s="3">
        <v>3183.72</v>
      </c>
      <c r="AF53" s="3">
        <v>0.1</v>
      </c>
      <c r="AG53" s="17">
        <v>0.1</v>
      </c>
      <c r="AH53" s="6" t="str">
        <f t="shared" si="2"/>
        <v>Valid</v>
      </c>
      <c r="AI53" s="3">
        <v>8596.0400000000009</v>
      </c>
      <c r="AJ53" s="3">
        <v>5378.16</v>
      </c>
      <c r="AK53" s="3">
        <v>3217.88</v>
      </c>
      <c r="AL53" s="3" t="s">
        <v>34</v>
      </c>
      <c r="AM53" s="6" t="str">
        <f>PROPER(TRIM(SUBSTITUTE(AL53,".","")))</f>
        <v>Paid</v>
      </c>
      <c r="AN53" s="3" t="s">
        <v>35</v>
      </c>
      <c r="AO53" s="8" t="str">
        <f>PROPER(TRIM(SUBSTITUTE(AN53,".","")))</f>
        <v>Completed</v>
      </c>
      <c r="AP53" t="str">
        <f>IF(COUNTIF($A$2:$A$933, A53) &gt; 1, "Duplicate ID", "Unique")</f>
        <v>Unique</v>
      </c>
      <c r="AR53">
        <f t="shared" si="4"/>
        <v>8596.0439999999999</v>
      </c>
      <c r="AS53">
        <f t="shared" si="5"/>
        <v>3217.884</v>
      </c>
      <c r="AT53" s="15">
        <f t="shared" si="6"/>
        <v>0.37434475672762962</v>
      </c>
      <c r="AU53" t="str">
        <f t="shared" si="7"/>
        <v>Clean</v>
      </c>
      <c r="AV53" s="8" t="str">
        <f t="shared" si="8"/>
        <v>Active</v>
      </c>
    </row>
    <row r="54" spans="1:48">
      <c r="A54" s="3" t="s">
        <v>3427</v>
      </c>
      <c r="B54" s="3" t="s">
        <v>2249</v>
      </c>
      <c r="C54" s="9">
        <f>IFERROR(DATEVALUE(TEXT(B54,"DD/MM/YYYY")), IF(ISNUMBER(B54), B54, ""))</f>
        <v>45332</v>
      </c>
      <c r="D54" s="9" t="str">
        <f>IF(B54="","Missing", IF(AND(ISNUMBER(B54)=FALSE, C54=""),"Invalid - Could Not Parse", IF(AND(ISNUMBER(B54)=FALSE, C54&lt;&gt;""),"Text - Converted to Date", IF(ISNUMBER(B54),"Valid","Check"))))</f>
        <v>Text - Converted to Date</v>
      </c>
      <c r="E54" s="5">
        <f t="shared" si="0"/>
        <v>2</v>
      </c>
      <c r="F54" s="5">
        <f t="shared" si="1"/>
        <v>2024</v>
      </c>
      <c r="G54" s="3" t="s">
        <v>2129</v>
      </c>
      <c r="H54" s="9">
        <f>IFERROR(DATEVALUE(TEXT(G54,"DD/MM/YYYY")), IF(ISNUMBER(G54), G54, ""))</f>
        <v>45332</v>
      </c>
      <c r="I54" s="9" t="str">
        <f>IF(G54="","Missing", IF(AND(ISNUMBER(G54)=FALSE, H54=""),"Invalid - Could Not Parse", IF(AND(ISNUMBER(G54)=FALSE, H54&lt;&gt;""),"Text - Converted to Date", IF(ISNUMBER(G54),"Valid","Check"))))</f>
        <v>Text - Converted to Date</v>
      </c>
      <c r="J54" s="9" t="str">
        <f>IF(OR(C54="", H54=""), "Cannot Check - Date Missing", IF(H54&lt;C54, "Invalid - Ship Before Order", "Valid"))</f>
        <v>Valid</v>
      </c>
      <c r="K54" s="5">
        <f>IF(OR(C54="", H54=""), "", IF(H54&lt;C54, "", H54-C54))</f>
        <v>0</v>
      </c>
      <c r="L54" s="3" t="s">
        <v>3428</v>
      </c>
      <c r="M54" s="3" t="s">
        <v>53</v>
      </c>
      <c r="N54" s="4" t="str">
        <f>TRIM(SUBSTITUTE(M54,"_"," "))</f>
        <v>Isha Nair</v>
      </c>
      <c r="O54" s="3" t="s">
        <v>115</v>
      </c>
      <c r="P54" s="6" t="str">
        <f>PROPER(TRIM(SUBSTITUTE(O54,".","")))</f>
        <v>Home Office</v>
      </c>
      <c r="Q54" s="3" t="s">
        <v>73</v>
      </c>
      <c r="R54" s="7" t="str">
        <f>PROPER(TRIM(SUBSTITUTE(Q54,"  "," ")))</f>
        <v>West</v>
      </c>
      <c r="S54" s="3" t="s">
        <v>74</v>
      </c>
      <c r="T54" s="6" t="str">
        <f>PROPER(TRIM(SUBSTITUTE(S54,"  "," ")))</f>
        <v>Maharashtra</v>
      </c>
      <c r="U54" s="3" t="s">
        <v>75</v>
      </c>
      <c r="V54" s="6" t="str">
        <f>PROPER(TRIM(SUBSTITUTE(U54,"  "," ")))</f>
        <v>Mumbai</v>
      </c>
      <c r="W54" s="3" t="s">
        <v>45</v>
      </c>
      <c r="X54" s="6" t="str">
        <f>PROPER(TRIM(SUBSTITUTE(W54,"  "," ")))</f>
        <v>Furniture</v>
      </c>
      <c r="Y54" s="3" t="s">
        <v>76</v>
      </c>
      <c r="Z54" s="6" t="str">
        <f>PROPER(TRIM(SUBSTITUTE(Y54,"  "," ")))</f>
        <v>Chairs</v>
      </c>
      <c r="AA54" s="3" t="s">
        <v>3429</v>
      </c>
      <c r="AB54" s="3" t="s">
        <v>48</v>
      </c>
      <c r="AC54" s="6" t="str">
        <f>PROPER(TRIM(SUBSTITUTE(AB54,"  "," ")))</f>
        <v>Same Day</v>
      </c>
      <c r="AD54" s="3">
        <v>6</v>
      </c>
      <c r="AE54" s="3">
        <v>601.52</v>
      </c>
      <c r="AF54" s="3">
        <v>0</v>
      </c>
      <c r="AG54" s="17">
        <v>0</v>
      </c>
      <c r="AH54" s="6" t="str">
        <f t="shared" si="2"/>
        <v>Valid</v>
      </c>
      <c r="AI54" s="3">
        <v>3609.12</v>
      </c>
      <c r="AJ54" s="3">
        <v>2645.5</v>
      </c>
      <c r="AK54" s="3">
        <v>963.62</v>
      </c>
      <c r="AL54" s="3" t="s">
        <v>34</v>
      </c>
      <c r="AM54" s="6" t="str">
        <f>PROPER(TRIM(SUBSTITUTE(AL54,".","")))</f>
        <v>Paid</v>
      </c>
      <c r="AN54" s="3" t="s">
        <v>35</v>
      </c>
      <c r="AO54" s="8" t="str">
        <f>PROPER(TRIM(SUBSTITUTE(AN54,".","")))</f>
        <v>Completed</v>
      </c>
      <c r="AP54" t="str">
        <f>IF(COUNTIF($A$2:$A$933, A54) &gt; 1, "Duplicate ID", "Unique")</f>
        <v>Unique</v>
      </c>
      <c r="AR54">
        <f t="shared" si="4"/>
        <v>3609.12</v>
      </c>
      <c r="AS54">
        <f t="shared" si="5"/>
        <v>963.61999999999989</v>
      </c>
      <c r="AT54" s="15">
        <f t="shared" si="6"/>
        <v>0.2669958327791816</v>
      </c>
      <c r="AU54" t="str">
        <f t="shared" si="7"/>
        <v>Clean</v>
      </c>
      <c r="AV54" s="8" t="str">
        <f t="shared" si="8"/>
        <v>Active</v>
      </c>
    </row>
    <row r="55" spans="1:48">
      <c r="A55" s="3" t="s">
        <v>800</v>
      </c>
      <c r="B55" s="3" t="s">
        <v>801</v>
      </c>
      <c r="C55" s="9">
        <f>IFERROR(DATEVALUE(TEXT(B55,"DD/MM/YYYY")), IF(ISNUMBER(B55), B55, ""))</f>
        <v>45381</v>
      </c>
      <c r="D55" s="9" t="str">
        <f>IF(B55="","Missing", IF(AND(ISNUMBER(B55)=FALSE, C55=""),"Invalid - Could Not Parse", IF(AND(ISNUMBER(B55)=FALSE, C55&lt;&gt;""),"Text - Converted to Date", IF(ISNUMBER(B55),"Valid","Check"))))</f>
        <v>Text - Converted to Date</v>
      </c>
      <c r="E55" s="5">
        <f t="shared" si="0"/>
        <v>3</v>
      </c>
      <c r="F55" s="5">
        <f t="shared" si="1"/>
        <v>2024</v>
      </c>
      <c r="G55" s="3" t="s">
        <v>802</v>
      </c>
      <c r="H55" s="9">
        <f>IFERROR(DATEVALUE(TEXT(G55,"DD/MM/YYYY")), IF(ISNUMBER(G55), G55, ""))</f>
        <v>45377</v>
      </c>
      <c r="I55" s="9" t="str">
        <f>IF(G55="","Missing", IF(AND(ISNUMBER(G55)=FALSE, H55=""),"Invalid - Could Not Parse", IF(AND(ISNUMBER(G55)=FALSE, H55&lt;&gt;""),"Text - Converted to Date", IF(ISNUMBER(G55),"Valid","Check"))))</f>
        <v>Text - Converted to Date</v>
      </c>
      <c r="J55" s="9" t="str">
        <f>IF(OR(C55="", H55=""), "Cannot Check - Date Missing", IF(H55&lt;C55, "Invalid - Ship Before Order", "Valid"))</f>
        <v>Invalid - Ship Before Order</v>
      </c>
      <c r="K55" s="5" t="str">
        <f>IF(OR(C55="", H55=""), "", IF(H55&lt;C55, "", H55-C55))</f>
        <v/>
      </c>
      <c r="L55" s="3" t="s">
        <v>803</v>
      </c>
      <c r="M55" s="3" t="s">
        <v>107</v>
      </c>
      <c r="N55" s="4" t="str">
        <f>TRIM(SUBSTITUTE(M55,"_"," "))</f>
        <v>Aditi Sen</v>
      </c>
      <c r="O55" s="3" t="s">
        <v>115</v>
      </c>
      <c r="P55" s="6" t="str">
        <f>PROPER(TRIM(SUBSTITUTE(O55,".","")))</f>
        <v>Home Office</v>
      </c>
      <c r="Q55" s="3" t="s">
        <v>27</v>
      </c>
      <c r="R55" s="7" t="str">
        <f>PROPER(TRIM(SUBSTITUTE(Q55,"  "," ")))</f>
        <v>North</v>
      </c>
      <c r="S55" s="3" t="s">
        <v>28</v>
      </c>
      <c r="T55" s="6" t="str">
        <f>PROPER(TRIM(SUBSTITUTE(S55,"  "," ")))</f>
        <v>Rajasthan</v>
      </c>
      <c r="U55" s="3" t="s">
        <v>29</v>
      </c>
      <c r="V55" s="6" t="str">
        <f>PROPER(TRIM(SUBSTITUTE(U55,"  "," ")))</f>
        <v>Jaipur</v>
      </c>
      <c r="W55" s="3" t="s">
        <v>86</v>
      </c>
      <c r="X55" s="6" t="str">
        <f>PROPER(TRIM(SUBSTITUTE(W55,"  "," ")))</f>
        <v>Technology</v>
      </c>
      <c r="Y55" s="3" t="s">
        <v>223</v>
      </c>
      <c r="Z55" s="6" t="str">
        <f>PROPER(TRIM(SUBSTITUTE(Y55,"  "," ")))</f>
        <v>Phones</v>
      </c>
      <c r="AA55" s="3" t="s">
        <v>804</v>
      </c>
      <c r="AB55" s="3" t="s">
        <v>33</v>
      </c>
      <c r="AC55" s="6" t="str">
        <f>PROPER(TRIM(SUBSTITUTE(AB55,"  "," ")))</f>
        <v>Second Class</v>
      </c>
      <c r="AD55" s="3">
        <v>5</v>
      </c>
      <c r="AE55" s="3">
        <v>907.54</v>
      </c>
      <c r="AF55" s="3">
        <v>0.15</v>
      </c>
      <c r="AG55" s="17">
        <v>0.15</v>
      </c>
      <c r="AH55" s="6" t="str">
        <f t="shared" si="2"/>
        <v>Valid</v>
      </c>
      <c r="AI55" s="3">
        <v>3857.04</v>
      </c>
      <c r="AJ55" s="3">
        <v>2769.26</v>
      </c>
      <c r="AK55" s="3">
        <v>1087.78</v>
      </c>
      <c r="AL55" s="3" t="s">
        <v>34</v>
      </c>
      <c r="AM55" s="6" t="str">
        <f>PROPER(TRIM(SUBSTITUTE(AL55,".","")))</f>
        <v>Paid</v>
      </c>
      <c r="AN55" s="3" t="s">
        <v>35</v>
      </c>
      <c r="AO55" s="8" t="str">
        <f>PROPER(TRIM(SUBSTITUTE(AN55,".","")))</f>
        <v>Completed</v>
      </c>
      <c r="AP55" t="str">
        <f>IF(COUNTIF($A$2:$A$933, A55) &gt; 1, "Duplicate ID", "Unique")</f>
        <v>Duplicate ID</v>
      </c>
      <c r="AQ55" t="s">
        <v>4106</v>
      </c>
      <c r="AR55">
        <f t="shared" si="4"/>
        <v>3857.0449999999996</v>
      </c>
      <c r="AS55">
        <f t="shared" si="5"/>
        <v>1087.7849999999994</v>
      </c>
      <c r="AT55" s="15">
        <f t="shared" si="6"/>
        <v>0.28202548842442843</v>
      </c>
      <c r="AU55" t="str">
        <f t="shared" si="7"/>
        <v>Invalid</v>
      </c>
      <c r="AV55" s="8" t="str">
        <f t="shared" si="8"/>
        <v>Active</v>
      </c>
    </row>
    <row r="56" spans="1:48">
      <c r="A56" s="3" t="s">
        <v>462</v>
      </c>
      <c r="B56" s="3" t="s">
        <v>463</v>
      </c>
      <c r="C56" s="9">
        <f>IFERROR(DATEVALUE(TEXT(B56,"DD/MM/YYYY")), IF(ISNUMBER(B56), B56, ""))</f>
        <v>45333</v>
      </c>
      <c r="D56" s="9" t="str">
        <f>IF(B56="","Missing", IF(AND(ISNUMBER(B56)=FALSE, C56=""),"Invalid - Could Not Parse", IF(AND(ISNUMBER(B56)=FALSE, C56&lt;&gt;""),"Text - Converted to Date", IF(ISNUMBER(B56),"Valid","Check"))))</f>
        <v>Text - Converted to Date</v>
      </c>
      <c r="E56" s="5">
        <f t="shared" si="0"/>
        <v>2</v>
      </c>
      <c r="F56" s="5">
        <f t="shared" si="1"/>
        <v>2024</v>
      </c>
      <c r="G56" s="3" t="s">
        <v>464</v>
      </c>
      <c r="H56" s="9">
        <f>IFERROR(DATEVALUE(TEXT(G56,"DD/MM/YYYY")), IF(ISNUMBER(G56), G56, ""))</f>
        <v>45329</v>
      </c>
      <c r="I56" s="9" t="str">
        <f>IF(G56="","Missing", IF(AND(ISNUMBER(G56)=FALSE, H56=""),"Invalid - Could Not Parse", IF(AND(ISNUMBER(G56)=FALSE, H56&lt;&gt;""),"Text - Converted to Date", IF(ISNUMBER(G56),"Valid","Check"))))</f>
        <v>Text - Converted to Date</v>
      </c>
      <c r="J56" s="9" t="str">
        <f>IF(OR(C56="", H56=""), "Cannot Check - Date Missing", IF(H56&lt;C56, "Invalid - Ship Before Order", "Valid"))</f>
        <v>Invalid - Ship Before Order</v>
      </c>
      <c r="K56" s="5" t="str">
        <f>IF(OR(C56="", H56=""), "", IF(H56&lt;C56, "", H56-C56))</f>
        <v/>
      </c>
      <c r="L56" s="3" t="s">
        <v>465</v>
      </c>
      <c r="M56" s="3" t="s">
        <v>25</v>
      </c>
      <c r="N56" s="4" t="str">
        <f>TRIM(SUBSTITUTE(M56,"_"," "))</f>
        <v>Karan Malhotra</v>
      </c>
      <c r="O56" s="3" t="s">
        <v>115</v>
      </c>
      <c r="P56" s="6" t="str">
        <f>PROPER(TRIM(SUBSTITUTE(O56,".","")))</f>
        <v>Home Office</v>
      </c>
      <c r="Q56" s="3" t="s">
        <v>62</v>
      </c>
      <c r="R56" s="7" t="str">
        <f>PROPER(TRIM(SUBSTITUTE(Q56,"  "," ")))</f>
        <v>South</v>
      </c>
      <c r="S56" s="3" t="s">
        <v>339</v>
      </c>
      <c r="T56" s="6" t="str">
        <f>PROPER(TRIM(SUBSTITUTE(S56,"  "," ")))</f>
        <v>Tamil Nadu</v>
      </c>
      <c r="U56" s="3" t="s">
        <v>340</v>
      </c>
      <c r="V56" s="6" t="str">
        <f>PROPER(TRIM(SUBSTITUTE(U56,"  "," ")))</f>
        <v>Chennai</v>
      </c>
      <c r="W56" s="3" t="s">
        <v>45</v>
      </c>
      <c r="X56" s="6" t="str">
        <f>PROPER(TRIM(SUBSTITUTE(W56,"  "," ")))</f>
        <v>Furniture</v>
      </c>
      <c r="Y56" s="3" t="s">
        <v>46</v>
      </c>
      <c r="Z56" s="6" t="str">
        <f>PROPER(TRIM(SUBSTITUTE(Y56,"  "," ")))</f>
        <v>Tables</v>
      </c>
      <c r="AA56" s="3" t="s">
        <v>466</v>
      </c>
      <c r="AB56" s="3" t="s">
        <v>56</v>
      </c>
      <c r="AC56" s="6" t="str">
        <f>PROPER(TRIM(SUBSTITUTE(AB56,"  "," ")))</f>
        <v>First Class</v>
      </c>
      <c r="AD56" s="3">
        <v>7</v>
      </c>
      <c r="AE56" s="3">
        <v>2287.4699999999998</v>
      </c>
      <c r="AF56" s="3">
        <v>0.15</v>
      </c>
      <c r="AG56" s="17">
        <v>0.15</v>
      </c>
      <c r="AH56" s="6" t="str">
        <f t="shared" si="2"/>
        <v>Valid</v>
      </c>
      <c r="AI56" s="3">
        <v>13610.45</v>
      </c>
      <c r="AJ56" s="3">
        <v>10039.049999999999</v>
      </c>
      <c r="AK56" s="3">
        <v>3571.4</v>
      </c>
      <c r="AL56" s="3" t="s">
        <v>34</v>
      </c>
      <c r="AM56" s="6" t="str">
        <f>PROPER(TRIM(SUBSTITUTE(AL56,".","")))</f>
        <v>Paid</v>
      </c>
      <c r="AN56" s="3" t="s">
        <v>35</v>
      </c>
      <c r="AO56" s="8" t="str">
        <f>PROPER(TRIM(SUBSTITUTE(AN56,".","")))</f>
        <v>Completed</v>
      </c>
      <c r="AP56" t="str">
        <f>IF(COUNTIF($A$2:$A$933, A56) &gt; 1, "Duplicate ID", "Unique")</f>
        <v>Unique</v>
      </c>
      <c r="AR56">
        <f t="shared" si="4"/>
        <v>13610.446499999998</v>
      </c>
      <c r="AS56">
        <f t="shared" si="5"/>
        <v>3571.3964999999989</v>
      </c>
      <c r="AT56" s="15">
        <f t="shared" si="6"/>
        <v>0.26240112695788487</v>
      </c>
      <c r="AU56" t="str">
        <f t="shared" si="7"/>
        <v>Invalid</v>
      </c>
      <c r="AV56" s="8" t="str">
        <f t="shared" si="8"/>
        <v>Active</v>
      </c>
    </row>
    <row r="57" spans="1:48">
      <c r="A57" s="3" t="s">
        <v>1244</v>
      </c>
      <c r="B57" s="3" t="s">
        <v>1245</v>
      </c>
      <c r="C57" s="9">
        <f>IFERROR(DATEVALUE(TEXT(B57,"DD/MM/YYYY")), IF(ISNUMBER(B57), B57, ""))</f>
        <v>45333</v>
      </c>
      <c r="D57" s="9" t="str">
        <f>IF(B57="","Missing", IF(AND(ISNUMBER(B57)=FALSE, C57=""),"Invalid - Could Not Parse", IF(AND(ISNUMBER(B57)=FALSE, C57&lt;&gt;""),"Text - Converted to Date", IF(ISNUMBER(B57),"Valid","Check"))))</f>
        <v>Text - Converted to Date</v>
      </c>
      <c r="E57" s="5">
        <f t="shared" si="0"/>
        <v>2</v>
      </c>
      <c r="F57" s="5">
        <f t="shared" si="1"/>
        <v>2024</v>
      </c>
      <c r="G57" s="3" t="s">
        <v>1246</v>
      </c>
      <c r="H57" s="9">
        <f>IFERROR(DATEVALUE(TEXT(G57,"DD/MM/YYYY")), IF(ISNUMBER(G57), G57, ""))</f>
        <v>45362</v>
      </c>
      <c r="I57" s="9" t="str">
        <f>IF(G57="","Missing", IF(AND(ISNUMBER(G57)=FALSE, H57=""),"Invalid - Could Not Parse", IF(AND(ISNUMBER(G57)=FALSE, H57&lt;&gt;""),"Text - Converted to Date", IF(ISNUMBER(G57),"Valid","Check"))))</f>
        <v>Text - Converted to Date</v>
      </c>
      <c r="J57" s="9" t="str">
        <f>IF(OR(C57="", H57=""), "Cannot Check - Date Missing", IF(H57&lt;C57, "Invalid - Ship Before Order", "Valid"))</f>
        <v>Valid</v>
      </c>
      <c r="K57" s="5">
        <f>IF(OR(C57="", H57=""), "", IF(H57&lt;C57, "", H57-C57))</f>
        <v>29</v>
      </c>
      <c r="L57" s="3" t="s">
        <v>1247</v>
      </c>
      <c r="M57" s="3" t="s">
        <v>148</v>
      </c>
      <c r="N57" s="4" t="str">
        <f>TRIM(SUBSTITUTE(M57,"_"," "))</f>
        <v>Rahul Verma</v>
      </c>
      <c r="O57" s="3" t="s">
        <v>41</v>
      </c>
      <c r="P57" s="6" t="str">
        <f>PROPER(TRIM(SUBSTITUTE(O57,".","")))</f>
        <v>Small Business</v>
      </c>
      <c r="Q57" s="3" t="s">
        <v>73</v>
      </c>
      <c r="R57" s="7" t="str">
        <f>PROPER(TRIM(SUBSTITUTE(Q57,"  "," ")))</f>
        <v>West</v>
      </c>
      <c r="S57" s="3" t="s">
        <v>28</v>
      </c>
      <c r="T57" s="6" t="str">
        <f>PROPER(TRIM(SUBSTITUTE(S57,"  "," ")))</f>
        <v>Rajasthan</v>
      </c>
      <c r="U57" s="3" t="s">
        <v>135</v>
      </c>
      <c r="V57" s="6" t="str">
        <f>PROPER(TRIM(SUBSTITUTE(U57,"  "," ")))</f>
        <v>Udaipur</v>
      </c>
      <c r="W57" s="3" t="s">
        <v>30</v>
      </c>
      <c r="X57" s="6" t="str">
        <f>PROPER(TRIM(SUBSTITUTE(W57,"  "," ")))</f>
        <v>Office Supplies</v>
      </c>
      <c r="Y57" s="3" t="s">
        <v>156</v>
      </c>
      <c r="Z57" s="6" t="str">
        <f>PROPER(TRIM(SUBSTITUTE(Y57,"  "," ")))</f>
        <v>Storage</v>
      </c>
      <c r="AA57" s="3" t="s">
        <v>1248</v>
      </c>
      <c r="AB57" s="3" t="s">
        <v>67</v>
      </c>
      <c r="AC57" s="6" t="str">
        <f>PROPER(TRIM(SUBSTITUTE(AB57,"  "," ")))</f>
        <v>Standard Class</v>
      </c>
      <c r="AD57" s="3">
        <v>6</v>
      </c>
      <c r="AE57" s="3">
        <v>2671.29</v>
      </c>
      <c r="AF57" s="3">
        <v>0.05</v>
      </c>
      <c r="AG57" s="17">
        <v>0.05</v>
      </c>
      <c r="AH57" s="6" t="str">
        <f t="shared" si="2"/>
        <v>Valid</v>
      </c>
      <c r="AI57" s="3">
        <v>15226.35</v>
      </c>
      <c r="AJ57" s="3">
        <v>11145.28</v>
      </c>
      <c r="AK57" s="3">
        <v>4081.07</v>
      </c>
      <c r="AL57" s="3" t="s">
        <v>34</v>
      </c>
      <c r="AM57" s="6" t="str">
        <f>PROPER(TRIM(SUBSTITUTE(AL57,".","")))</f>
        <v>Paid</v>
      </c>
      <c r="AN57" s="3" t="s">
        <v>35</v>
      </c>
      <c r="AO57" s="8" t="str">
        <f>PROPER(TRIM(SUBSTITUTE(AN57,".","")))</f>
        <v>Completed</v>
      </c>
      <c r="AP57" t="str">
        <f>IF(COUNTIF($A$2:$A$933, A57) &gt; 1, "Duplicate ID", "Unique")</f>
        <v>Unique</v>
      </c>
      <c r="AR57">
        <f t="shared" si="4"/>
        <v>15226.352999999999</v>
      </c>
      <c r="AS57">
        <f t="shared" si="5"/>
        <v>4081.0729999999985</v>
      </c>
      <c r="AT57" s="15">
        <f t="shared" si="6"/>
        <v>0.26802695300706603</v>
      </c>
      <c r="AU57" t="str">
        <f t="shared" si="7"/>
        <v>Clean</v>
      </c>
      <c r="AV57" s="8" t="str">
        <f t="shared" si="8"/>
        <v>Active</v>
      </c>
    </row>
    <row r="58" spans="1:48">
      <c r="A58" s="3" t="s">
        <v>2305</v>
      </c>
      <c r="B58" s="3" t="s">
        <v>2306</v>
      </c>
      <c r="C58" s="9">
        <f>IFERROR(DATEVALUE(TEXT(B58,"DD/MM/YYYY")), IF(ISNUMBER(B58), B58, ""))</f>
        <v>45333</v>
      </c>
      <c r="D58" s="9" t="str">
        <f>IF(B58="","Missing", IF(AND(ISNUMBER(B58)=FALSE, C58=""),"Invalid - Could Not Parse", IF(AND(ISNUMBER(B58)=FALSE, C58&lt;&gt;""),"Text - Converted to Date", IF(ISNUMBER(B58),"Valid","Check"))))</f>
        <v>Text - Converted to Date</v>
      </c>
      <c r="E58" s="5">
        <f t="shared" si="0"/>
        <v>2</v>
      </c>
      <c r="F58" s="5">
        <f t="shared" si="1"/>
        <v>2024</v>
      </c>
      <c r="G58" s="3" t="s">
        <v>2307</v>
      </c>
      <c r="H58" s="9">
        <f>IFERROR(DATEVALUE(MID(G58,4,2) &amp; "/" &amp; LEFT(G58,2) &amp; "/" &amp; RIGHT(G58,4)), IF(ISNUMBER(G58), G58, IFERROR(DATEVALUE(G58), "")))</f>
        <v>45337</v>
      </c>
      <c r="I58" s="9" t="str">
        <f>IF(G58="","Missing", IF(AND(ISNUMBER(G58)=FALSE, H58=""),"Invalid - Could Not Parse", IF(AND(ISNUMBER(G58)=FALSE, H58&lt;&gt;""),"Text - Converted to Date", IF(ISNUMBER(G58),"Valid","Check"))))</f>
        <v>Text - Converted to Date</v>
      </c>
      <c r="J58" s="9" t="str">
        <f>IF(OR(C58="", H58=""), "Cannot Check - Date Missing", IF(H58&lt;C58, "Invalid - Ship Before Order", "Valid"))</f>
        <v>Valid</v>
      </c>
      <c r="K58" s="5">
        <f>IF(OR(C58="", H58=""), "", IF(H58&lt;C58, "", H58-C58))</f>
        <v>4</v>
      </c>
      <c r="L58" s="3" t="s">
        <v>2308</v>
      </c>
      <c r="M58" s="3" t="s">
        <v>366</v>
      </c>
      <c r="N58" s="4" t="str">
        <f>TRIM(SUBSTITUTE(M58,"_"," "))</f>
        <v>Kabir Singh</v>
      </c>
      <c r="O58" s="3" t="s">
        <v>26</v>
      </c>
      <c r="P58" s="6" t="str">
        <f>PROPER(TRIM(SUBSTITUTE(O58,".","")))</f>
        <v>Consumer</v>
      </c>
      <c r="Q58" s="3" t="s">
        <v>62</v>
      </c>
      <c r="R58" s="7" t="str">
        <f>PROPER(TRIM(SUBSTITUTE(Q58,"  "," ")))</f>
        <v>South</v>
      </c>
      <c r="S58" s="3" t="s">
        <v>63</v>
      </c>
      <c r="T58" s="6" t="str">
        <f>PROPER(TRIM(SUBSTITUTE(S58,"  "," ")))</f>
        <v>Telangana</v>
      </c>
      <c r="U58" s="3" t="s">
        <v>64</v>
      </c>
      <c r="V58" s="6" t="str">
        <f>PROPER(TRIM(SUBSTITUTE(U58,"  "," ")))</f>
        <v>Hyderabad</v>
      </c>
      <c r="W58" s="3" t="s">
        <v>30</v>
      </c>
      <c r="X58" s="6" t="str">
        <f>PROPER(TRIM(SUBSTITUTE(W58,"  "," ")))</f>
        <v>Office Supplies</v>
      </c>
      <c r="Y58" s="3" t="s">
        <v>198</v>
      </c>
      <c r="Z58" s="6" t="str">
        <f>PROPER(TRIM(SUBSTITUTE(Y58,"  "," ")))</f>
        <v>Binders</v>
      </c>
      <c r="AA58" s="3" t="s">
        <v>2309</v>
      </c>
      <c r="AB58" s="3" t="s">
        <v>67</v>
      </c>
      <c r="AC58" s="6" t="str">
        <f>PROPER(TRIM(SUBSTITUTE(AB58,"  "," ")))</f>
        <v>Standard Class</v>
      </c>
      <c r="AD58" s="3">
        <v>3</v>
      </c>
      <c r="AE58" s="3">
        <v>3019.14</v>
      </c>
      <c r="AF58" s="3">
        <v>0.25</v>
      </c>
      <c r="AG58" s="17">
        <v>0.25</v>
      </c>
      <c r="AH58" s="6" t="str">
        <f t="shared" si="2"/>
        <v>Valid</v>
      </c>
      <c r="AI58" s="3">
        <v>6793.07</v>
      </c>
      <c r="AJ58" s="3">
        <v>4985.22</v>
      </c>
      <c r="AK58" s="3">
        <v>1807.85</v>
      </c>
      <c r="AL58" s="3" t="s">
        <v>34</v>
      </c>
      <c r="AM58" s="6" t="str">
        <f>PROPER(TRIM(SUBSTITUTE(AL58,".","")))</f>
        <v>Paid</v>
      </c>
      <c r="AN58" s="3" t="s">
        <v>35</v>
      </c>
      <c r="AO58" s="8" t="str">
        <f>PROPER(TRIM(SUBSTITUTE(AN58,".","")))</f>
        <v>Completed</v>
      </c>
      <c r="AP58" t="str">
        <f>IF(COUNTIF($A$2:$A$933, A58) &gt; 1, "Duplicate ID", "Unique")</f>
        <v>Unique</v>
      </c>
      <c r="AR58">
        <f t="shared" si="4"/>
        <v>6793.0650000000005</v>
      </c>
      <c r="AS58">
        <f t="shared" si="5"/>
        <v>1807.8450000000003</v>
      </c>
      <c r="AT58" s="15">
        <f t="shared" si="6"/>
        <v>0.26613097327936652</v>
      </c>
      <c r="AU58" t="str">
        <f t="shared" si="7"/>
        <v>Clean</v>
      </c>
      <c r="AV58" s="8" t="str">
        <f t="shared" si="8"/>
        <v>Active</v>
      </c>
    </row>
    <row r="59" spans="1:48">
      <c r="A59" s="3" t="s">
        <v>2920</v>
      </c>
      <c r="B59" s="3" t="s">
        <v>2306</v>
      </c>
      <c r="C59" s="9">
        <f>IFERROR(DATEVALUE(TEXT(B59,"DD/MM/YYYY")), IF(ISNUMBER(B59), B59, ""))</f>
        <v>45333</v>
      </c>
      <c r="D59" s="9" t="str">
        <f>IF(B59="","Missing", IF(AND(ISNUMBER(B59)=FALSE, C59=""),"Invalid - Could Not Parse", IF(AND(ISNUMBER(B59)=FALSE, C59&lt;&gt;""),"Text - Converted to Date", IF(ISNUMBER(B59),"Valid","Check"))))</f>
        <v>Text - Converted to Date</v>
      </c>
      <c r="E59" s="5">
        <f t="shared" si="0"/>
        <v>2</v>
      </c>
      <c r="F59" s="5">
        <f t="shared" si="1"/>
        <v>2024</v>
      </c>
      <c r="G59" s="3" t="s">
        <v>2921</v>
      </c>
      <c r="H59" s="9">
        <f>IFERROR(DATEVALUE(TEXT(G59,"DD/MM/YYYY")), IF(ISNUMBER(G59), G59, ""))</f>
        <v>45341</v>
      </c>
      <c r="I59" s="9" t="str">
        <f>IF(G59="","Missing", IF(AND(ISNUMBER(G59)=FALSE, H59=""),"Invalid - Could Not Parse", IF(AND(ISNUMBER(G59)=FALSE, H59&lt;&gt;""),"Text - Converted to Date", IF(ISNUMBER(G59),"Valid","Check"))))</f>
        <v>Text - Converted to Date</v>
      </c>
      <c r="J59" s="9" t="str">
        <f>IF(OR(C59="", H59=""), "Cannot Check - Date Missing", IF(H59&lt;C59, "Invalid - Ship Before Order", "Valid"))</f>
        <v>Valid</v>
      </c>
      <c r="K59" s="5">
        <f>IF(OR(C59="", H59=""), "", IF(H59&lt;C59, "", H59-C59))</f>
        <v>8</v>
      </c>
      <c r="L59" s="3" t="s">
        <v>2922</v>
      </c>
      <c r="M59" s="3" t="s">
        <v>72</v>
      </c>
      <c r="N59" s="4" t="str">
        <f>TRIM(SUBSTITUTE(M59,"_"," "))</f>
        <v>Ananya Rao</v>
      </c>
      <c r="O59" s="3" t="s">
        <v>115</v>
      </c>
      <c r="P59" s="6" t="str">
        <f>PROPER(TRIM(SUBSTITUTE(O59,".","")))</f>
        <v>Home Office</v>
      </c>
      <c r="Q59" s="3" t="s">
        <v>62</v>
      </c>
      <c r="R59" s="7" t="str">
        <f>PROPER(TRIM(SUBSTITUTE(Q59,"  "," ")))</f>
        <v>South</v>
      </c>
      <c r="S59" s="3" t="s">
        <v>63</v>
      </c>
      <c r="T59" s="6" t="str">
        <f>PROPER(TRIM(SUBSTITUTE(S59,"  "," ")))</f>
        <v>Telangana</v>
      </c>
      <c r="U59" s="3" t="s">
        <v>64</v>
      </c>
      <c r="V59" s="6" t="str">
        <f>PROPER(TRIM(SUBSTITUTE(U59,"  "," ")))</f>
        <v>Hyderabad</v>
      </c>
      <c r="W59" s="3" t="s">
        <v>45</v>
      </c>
      <c r="X59" s="6" t="str">
        <f>PROPER(TRIM(SUBSTITUTE(W59,"  "," ")))</f>
        <v>Furniture</v>
      </c>
      <c r="Y59" s="3" t="s">
        <v>76</v>
      </c>
      <c r="Z59" s="6" t="str">
        <f>PROPER(TRIM(SUBSTITUTE(Y59,"  "," ")))</f>
        <v>Chairs</v>
      </c>
      <c r="AA59" s="3" t="s">
        <v>2923</v>
      </c>
      <c r="AB59" s="3" t="s">
        <v>67</v>
      </c>
      <c r="AC59" s="6" t="str">
        <f>PROPER(TRIM(SUBSTITUTE(AB59,"  "," ")))</f>
        <v>Standard Class</v>
      </c>
      <c r="AD59" s="3">
        <v>8</v>
      </c>
      <c r="AE59" s="3">
        <v>3398.32</v>
      </c>
      <c r="AF59" s="3">
        <v>0.25</v>
      </c>
      <c r="AG59" s="17">
        <v>0.25</v>
      </c>
      <c r="AH59" s="6" t="str">
        <f t="shared" si="2"/>
        <v>Valid</v>
      </c>
      <c r="AI59" s="3">
        <v>20389.919999999998</v>
      </c>
      <c r="AJ59" s="3">
        <v>16661.080000000002</v>
      </c>
      <c r="AK59" s="3">
        <v>3728.84</v>
      </c>
      <c r="AL59" s="3" t="s">
        <v>124</v>
      </c>
      <c r="AM59" s="6" t="str">
        <f>PROPER(TRIM(SUBSTITUTE(AL59,".","")))</f>
        <v>Refunded</v>
      </c>
      <c r="AN59" s="3" t="s">
        <v>78</v>
      </c>
      <c r="AO59" s="8" t="str">
        <f>PROPER(TRIM(SUBSTITUTE(AN59,".","")))</f>
        <v>Cancelled</v>
      </c>
      <c r="AP59" t="str">
        <f>IF(COUNTIF($A$2:$A$933, A59) &gt; 1, "Duplicate ID", "Unique")</f>
        <v>Unique</v>
      </c>
      <c r="AR59">
        <f t="shared" si="4"/>
        <v>20389.920000000002</v>
      </c>
      <c r="AS59">
        <f t="shared" si="5"/>
        <v>3728.84</v>
      </c>
      <c r="AT59" s="15">
        <f t="shared" si="6"/>
        <v>0.18287663708342161</v>
      </c>
      <c r="AU59" t="str">
        <f t="shared" si="7"/>
        <v>Clean</v>
      </c>
      <c r="AV59" s="8" t="str">
        <f t="shared" si="8"/>
        <v>Refund</v>
      </c>
    </row>
    <row r="60" spans="1:48">
      <c r="A60" s="3" t="s">
        <v>658</v>
      </c>
      <c r="B60" s="3" t="s">
        <v>659</v>
      </c>
      <c r="C60" s="9">
        <f>IFERROR(DATEVALUE(TEXT(B60,"DD/MM/YYYY")), IF(ISNUMBER(B60), B60, ""))</f>
        <v>45334</v>
      </c>
      <c r="D60" s="9" t="str">
        <f>IF(B60="","Missing", IF(AND(ISNUMBER(B60)=FALSE, C60=""),"Invalid - Could Not Parse", IF(AND(ISNUMBER(B60)=FALSE, C60&lt;&gt;""),"Text - Converted to Date", IF(ISNUMBER(B60),"Valid","Check"))))</f>
        <v>Text - Converted to Date</v>
      </c>
      <c r="E60" s="5">
        <f t="shared" si="0"/>
        <v>2</v>
      </c>
      <c r="F60" s="5">
        <f t="shared" si="1"/>
        <v>2024</v>
      </c>
      <c r="G60" s="3" t="s">
        <v>659</v>
      </c>
      <c r="H60" s="9">
        <f>IFERROR(DATEVALUE(TEXT(G60,"DD/MM/YYYY")), IF(ISNUMBER(G60), G60, ""))</f>
        <v>45334</v>
      </c>
      <c r="I60" s="9" t="str">
        <f>IF(G60="","Missing", IF(AND(ISNUMBER(G60)=FALSE, H60=""),"Invalid - Could Not Parse", IF(AND(ISNUMBER(G60)=FALSE, H60&lt;&gt;""),"Text - Converted to Date", IF(ISNUMBER(G60),"Valid","Check"))))</f>
        <v>Text - Converted to Date</v>
      </c>
      <c r="J60" s="9" t="str">
        <f>IF(OR(C60="", H60=""), "Cannot Check - Date Missing", IF(H60&lt;C60, "Invalid - Ship Before Order", "Valid"))</f>
        <v>Valid</v>
      </c>
      <c r="K60" s="5">
        <f>IF(OR(C60="", H60=""), "", IF(H60&lt;C60, "", H60-C60))</f>
        <v>0</v>
      </c>
      <c r="L60" s="3" t="s">
        <v>521</v>
      </c>
      <c r="M60" s="3" t="s">
        <v>53</v>
      </c>
      <c r="N60" s="4" t="str">
        <f>TRIM(SUBSTITUTE(M60,"_"," "))</f>
        <v>Isha Nair</v>
      </c>
      <c r="O60" s="3" t="s">
        <v>115</v>
      </c>
      <c r="P60" s="6" t="str">
        <f>PROPER(TRIM(SUBSTITUTE(O60,".","")))</f>
        <v>Home Office</v>
      </c>
      <c r="Q60" s="3" t="s">
        <v>62</v>
      </c>
      <c r="R60" s="7" t="str">
        <f>PROPER(TRIM(SUBSTITUTE(Q60,"  "," ")))</f>
        <v>South</v>
      </c>
      <c r="S60" s="3" t="s">
        <v>339</v>
      </c>
      <c r="T60" s="6" t="str">
        <f>PROPER(TRIM(SUBSTITUTE(S60,"  "," ")))</f>
        <v>Tamil Nadu</v>
      </c>
      <c r="U60" s="3" t="s">
        <v>340</v>
      </c>
      <c r="V60" s="6" t="str">
        <f>PROPER(TRIM(SUBSTITUTE(U60,"  "," ")))</f>
        <v>Chennai</v>
      </c>
      <c r="W60" s="3" t="s">
        <v>45</v>
      </c>
      <c r="X60" s="6" t="str">
        <f>PROPER(TRIM(SUBSTITUTE(W60,"  "," ")))</f>
        <v>Furniture</v>
      </c>
      <c r="Y60" s="3" t="s">
        <v>46</v>
      </c>
      <c r="Z60" s="6" t="str">
        <f>PROPER(TRIM(SUBSTITUTE(Y60,"  "," ")))</f>
        <v>Tables</v>
      </c>
      <c r="AA60" s="3" t="s">
        <v>660</v>
      </c>
      <c r="AB60" s="3" t="s">
        <v>67</v>
      </c>
      <c r="AC60" s="6" t="str">
        <f>PROPER(TRIM(SUBSTITUTE(AB60,"  "," ")))</f>
        <v>Standard Class</v>
      </c>
      <c r="AD60" s="3">
        <v>3</v>
      </c>
      <c r="AE60" s="3">
        <v>1089.1500000000001</v>
      </c>
      <c r="AF60" s="3">
        <v>0.25</v>
      </c>
      <c r="AG60" s="17">
        <v>0.25</v>
      </c>
      <c r="AH60" s="6" t="str">
        <f t="shared" si="2"/>
        <v>Valid</v>
      </c>
      <c r="AI60" s="3">
        <v>2450.59</v>
      </c>
      <c r="AJ60" s="3">
        <v>1639.89</v>
      </c>
      <c r="AK60" s="3">
        <v>810.7</v>
      </c>
      <c r="AL60" s="3" t="s">
        <v>34</v>
      </c>
      <c r="AM60" s="6" t="str">
        <f>PROPER(TRIM(SUBSTITUTE(AL60,".","")))</f>
        <v>Paid</v>
      </c>
      <c r="AN60" s="3" t="s">
        <v>35</v>
      </c>
      <c r="AO60" s="8" t="str">
        <f>PROPER(TRIM(SUBSTITUTE(AN60,".","")))</f>
        <v>Completed</v>
      </c>
      <c r="AP60" t="str">
        <f>IF(COUNTIF($A$2:$A$933, A60) &gt; 1, "Duplicate ID", "Unique")</f>
        <v>Unique</v>
      </c>
      <c r="AR60">
        <f t="shared" si="4"/>
        <v>2450.5875000000001</v>
      </c>
      <c r="AS60">
        <f t="shared" si="5"/>
        <v>810.69749999999999</v>
      </c>
      <c r="AT60" s="15">
        <f t="shared" si="6"/>
        <v>0.33081761006289306</v>
      </c>
      <c r="AU60" t="str">
        <f t="shared" si="7"/>
        <v>Clean</v>
      </c>
      <c r="AV60" s="8" t="str">
        <f t="shared" si="8"/>
        <v>Active</v>
      </c>
    </row>
    <row r="61" spans="1:48">
      <c r="A61" s="3" t="s">
        <v>858</v>
      </c>
      <c r="B61" s="3" t="s">
        <v>859</v>
      </c>
      <c r="C61" s="9">
        <f>IFERROR(DATEVALUE(TEXT(B61,"DD/MM/YYYY")), IF(ISNUMBER(B61), B61, ""))</f>
        <v>45334</v>
      </c>
      <c r="D61" s="9" t="str">
        <f>IF(B61="","Missing", IF(AND(ISNUMBER(B61)=FALSE, C61=""),"Invalid - Could Not Parse", IF(AND(ISNUMBER(B61)=FALSE, C61&lt;&gt;""),"Text - Converted to Date", IF(ISNUMBER(B61),"Valid","Check"))))</f>
        <v>Text - Converted to Date</v>
      </c>
      <c r="E61" s="5">
        <f t="shared" si="0"/>
        <v>2</v>
      </c>
      <c r="F61" s="5">
        <f t="shared" si="1"/>
        <v>2024</v>
      </c>
      <c r="G61" s="3" t="s">
        <v>860</v>
      </c>
      <c r="H61" s="9">
        <f>IFERROR(DATEVALUE(TEXT(G61,"DD/MM/YYYY")), IF(ISNUMBER(G61), G61, ""))</f>
        <v>45598</v>
      </c>
      <c r="I61" s="9" t="str">
        <f>IF(G61="","Missing", IF(AND(ISNUMBER(G61)=FALSE, H61=""),"Invalid - Could Not Parse", IF(AND(ISNUMBER(G61)=FALSE, H61&lt;&gt;""),"Text - Converted to Date", IF(ISNUMBER(G61),"Valid","Check"))))</f>
        <v>Text - Converted to Date</v>
      </c>
      <c r="J61" s="9" t="str">
        <f>IF(OR(C61="", H61=""), "Cannot Check - Date Missing", IF(H61&lt;C61, "Invalid - Ship Before Order", "Valid"))</f>
        <v>Valid</v>
      </c>
      <c r="K61" s="5">
        <f>IF(OR(C61="", H61=""), "", IF(H61&lt;C61, "", H61-C61))</f>
        <v>264</v>
      </c>
      <c r="L61" s="3" t="s">
        <v>669</v>
      </c>
      <c r="M61" s="3" t="s">
        <v>142</v>
      </c>
      <c r="N61" s="4" t="str">
        <f>TRIM(SUBSTITUTE(M61,"_"," "))</f>
        <v>Priya Menon</v>
      </c>
      <c r="O61" s="3" t="s">
        <v>26</v>
      </c>
      <c r="P61" s="6" t="str">
        <f>PROPER(TRIM(SUBSTITUTE(O61,".","")))</f>
        <v>Consumer</v>
      </c>
      <c r="Q61" s="3" t="s">
        <v>62</v>
      </c>
      <c r="R61" s="7" t="str">
        <f>PROPER(TRIM(SUBSTITUTE(Q61,"  "," ")))</f>
        <v>South</v>
      </c>
      <c r="S61" s="3" t="s">
        <v>339</v>
      </c>
      <c r="T61" s="6" t="str">
        <f>PROPER(TRIM(SUBSTITUTE(S61,"  "," ")))</f>
        <v>Tamil Nadu</v>
      </c>
      <c r="U61" s="3" t="s">
        <v>340</v>
      </c>
      <c r="V61" s="6" t="str">
        <f>PROPER(TRIM(SUBSTITUTE(U61,"  "," ")))</f>
        <v>Chennai</v>
      </c>
      <c r="W61" s="3" t="s">
        <v>45</v>
      </c>
      <c r="X61" s="6" t="str">
        <f>PROPER(TRIM(SUBSTITUTE(W61,"  "," ")))</f>
        <v>Furniture</v>
      </c>
      <c r="Y61" s="3" t="s">
        <v>204</v>
      </c>
      <c r="Z61" s="6" t="str">
        <f>PROPER(TRIM(SUBSTITUTE(Y61,"  "," ")))</f>
        <v>Bookcases</v>
      </c>
      <c r="AA61" s="3" t="s">
        <v>861</v>
      </c>
      <c r="AB61" s="3" t="s">
        <v>48</v>
      </c>
      <c r="AC61" s="6" t="str">
        <f>PROPER(TRIM(SUBSTITUTE(AB61,"  "," ")))</f>
        <v>Same Day</v>
      </c>
      <c r="AD61" s="3">
        <v>1</v>
      </c>
      <c r="AE61" s="3">
        <v>2599.12</v>
      </c>
      <c r="AF61" s="3">
        <v>0.15</v>
      </c>
      <c r="AG61" s="17">
        <v>0.15</v>
      </c>
      <c r="AH61" s="6" t="str">
        <f t="shared" si="2"/>
        <v>Valid</v>
      </c>
      <c r="AI61" s="3">
        <v>2209.25</v>
      </c>
      <c r="AJ61" s="3">
        <v>1523.78</v>
      </c>
      <c r="AK61" s="3">
        <v>685.47</v>
      </c>
      <c r="AL61" s="3" t="s">
        <v>34</v>
      </c>
      <c r="AM61" s="6" t="str">
        <f>PROPER(TRIM(SUBSTITUTE(AL61,".","")))</f>
        <v>Paid</v>
      </c>
      <c r="AN61" s="3" t="s">
        <v>35</v>
      </c>
      <c r="AO61" s="8" t="str">
        <f>PROPER(TRIM(SUBSTITUTE(AN61,".","")))</f>
        <v>Completed</v>
      </c>
      <c r="AP61" t="str">
        <f>IF(COUNTIF($A$2:$A$933, A61) &gt; 1, "Duplicate ID", "Unique")</f>
        <v>Unique</v>
      </c>
      <c r="AR61">
        <f t="shared" si="4"/>
        <v>2209.252</v>
      </c>
      <c r="AS61">
        <f t="shared" si="5"/>
        <v>685.47199999999998</v>
      </c>
      <c r="AT61" s="15">
        <f t="shared" si="6"/>
        <v>0.31027334138432372</v>
      </c>
      <c r="AU61" t="str">
        <f t="shared" si="7"/>
        <v>Clean</v>
      </c>
      <c r="AV61" s="8" t="str">
        <f t="shared" si="8"/>
        <v>Active</v>
      </c>
    </row>
    <row r="62" spans="1:48">
      <c r="A62" s="3" t="s">
        <v>676</v>
      </c>
      <c r="B62" s="3" t="s">
        <v>677</v>
      </c>
      <c r="C62" s="9">
        <f>IFERROR(DATEVALUE(TEXT(B62,"DD/MM/YYYY")), IF(ISNUMBER(B62), B62, ""))</f>
        <v>45337</v>
      </c>
      <c r="D62" s="9" t="str">
        <f>IF(B62="","Missing", IF(AND(ISNUMBER(B62)=FALSE, C62=""),"Invalid - Could Not Parse", IF(AND(ISNUMBER(B62)=FALSE, C62&lt;&gt;""),"Text - Converted to Date", IF(ISNUMBER(B62),"Valid","Check"))))</f>
        <v>Text - Converted to Date</v>
      </c>
      <c r="E62" s="5">
        <f t="shared" si="0"/>
        <v>2</v>
      </c>
      <c r="F62" s="5">
        <f t="shared" si="1"/>
        <v>2024</v>
      </c>
      <c r="G62" s="3" t="s">
        <v>678</v>
      </c>
      <c r="H62" s="9">
        <f>IFERROR(DATEVALUE(TEXT(G62,"DD/MM/YYYY")), IF(ISNUMBER(G62), G62, ""))</f>
        <v>45339</v>
      </c>
      <c r="I62" s="9" t="str">
        <f>IF(G62="","Missing", IF(AND(ISNUMBER(G62)=FALSE, H62=""),"Invalid - Could Not Parse", IF(AND(ISNUMBER(G62)=FALSE, H62&lt;&gt;""),"Text - Converted to Date", IF(ISNUMBER(G62),"Valid","Check"))))</f>
        <v>Text - Converted to Date</v>
      </c>
      <c r="J62" s="9" t="str">
        <f>IF(OR(C62="", H62=""), "Cannot Check - Date Missing", IF(H62&lt;C62, "Invalid - Ship Before Order", "Valid"))</f>
        <v>Valid</v>
      </c>
      <c r="K62" s="5">
        <f>IF(OR(C62="", H62=""), "", IF(H62&lt;C62, "", H62-C62))</f>
        <v>2</v>
      </c>
      <c r="L62" s="3" t="s">
        <v>679</v>
      </c>
      <c r="M62" s="3" t="s">
        <v>40</v>
      </c>
      <c r="N62" s="4" t="str">
        <f>TRIM(SUBSTITUTE(M62,"_"," "))</f>
        <v>Mira Das</v>
      </c>
      <c r="O62" s="3" t="s">
        <v>115</v>
      </c>
      <c r="P62" s="6" t="str">
        <f>PROPER(TRIM(SUBSTITUTE(O62,".","")))</f>
        <v>Home Office</v>
      </c>
      <c r="Q62" s="3" t="s">
        <v>62</v>
      </c>
      <c r="R62" s="7" t="str">
        <f>PROPER(TRIM(SUBSTITUTE(Q62,"  "," ")))</f>
        <v>South</v>
      </c>
      <c r="S62" s="3" t="s">
        <v>339</v>
      </c>
      <c r="T62" s="6" t="str">
        <f>PROPER(TRIM(SUBSTITUTE(S62,"  "," ")))</f>
        <v>Tamil Nadu</v>
      </c>
      <c r="U62" s="3" t="s">
        <v>340</v>
      </c>
      <c r="V62" s="6" t="str">
        <f>PROPER(TRIM(SUBSTITUTE(U62,"  "," ")))</f>
        <v>Chennai</v>
      </c>
      <c r="W62" s="3" t="s">
        <v>86</v>
      </c>
      <c r="X62" s="6" t="str">
        <f>PROPER(TRIM(SUBSTITUTE(W62,"  "," ")))</f>
        <v>Technology</v>
      </c>
      <c r="Y62" s="3" t="s">
        <v>382</v>
      </c>
      <c r="Z62" s="6" t="str">
        <f>PROPER(TRIM(SUBSTITUTE(Y62,"  "," ")))</f>
        <v>Machines</v>
      </c>
      <c r="AA62" s="3" t="s">
        <v>680</v>
      </c>
      <c r="AB62" s="3" t="s">
        <v>67</v>
      </c>
      <c r="AC62" s="6" t="str">
        <f>PROPER(TRIM(SUBSTITUTE(AB62,"  "," ")))</f>
        <v>Standard Class</v>
      </c>
      <c r="AD62" s="3">
        <v>9</v>
      </c>
      <c r="AE62" s="3">
        <v>3324.55</v>
      </c>
      <c r="AF62" s="3" t="s">
        <v>681</v>
      </c>
      <c r="AG62" s="17" t="s">
        <v>681</v>
      </c>
      <c r="AH62" s="6" t="str">
        <f t="shared" si="2"/>
        <v>Invalid - Above Range</v>
      </c>
      <c r="AI62" s="3">
        <v>25432.81</v>
      </c>
      <c r="AJ62" s="3">
        <v>20370.16</v>
      </c>
      <c r="AK62" s="3">
        <v>5062.6499999999996</v>
      </c>
      <c r="AL62" s="3" t="s">
        <v>34</v>
      </c>
      <c r="AM62" s="6" t="str">
        <f>PROPER(TRIM(SUBSTITUTE(AL62,".","")))</f>
        <v>Paid</v>
      </c>
      <c r="AN62" s="3" t="s">
        <v>35</v>
      </c>
      <c r="AO62" s="8" t="str">
        <f>PROPER(TRIM(SUBSTITUTE(AN62,".","")))</f>
        <v>Completed</v>
      </c>
      <c r="AP62" t="str">
        <f>IF(COUNTIF($A$2:$A$933, A62) &gt; 1, "Duplicate ID", "Unique")</f>
        <v>Unique</v>
      </c>
      <c r="AR62">
        <f t="shared" si="4"/>
        <v>8976.2850000000017</v>
      </c>
      <c r="AS62">
        <f t="shared" si="5"/>
        <v>-11393.874999999998</v>
      </c>
      <c r="AT62" s="15">
        <f t="shared" si="6"/>
        <v>-1.2693307977632167</v>
      </c>
      <c r="AU62" t="str">
        <f t="shared" si="7"/>
        <v>Invalid</v>
      </c>
      <c r="AV62" s="8" t="str">
        <f t="shared" si="8"/>
        <v>Active</v>
      </c>
    </row>
    <row r="63" spans="1:48">
      <c r="A63" s="3" t="s">
        <v>1423</v>
      </c>
      <c r="B63" s="3" t="s">
        <v>677</v>
      </c>
      <c r="C63" s="9">
        <f>IFERROR(DATEVALUE(TEXT(B63,"DD/MM/YYYY")), IF(ISNUMBER(B63), B63, ""))</f>
        <v>45337</v>
      </c>
      <c r="D63" s="9" t="str">
        <f>IF(B63="","Missing", IF(AND(ISNUMBER(B63)=FALSE, C63=""),"Invalid - Could Not Parse", IF(AND(ISNUMBER(B63)=FALSE, C63&lt;&gt;""),"Text - Converted to Date", IF(ISNUMBER(B63),"Valid","Check"))))</f>
        <v>Text - Converted to Date</v>
      </c>
      <c r="E63" s="5">
        <f t="shared" si="0"/>
        <v>2</v>
      </c>
      <c r="F63" s="5">
        <f t="shared" si="1"/>
        <v>2024</v>
      </c>
      <c r="G63" s="3" t="s">
        <v>1424</v>
      </c>
      <c r="H63" s="9">
        <f>IFERROR(DATEVALUE(MID(G63,4,2) &amp; "/" &amp; LEFT(G63,2) &amp; "/" &amp; RIGHT(G63,4)), IF(ISNUMBER(G63), G63, IFERROR(DATEVALUE(G63), "")))</f>
        <v>45344</v>
      </c>
      <c r="I63" s="9" t="str">
        <f>IF(G63="","Missing", IF(AND(ISNUMBER(G63)=FALSE, H63=""),"Invalid - Could Not Parse", IF(AND(ISNUMBER(G63)=FALSE, H63&lt;&gt;""),"Text - Converted to Date", IF(ISNUMBER(G63),"Valid","Check"))))</f>
        <v>Text - Converted to Date</v>
      </c>
      <c r="J63" s="9" t="str">
        <f>IF(OR(C63="", H63=""), "Cannot Check - Date Missing", IF(H63&lt;C63, "Invalid - Ship Before Order", "Valid"))</f>
        <v>Valid</v>
      </c>
      <c r="K63" s="5">
        <f>IF(OR(C63="", H63=""), "", IF(H63&lt;C63, "", H63-C63))</f>
        <v>7</v>
      </c>
      <c r="L63" s="3" t="s">
        <v>1425</v>
      </c>
      <c r="M63" s="3" t="s">
        <v>142</v>
      </c>
      <c r="N63" s="4" t="str">
        <f>TRIM(SUBSTITUTE(M63,"_"," "))</f>
        <v>Priya Menon</v>
      </c>
      <c r="O63" s="3" t="s">
        <v>41</v>
      </c>
      <c r="P63" s="6" t="str">
        <f>PROPER(TRIM(SUBSTITUTE(O63,".","")))</f>
        <v>Small Business</v>
      </c>
      <c r="Q63" s="3" t="s">
        <v>42</v>
      </c>
      <c r="R63" s="7" t="str">
        <f>PROPER(TRIM(SUBSTITUTE(Q63,"  "," ")))</f>
        <v>East</v>
      </c>
      <c r="S63" s="3" t="s">
        <v>121</v>
      </c>
      <c r="T63" s="6" t="str">
        <f>PROPER(TRIM(SUBSTITUTE(S63,"  "," ")))</f>
        <v>West Bengal</v>
      </c>
      <c r="U63" s="3" t="s">
        <v>122</v>
      </c>
      <c r="V63" s="6" t="str">
        <f>PROPER(TRIM(SUBSTITUTE(U63,"  "," ")))</f>
        <v>Kolkata</v>
      </c>
      <c r="W63" s="3" t="s">
        <v>45</v>
      </c>
      <c r="X63" s="6" t="str">
        <f>PROPER(TRIM(SUBSTITUTE(W63,"  "," ")))</f>
        <v>Furniture</v>
      </c>
      <c r="Y63" s="3" t="s">
        <v>65</v>
      </c>
      <c r="Z63" s="6" t="str">
        <f>PROPER(TRIM(SUBSTITUTE(Y63,"  "," ")))</f>
        <v>Furnishings</v>
      </c>
      <c r="AA63" s="3" t="s">
        <v>1426</v>
      </c>
      <c r="AB63" s="3" t="s">
        <v>48</v>
      </c>
      <c r="AC63" s="6" t="str">
        <f>PROPER(TRIM(SUBSTITUTE(AB63,"  "," ")))</f>
        <v>Same Day</v>
      </c>
      <c r="AD63" s="3">
        <v>1</v>
      </c>
      <c r="AE63" s="3">
        <v>980.51</v>
      </c>
      <c r="AF63" s="3">
        <v>0</v>
      </c>
      <c r="AG63" s="17">
        <v>0</v>
      </c>
      <c r="AH63" s="6" t="str">
        <f t="shared" si="2"/>
        <v>Valid</v>
      </c>
      <c r="AI63" s="3">
        <v>980.51</v>
      </c>
      <c r="AJ63" s="3">
        <v>660.92</v>
      </c>
      <c r="AK63" s="3">
        <v>319.58999999999997</v>
      </c>
      <c r="AL63" s="3" t="s">
        <v>34</v>
      </c>
      <c r="AM63" s="6" t="str">
        <f>PROPER(TRIM(SUBSTITUTE(AL63,".","")))</f>
        <v>Paid</v>
      </c>
      <c r="AN63" s="3" t="s">
        <v>35</v>
      </c>
      <c r="AO63" s="8" t="str">
        <f>PROPER(TRIM(SUBSTITUTE(AN63,".","")))</f>
        <v>Completed</v>
      </c>
      <c r="AP63" t="str">
        <f>IF(COUNTIF($A$2:$A$933, A63) &gt; 1, "Duplicate ID", "Unique")</f>
        <v>Unique</v>
      </c>
      <c r="AR63">
        <f t="shared" si="4"/>
        <v>980.51</v>
      </c>
      <c r="AS63">
        <f t="shared" si="5"/>
        <v>319.59000000000003</v>
      </c>
      <c r="AT63" s="15">
        <f t="shared" si="6"/>
        <v>0.32594262169687205</v>
      </c>
      <c r="AU63" t="str">
        <f t="shared" si="7"/>
        <v>Clean</v>
      </c>
      <c r="AV63" s="8" t="str">
        <f t="shared" si="8"/>
        <v>Active</v>
      </c>
    </row>
    <row r="64" spans="1:48">
      <c r="A64" s="3" t="s">
        <v>2155</v>
      </c>
      <c r="B64" s="3" t="s">
        <v>2156</v>
      </c>
      <c r="C64" s="9">
        <f>IFERROR(DATEVALUE(TEXT(B64,"DD/MM/YYYY")), IF(ISNUMBER(B64), B64, ""))</f>
        <v>45337</v>
      </c>
      <c r="D64" s="9" t="str">
        <f>IF(B64="","Missing", IF(AND(ISNUMBER(B64)=FALSE, C64=""),"Invalid - Could Not Parse", IF(AND(ISNUMBER(B64)=FALSE, C64&lt;&gt;""),"Text - Converted to Date", IF(ISNUMBER(B64),"Valid","Check"))))</f>
        <v>Text - Converted to Date</v>
      </c>
      <c r="E64" s="5">
        <f t="shared" si="0"/>
        <v>2</v>
      </c>
      <c r="F64" s="5">
        <f t="shared" si="1"/>
        <v>2024</v>
      </c>
      <c r="G64" s="3" t="s">
        <v>2157</v>
      </c>
      <c r="H64" s="9">
        <f>IFERROR(DATEVALUE(TEXT(G64,"DD/MM/YYYY")), IF(ISNUMBER(G64), G64, ""))</f>
        <v>45340</v>
      </c>
      <c r="I64" s="9" t="str">
        <f>IF(G64="","Missing", IF(AND(ISNUMBER(G64)=FALSE, H64=""),"Invalid - Could Not Parse", IF(AND(ISNUMBER(G64)=FALSE, H64&lt;&gt;""),"Text - Converted to Date", IF(ISNUMBER(G64),"Valid","Check"))))</f>
        <v>Text - Converted to Date</v>
      </c>
      <c r="J64" s="9" t="str">
        <f>IF(OR(C64="", H64=""), "Cannot Check - Date Missing", IF(H64&lt;C64, "Invalid - Ship Before Order", "Valid"))</f>
        <v>Valid</v>
      </c>
      <c r="K64" s="5">
        <f>IF(OR(C64="", H64=""), "", IF(H64&lt;C64, "", H64-C64))</f>
        <v>3</v>
      </c>
      <c r="L64" s="3" t="s">
        <v>2158</v>
      </c>
      <c r="M64" s="3" t="s">
        <v>107</v>
      </c>
      <c r="N64" s="4" t="str">
        <f>TRIM(SUBSTITUTE(M64,"_"," "))</f>
        <v>Aditi Sen</v>
      </c>
      <c r="O64" s="3" t="s">
        <v>41</v>
      </c>
      <c r="P64" s="6" t="str">
        <f>PROPER(TRIM(SUBSTITUTE(O64,".","")))</f>
        <v>Small Business</v>
      </c>
      <c r="Q64" s="3" t="s">
        <v>62</v>
      </c>
      <c r="R64" s="7" t="str">
        <f>PROPER(TRIM(SUBSTITUTE(Q64,"  "," ")))</f>
        <v>South</v>
      </c>
      <c r="S64" s="3" t="s">
        <v>242</v>
      </c>
      <c r="T64" s="6" t="str">
        <f>PROPER(TRIM(SUBSTITUTE(S64,"  "," ")))</f>
        <v>Kerala</v>
      </c>
      <c r="U64" s="3" t="s">
        <v>243</v>
      </c>
      <c r="V64" s="6" t="str">
        <f>PROPER(TRIM(SUBSTITUTE(U64,"  "," ")))</f>
        <v>Kochi</v>
      </c>
      <c r="W64" s="3" t="s">
        <v>86</v>
      </c>
      <c r="X64" s="6" t="str">
        <f>PROPER(TRIM(SUBSTITUTE(W64,"  "," ")))</f>
        <v>Technology</v>
      </c>
      <c r="Y64" s="3" t="s">
        <v>87</v>
      </c>
      <c r="Z64" s="6" t="str">
        <f>PROPER(TRIM(SUBSTITUTE(Y64,"  "," ")))</f>
        <v>Accessories</v>
      </c>
      <c r="AA64" s="3" t="s">
        <v>2159</v>
      </c>
      <c r="AB64" s="3" t="s">
        <v>48</v>
      </c>
      <c r="AC64" s="6" t="str">
        <f>PROPER(TRIM(SUBSTITUTE(AB64,"  "," ")))</f>
        <v>Same Day</v>
      </c>
      <c r="AD64" s="3">
        <v>8</v>
      </c>
      <c r="AE64" s="3">
        <v>379.82</v>
      </c>
      <c r="AF64" s="3">
        <v>0.05</v>
      </c>
      <c r="AG64" s="17">
        <v>0.05</v>
      </c>
      <c r="AH64" s="6" t="str">
        <f t="shared" si="2"/>
        <v>Valid</v>
      </c>
      <c r="AI64" s="3">
        <v>2886.63</v>
      </c>
      <c r="AJ64" s="3">
        <v>1588.23</v>
      </c>
      <c r="AK64" s="3">
        <v>1298.4000000000001</v>
      </c>
      <c r="AL64" s="3" t="s">
        <v>200</v>
      </c>
      <c r="AM64" s="6" t="str">
        <f>PROPER(TRIM(SUBSTITUTE(AL64,".","")))</f>
        <v>Failed</v>
      </c>
      <c r="AN64" s="3" t="s">
        <v>125</v>
      </c>
      <c r="AO64" s="8" t="str">
        <f>PROPER(TRIM(SUBSTITUTE(AN64,".","")))</f>
        <v>Returned</v>
      </c>
      <c r="AP64" t="str">
        <f>IF(COUNTIF($A$2:$A$933, A64) &gt; 1, "Duplicate ID", "Unique")</f>
        <v>Unique</v>
      </c>
      <c r="AR64">
        <f t="shared" si="4"/>
        <v>2886.6319999999996</v>
      </c>
      <c r="AS64">
        <f t="shared" si="5"/>
        <v>1298.4019999999996</v>
      </c>
      <c r="AT64" s="15">
        <f t="shared" si="6"/>
        <v>0.44979824238073984</v>
      </c>
      <c r="AU64" t="str">
        <f t="shared" si="7"/>
        <v>Clean</v>
      </c>
      <c r="AV64" s="8" t="str">
        <f t="shared" si="8"/>
        <v>Active</v>
      </c>
    </row>
    <row r="65" spans="1:48">
      <c r="A65" s="3" t="s">
        <v>1610</v>
      </c>
      <c r="B65" s="3" t="s">
        <v>1611</v>
      </c>
      <c r="C65" s="9">
        <f>IFERROR(DATEVALUE(TEXT(B65,"DD/MM/YYYY")), IF(ISNUMBER(B65), B65, ""))</f>
        <v>45338</v>
      </c>
      <c r="D65" s="9" t="str">
        <f>IF(B65="","Missing", IF(AND(ISNUMBER(B65)=FALSE, C65=""),"Invalid - Could Not Parse", IF(AND(ISNUMBER(B65)=FALSE, C65&lt;&gt;""),"Text - Converted to Date", IF(ISNUMBER(B65),"Valid","Check"))))</f>
        <v>Text - Converted to Date</v>
      </c>
      <c r="E65" s="5">
        <f t="shared" si="0"/>
        <v>2</v>
      </c>
      <c r="F65" s="5">
        <f t="shared" si="1"/>
        <v>2024</v>
      </c>
      <c r="G65" s="3" t="s">
        <v>1612</v>
      </c>
      <c r="H65" s="9">
        <f>IFERROR(DATEVALUE(MID(G65,4,2) &amp; "/" &amp; LEFT(G65,2) &amp; "/" &amp; RIGHT(G65,4)), IF(ISNUMBER(G65), G65, IFERROR(DATEVALUE(G65), "")))</f>
        <v>45340</v>
      </c>
      <c r="I65" s="9" t="str">
        <f>IF(G65="","Missing", IF(AND(ISNUMBER(G65)=FALSE, H65=""),"Invalid - Could Not Parse", IF(AND(ISNUMBER(G65)=FALSE, H65&lt;&gt;""),"Text - Converted to Date", IF(ISNUMBER(G65),"Valid","Check"))))</f>
        <v>Text - Converted to Date</v>
      </c>
      <c r="J65" s="9" t="str">
        <f>IF(OR(C65="", H65=""), "Cannot Check - Date Missing", IF(H65&lt;C65, "Invalid - Ship Before Order", "Valid"))</f>
        <v>Valid</v>
      </c>
      <c r="K65" s="5">
        <f>IF(OR(C65="", H65=""), "", IF(H65&lt;C65, "", H65-C65))</f>
        <v>2</v>
      </c>
      <c r="L65" s="3" t="s">
        <v>1613</v>
      </c>
      <c r="M65" s="3" t="s">
        <v>25</v>
      </c>
      <c r="N65" s="4" t="str">
        <f>TRIM(SUBSTITUTE(M65,"_"," "))</f>
        <v>Karan Malhotra</v>
      </c>
      <c r="O65" s="3" t="s">
        <v>108</v>
      </c>
      <c r="P65" s="6" t="str">
        <f>PROPER(TRIM(SUBSTITUTE(O65,".","")))</f>
        <v>Corporate</v>
      </c>
      <c r="Q65" s="3" t="s">
        <v>27</v>
      </c>
      <c r="R65" s="7" t="str">
        <f>PROPER(TRIM(SUBSTITUTE(Q65,"  "," ")))</f>
        <v>North</v>
      </c>
      <c r="S65" s="3" t="s">
        <v>154</v>
      </c>
      <c r="T65" s="6" t="str">
        <f>PROPER(TRIM(SUBSTITUTE(S65,"  "," ")))</f>
        <v>Punjab</v>
      </c>
      <c r="U65" s="3" t="s">
        <v>155</v>
      </c>
      <c r="V65" s="6" t="str">
        <f>PROPER(TRIM(SUBSTITUTE(U65,"  "," ")))</f>
        <v>Ludhiana</v>
      </c>
      <c r="W65" s="3" t="s">
        <v>30</v>
      </c>
      <c r="X65" s="6" t="str">
        <f>PROPER(TRIM(SUBSTITUTE(W65,"  "," ")))</f>
        <v>Office Supplies</v>
      </c>
      <c r="Y65" s="3" t="s">
        <v>109</v>
      </c>
      <c r="Z65" s="6" t="str">
        <f>PROPER(TRIM(SUBSTITUTE(Y65,"  "," ")))</f>
        <v>Labels</v>
      </c>
      <c r="AA65" s="3" t="s">
        <v>1614</v>
      </c>
      <c r="AB65" s="3" t="s">
        <v>67</v>
      </c>
      <c r="AC65" s="6" t="str">
        <f>PROPER(TRIM(SUBSTITUTE(AB65,"  "," ")))</f>
        <v>Standard Class</v>
      </c>
      <c r="AD65" s="3">
        <v>2</v>
      </c>
      <c r="AE65" s="3">
        <v>1947.53</v>
      </c>
      <c r="AF65" s="3">
        <v>0.2</v>
      </c>
      <c r="AG65" s="17">
        <v>0.2</v>
      </c>
      <c r="AH65" s="6" t="str">
        <f t="shared" si="2"/>
        <v>Valid</v>
      </c>
      <c r="AI65" s="3">
        <v>3116.05</v>
      </c>
      <c r="AJ65" s="3">
        <v>1956.63</v>
      </c>
      <c r="AK65" s="3">
        <v>1159.42</v>
      </c>
      <c r="AL65" s="3" t="s">
        <v>34</v>
      </c>
      <c r="AM65" s="6" t="str">
        <f>PROPER(TRIM(SUBSTITUTE(AL65,".","")))</f>
        <v>Paid</v>
      </c>
      <c r="AN65" s="3" t="s">
        <v>78</v>
      </c>
      <c r="AO65" s="8" t="str">
        <f>PROPER(TRIM(SUBSTITUTE(AN65,".","")))</f>
        <v>Cancelled</v>
      </c>
      <c r="AP65" t="str">
        <f>IF(COUNTIF($A$2:$A$933, A65) &gt; 1, "Duplicate ID", "Unique")</f>
        <v>Unique</v>
      </c>
      <c r="AR65">
        <f t="shared" si="4"/>
        <v>3116.0480000000002</v>
      </c>
      <c r="AS65">
        <f t="shared" si="5"/>
        <v>1159.4180000000001</v>
      </c>
      <c r="AT65" s="15">
        <f t="shared" si="6"/>
        <v>0.37207963420332424</v>
      </c>
      <c r="AU65" t="str">
        <f t="shared" si="7"/>
        <v>Clean</v>
      </c>
      <c r="AV65" s="8" t="str">
        <f t="shared" si="8"/>
        <v>Cancelled</v>
      </c>
    </row>
    <row r="66" spans="1:48">
      <c r="A66" s="3" t="s">
        <v>2761</v>
      </c>
      <c r="B66" s="3" t="s">
        <v>2762</v>
      </c>
      <c r="C66" s="9">
        <f>IFERROR(DATEVALUE(TEXT(B66,"DD/MM/YYYY")), IF(ISNUMBER(B66), B66, ""))</f>
        <v>45339</v>
      </c>
      <c r="D66" s="9" t="str">
        <f>IF(B66="","Missing", IF(AND(ISNUMBER(B66)=FALSE, C66=""),"Invalid - Could Not Parse", IF(AND(ISNUMBER(B66)=FALSE, C66&lt;&gt;""),"Text - Converted to Date", IF(ISNUMBER(B66),"Valid","Check"))))</f>
        <v>Text - Converted to Date</v>
      </c>
      <c r="E66" s="5">
        <f t="shared" si="0"/>
        <v>2</v>
      </c>
      <c r="F66" s="5">
        <f t="shared" si="1"/>
        <v>2024</v>
      </c>
      <c r="G66" s="3" t="s">
        <v>2763</v>
      </c>
      <c r="H66" s="9">
        <f>IFERROR(DATEVALUE(MID(G66,4,2) &amp; "/" &amp; LEFT(G66,2) &amp; "/" &amp; RIGHT(G66,4)), IF(ISNUMBER(G66), G66, IFERROR(DATEVALUE(G66), "")))</f>
        <v>45345</v>
      </c>
      <c r="I66" s="9" t="str">
        <f>IF(G66="","Missing", IF(AND(ISNUMBER(G66)=FALSE, H66=""),"Invalid - Could Not Parse", IF(AND(ISNUMBER(G66)=FALSE, H66&lt;&gt;""),"Text - Converted to Date", IF(ISNUMBER(G66),"Valid","Check"))))</f>
        <v>Text - Converted to Date</v>
      </c>
      <c r="J66" s="9" t="str">
        <f>IF(OR(C66="", H66=""), "Cannot Check - Date Missing", IF(H66&lt;C66, "Invalid - Ship Before Order", "Valid"))</f>
        <v>Valid</v>
      </c>
      <c r="K66" s="5">
        <f>IF(OR(C66="", H66=""), "", IF(H66&lt;C66, "", H66-C66))</f>
        <v>6</v>
      </c>
      <c r="L66" s="3" t="s">
        <v>2764</v>
      </c>
      <c r="M66" s="3" t="s">
        <v>180</v>
      </c>
      <c r="N66" s="4" t="str">
        <f>TRIM(SUBSTITUTE(M66,"_"," "))</f>
        <v>Rohan Mehta</v>
      </c>
      <c r="O66" s="3" t="s">
        <v>115</v>
      </c>
      <c r="P66" s="6" t="str">
        <f>PROPER(TRIM(SUBSTITUTE(O66,".","")))</f>
        <v>Home Office</v>
      </c>
      <c r="Q66" s="3"/>
      <c r="R66" s="6" t="str">
        <f>IF(ISBLANK(Q66), "Unknown", Q66)</f>
        <v>Unknown</v>
      </c>
      <c r="S66" s="3" t="s">
        <v>186</v>
      </c>
      <c r="T66" s="6" t="str">
        <f>PROPER(TRIM(SUBSTITUTE(S66,"  "," ")))</f>
        <v>Bihar</v>
      </c>
      <c r="U66" s="3" t="s">
        <v>187</v>
      </c>
      <c r="V66" s="6" t="str">
        <f>PROPER(TRIM(SUBSTITUTE(U66,"  "," ")))</f>
        <v>Patna</v>
      </c>
      <c r="W66" s="3" t="s">
        <v>30</v>
      </c>
      <c r="X66" s="6" t="str">
        <f>PROPER(TRIM(SUBSTITUTE(W66,"  "," ")))</f>
        <v>Office Supplies</v>
      </c>
      <c r="Y66" s="3" t="s">
        <v>198</v>
      </c>
      <c r="Z66" s="6" t="str">
        <f>PROPER(TRIM(SUBSTITUTE(Y66,"  "," ")))</f>
        <v>Binders</v>
      </c>
      <c r="AA66" s="3" t="s">
        <v>2765</v>
      </c>
      <c r="AB66" s="3" t="s">
        <v>67</v>
      </c>
      <c r="AC66" s="6" t="str">
        <f>PROPER(TRIM(SUBSTITUTE(AB66,"  "," ")))</f>
        <v>Standard Class</v>
      </c>
      <c r="AD66" s="3">
        <v>9</v>
      </c>
      <c r="AE66" s="3">
        <v>2614.46</v>
      </c>
      <c r="AF66" s="3">
        <v>0</v>
      </c>
      <c r="AG66" s="17">
        <v>0</v>
      </c>
      <c r="AH66" s="6" t="str">
        <f t="shared" si="2"/>
        <v>Valid</v>
      </c>
      <c r="AI66" s="3">
        <v>23530.14</v>
      </c>
      <c r="AJ66" s="3">
        <v>19537.79</v>
      </c>
      <c r="AK66" s="3">
        <v>3992.35</v>
      </c>
      <c r="AL66" s="3" t="s">
        <v>124</v>
      </c>
      <c r="AM66" s="6" t="str">
        <f>PROPER(TRIM(SUBSTITUTE(AL66,".","")))</f>
        <v>Refunded</v>
      </c>
      <c r="AN66" s="3" t="s">
        <v>125</v>
      </c>
      <c r="AO66" s="8" t="str">
        <f>PROPER(TRIM(SUBSTITUTE(AN66,".","")))</f>
        <v>Returned</v>
      </c>
      <c r="AP66" t="str">
        <f>IF(COUNTIF($A$2:$A$933, A66) &gt; 1, "Duplicate ID", "Unique")</f>
        <v>Unique</v>
      </c>
      <c r="AR66">
        <f t="shared" si="4"/>
        <v>23530.14</v>
      </c>
      <c r="AS66">
        <f t="shared" si="5"/>
        <v>3992.3499999999985</v>
      </c>
      <c r="AT66" s="15">
        <f t="shared" si="6"/>
        <v>0.16966962372514566</v>
      </c>
      <c r="AU66" t="str">
        <f t="shared" si="7"/>
        <v>Clean</v>
      </c>
      <c r="AV66" s="8" t="str">
        <f t="shared" si="8"/>
        <v>Refund</v>
      </c>
    </row>
    <row r="67" spans="1:48">
      <c r="A67" s="3" t="s">
        <v>624</v>
      </c>
      <c r="B67" s="3" t="s">
        <v>625</v>
      </c>
      <c r="C67" s="9">
        <f>IFERROR(DATEVALUE(TEXT(B67,"DD/MM/YYYY")), IF(ISNUMBER(B67), B67, ""))</f>
        <v>45342</v>
      </c>
      <c r="D67" s="9" t="str">
        <f>IF(B67="","Missing", IF(AND(ISNUMBER(B67)=FALSE, C67=""),"Invalid - Could Not Parse", IF(AND(ISNUMBER(B67)=FALSE, C67&lt;&gt;""),"Text - Converted to Date", IF(ISNUMBER(B67),"Valid","Check"))))</f>
        <v>Text - Converted to Date</v>
      </c>
      <c r="E67" s="5">
        <f t="shared" ref="E67:E130" si="9">IFERROR(MONTH(C67), "")</f>
        <v>2</v>
      </c>
      <c r="F67" s="5">
        <f t="shared" ref="F67:F130" si="10">IFERROR(YEAR(C67), "")</f>
        <v>2024</v>
      </c>
      <c r="G67" s="3" t="s">
        <v>626</v>
      </c>
      <c r="H67" s="9">
        <f>IFERROR(DATEVALUE(TEXT(G67,"DD/MM/YYYY")), IF(ISNUMBER(G67), G67, ""))</f>
        <v>45350</v>
      </c>
      <c r="I67" s="9" t="str">
        <f>IF(G67="","Missing", IF(AND(ISNUMBER(G67)=FALSE, H67=""),"Invalid - Could Not Parse", IF(AND(ISNUMBER(G67)=FALSE, H67&lt;&gt;""),"Text - Converted to Date", IF(ISNUMBER(G67),"Valid","Check"))))</f>
        <v>Text - Converted to Date</v>
      </c>
      <c r="J67" s="9" t="str">
        <f>IF(OR(C67="", H67=""), "Cannot Check - Date Missing", IF(H67&lt;C67, "Invalid - Ship Before Order", "Valid"))</f>
        <v>Valid</v>
      </c>
      <c r="K67" s="5">
        <f>IF(OR(C67="", H67=""), "", IF(H67&lt;C67, "", H67-C67))</f>
        <v>8</v>
      </c>
      <c r="L67" s="3" t="s">
        <v>627</v>
      </c>
      <c r="M67" s="3" t="s">
        <v>61</v>
      </c>
      <c r="N67" s="4" t="str">
        <f>TRIM(SUBSTITUTE(M67,"_"," "))</f>
        <v>Arjun Bose</v>
      </c>
      <c r="O67" s="3" t="s">
        <v>115</v>
      </c>
      <c r="P67" s="6" t="str">
        <f>PROPER(TRIM(SUBSTITUTE(O67,".","")))</f>
        <v>Home Office</v>
      </c>
      <c r="Q67" s="3" t="s">
        <v>42</v>
      </c>
      <c r="R67" s="7" t="str">
        <f>PROPER(TRIM(SUBSTITUTE(Q67,"  "," ")))</f>
        <v>East</v>
      </c>
      <c r="S67" s="3" t="s">
        <v>121</v>
      </c>
      <c r="T67" s="6" t="str">
        <f>PROPER(TRIM(SUBSTITUTE(S67,"  "," ")))</f>
        <v>West Bengal</v>
      </c>
      <c r="U67" s="3" t="s">
        <v>122</v>
      </c>
      <c r="V67" s="6" t="str">
        <f>PROPER(TRIM(SUBSTITUTE(U67,"  "," ")))</f>
        <v>Kolkata</v>
      </c>
      <c r="W67" s="3" t="s">
        <v>30</v>
      </c>
      <c r="X67" s="6" t="str">
        <f>PROPER(TRIM(SUBSTITUTE(W67,"  "," ")))</f>
        <v>Office Supplies</v>
      </c>
      <c r="Y67" s="3" t="s">
        <v>31</v>
      </c>
      <c r="Z67" s="6" t="str">
        <f>PROPER(TRIM(SUBSTITUTE(Y67,"  "," ")))</f>
        <v>Paper</v>
      </c>
      <c r="AA67" s="3" t="s">
        <v>628</v>
      </c>
      <c r="AB67" s="3" t="s">
        <v>67</v>
      </c>
      <c r="AC67" s="6" t="str">
        <f>PROPER(TRIM(SUBSTITUTE(AB67,"  "," ")))</f>
        <v>Standard Class</v>
      </c>
      <c r="AD67" s="3">
        <v>2</v>
      </c>
      <c r="AE67" s="3">
        <v>4004.04</v>
      </c>
      <c r="AF67" s="3"/>
      <c r="AG67" s="18">
        <f>IF(ISBLANK(AF67), 0, AF67)</f>
        <v>0</v>
      </c>
      <c r="AH67" s="6" t="str">
        <f t="shared" ref="AH67:AH130" si="11">IF(ISBLANK(AF67), "Missing", IF(AF67 &lt; 0, "Invalid - Negative", IF(AF67 &gt; 0.5, "Invalid - Above Range", "Valid")))</f>
        <v>Missing</v>
      </c>
      <c r="AI67" s="3">
        <v>7207.27</v>
      </c>
      <c r="AJ67" s="3">
        <v>5709.39</v>
      </c>
      <c r="AK67" s="3">
        <v>1497.88</v>
      </c>
      <c r="AL67" s="3" t="s">
        <v>34</v>
      </c>
      <c r="AM67" s="6" t="str">
        <f>PROPER(TRIM(SUBSTITUTE(AL67,".","")))</f>
        <v>Paid</v>
      </c>
      <c r="AN67" s="3" t="s">
        <v>78</v>
      </c>
      <c r="AO67" s="8" t="str">
        <f>PROPER(TRIM(SUBSTITUTE(AN67,".","")))</f>
        <v>Cancelled</v>
      </c>
      <c r="AP67" t="str">
        <f>IF(COUNTIF($A$2:$A$933, A67) &gt; 1, "Duplicate ID", "Unique")</f>
        <v>Unique</v>
      </c>
      <c r="AR67">
        <f t="shared" ref="AR67:AR130" si="12">AD67 * AE67 * (1 - AG67)</f>
        <v>8008.08</v>
      </c>
      <c r="AS67">
        <f t="shared" ref="AS67:AS130" si="13">AR67-AJ67</f>
        <v>2298.6899999999996</v>
      </c>
      <c r="AT67" s="15">
        <f t="shared" ref="AT67:AT130" si="14">IFERROR(AS67 / AR67, "")</f>
        <v>0.28704633320346445</v>
      </c>
      <c r="AU67" t="str">
        <f t="shared" ref="AU67:AU130" si="15">IF(OR(AH67="Invalid - Negative",AH67="Invalid - Above Range", J67="Invalid - Ship Before Order", AQ67="Conflicting Duplicate - Flagged"), "Invalid", IF(OR(R66="Unknown", AC66="Unknown", AH67="Missing"), "Warning", "Clean"))</f>
        <v>Warning</v>
      </c>
      <c r="AV67" s="8" t="str">
        <f t="shared" ref="AV67:AV130" si="16">IF(AM67 = "Refunded", "Refund", IF(AO67 = "Cancelled", "Cancelled", "Active"))</f>
        <v>Cancelled</v>
      </c>
    </row>
    <row r="68" spans="1:48">
      <c r="A68" s="3" t="s">
        <v>800</v>
      </c>
      <c r="B68" s="3" t="s">
        <v>801</v>
      </c>
      <c r="C68" s="9">
        <f>IFERROR(DATEVALUE(TEXT(B68,"DD/MM/YYYY")), IF(ISNUMBER(B68), B68, ""))</f>
        <v>45381</v>
      </c>
      <c r="D68" s="9" t="str">
        <f>IF(B68="","Missing", IF(AND(ISNUMBER(B68)=FALSE, C68=""),"Invalid - Could Not Parse", IF(AND(ISNUMBER(B68)=FALSE, C68&lt;&gt;""),"Text - Converted to Date", IF(ISNUMBER(B68),"Valid","Check"))))</f>
        <v>Text - Converted to Date</v>
      </c>
      <c r="E68" s="5">
        <f t="shared" si="9"/>
        <v>3</v>
      </c>
      <c r="F68" s="5">
        <f t="shared" si="10"/>
        <v>2024</v>
      </c>
      <c r="G68" s="3" t="s">
        <v>802</v>
      </c>
      <c r="H68" s="9">
        <f>IFERROR(DATEVALUE(TEXT(G68,"DD/MM/YYYY")), IF(ISNUMBER(G68), G68, ""))</f>
        <v>45377</v>
      </c>
      <c r="I68" s="9" t="str">
        <f>IF(G68="","Missing", IF(AND(ISNUMBER(G68)=FALSE, H68=""),"Invalid - Could Not Parse", IF(AND(ISNUMBER(G68)=FALSE, H68&lt;&gt;""),"Text - Converted to Date", IF(ISNUMBER(G68),"Valid","Check"))))</f>
        <v>Text - Converted to Date</v>
      </c>
      <c r="J68" s="9" t="str">
        <f>IF(OR(C68="", H68=""), "Cannot Check - Date Missing", IF(H68&lt;C68, "Invalid - Ship Before Order", "Valid"))</f>
        <v>Invalid - Ship Before Order</v>
      </c>
      <c r="K68" s="5" t="str">
        <f>IF(OR(C68="", H68=""), "", IF(H68&lt;C68, "", H68-C68))</f>
        <v/>
      </c>
      <c r="L68" s="3" t="s">
        <v>803</v>
      </c>
      <c r="M68" s="3" t="s">
        <v>107</v>
      </c>
      <c r="N68" s="4" t="str">
        <f>TRIM(SUBSTITUTE(M68,"_"," "))</f>
        <v>Aditi Sen</v>
      </c>
      <c r="O68" s="3" t="s">
        <v>115</v>
      </c>
      <c r="P68" s="6" t="str">
        <f>PROPER(TRIM(SUBSTITUTE(O68,".","")))</f>
        <v>Home Office</v>
      </c>
      <c r="Q68" s="3" t="s">
        <v>27</v>
      </c>
      <c r="R68" s="7" t="str">
        <f>PROPER(TRIM(SUBSTITUTE(Q68,"  "," ")))</f>
        <v>North</v>
      </c>
      <c r="S68" s="3" t="s">
        <v>28</v>
      </c>
      <c r="T68" s="6" t="str">
        <f>PROPER(TRIM(SUBSTITUTE(S68,"  "," ")))</f>
        <v>Rajasthan</v>
      </c>
      <c r="U68" s="3" t="s">
        <v>29</v>
      </c>
      <c r="V68" s="6" t="str">
        <f>PROPER(TRIM(SUBSTITUTE(U68,"  "," ")))</f>
        <v>Jaipur</v>
      </c>
      <c r="W68" s="3" t="s">
        <v>86</v>
      </c>
      <c r="X68" s="6" t="str">
        <f>PROPER(TRIM(SUBSTITUTE(W68,"  "," ")))</f>
        <v>Technology</v>
      </c>
      <c r="Y68" s="3" t="s">
        <v>223</v>
      </c>
      <c r="Z68" s="6" t="str">
        <f>PROPER(TRIM(SUBSTITUTE(Y68,"  "," ")))</f>
        <v>Phones</v>
      </c>
      <c r="AA68" s="3" t="s">
        <v>804</v>
      </c>
      <c r="AB68" s="3" t="s">
        <v>33</v>
      </c>
      <c r="AC68" s="6" t="str">
        <f>PROPER(TRIM(SUBSTITUTE(AB68,"  "," ")))</f>
        <v>Second Class</v>
      </c>
      <c r="AD68" s="3">
        <v>5</v>
      </c>
      <c r="AE68" s="3">
        <v>907.54</v>
      </c>
      <c r="AF68" s="3">
        <v>0.15</v>
      </c>
      <c r="AG68" s="17">
        <v>0.15</v>
      </c>
      <c r="AH68" s="6" t="str">
        <f t="shared" si="11"/>
        <v>Valid</v>
      </c>
      <c r="AI68" s="3">
        <v>4099.6899999999996</v>
      </c>
      <c r="AJ68" s="3">
        <v>2769.26</v>
      </c>
      <c r="AK68" s="3">
        <v>1087.78</v>
      </c>
      <c r="AL68" s="3" t="s">
        <v>34</v>
      </c>
      <c r="AM68" s="6" t="str">
        <f>PROPER(TRIM(SUBSTITUTE(AL68,".","")))</f>
        <v>Paid</v>
      </c>
      <c r="AN68" s="3" t="s">
        <v>125</v>
      </c>
      <c r="AO68" s="8" t="str">
        <f>PROPER(TRIM(SUBSTITUTE(AN68,".","")))</f>
        <v>Returned</v>
      </c>
      <c r="AP68" t="str">
        <f>IF(COUNTIF($A$2:$A$933, A68) &gt; 1, "Duplicate ID", "Unique")</f>
        <v>Duplicate ID</v>
      </c>
      <c r="AQ68" t="s">
        <v>4106</v>
      </c>
      <c r="AR68">
        <f t="shared" si="12"/>
        <v>3857.0449999999996</v>
      </c>
      <c r="AS68">
        <f t="shared" si="13"/>
        <v>1087.7849999999994</v>
      </c>
      <c r="AT68" s="15">
        <f t="shared" si="14"/>
        <v>0.28202548842442843</v>
      </c>
      <c r="AU68" t="str">
        <f t="shared" si="15"/>
        <v>Invalid</v>
      </c>
      <c r="AV68" s="8" t="str">
        <f t="shared" si="16"/>
        <v>Active</v>
      </c>
    </row>
    <row r="69" spans="1:48">
      <c r="A69" s="3" t="s">
        <v>2240</v>
      </c>
      <c r="B69" s="3" t="s">
        <v>2088</v>
      </c>
      <c r="C69" s="9">
        <f>IFERROR(DATEVALUE(TEXT(B69,"DD/MM/YYYY")), IF(ISNUMBER(B69), B69, ""))</f>
        <v>45342</v>
      </c>
      <c r="D69" s="9" t="str">
        <f>IF(B69="","Missing", IF(AND(ISNUMBER(B69)=FALSE, C69=""),"Invalid - Could Not Parse", IF(AND(ISNUMBER(B69)=FALSE, C69&lt;&gt;""),"Text - Converted to Date", IF(ISNUMBER(B69),"Valid","Check"))))</f>
        <v>Text - Converted to Date</v>
      </c>
      <c r="E69" s="5">
        <f t="shared" si="9"/>
        <v>2</v>
      </c>
      <c r="F69" s="5">
        <f t="shared" si="10"/>
        <v>2024</v>
      </c>
      <c r="G69" s="3" t="s">
        <v>2088</v>
      </c>
      <c r="H69" s="9">
        <f>IFERROR(DATEVALUE(TEXT(G69,"DD/MM/YYYY")), IF(ISNUMBER(G69), G69, ""))</f>
        <v>45342</v>
      </c>
      <c r="I69" s="9" t="str">
        <f>IF(G69="","Missing", IF(AND(ISNUMBER(G69)=FALSE, H69=""),"Invalid - Could Not Parse", IF(AND(ISNUMBER(G69)=FALSE, H69&lt;&gt;""),"Text - Converted to Date", IF(ISNUMBER(G69),"Valid","Check"))))</f>
        <v>Text - Converted to Date</v>
      </c>
      <c r="J69" s="9" t="str">
        <f>IF(OR(C69="", H69=""), "Cannot Check - Date Missing", IF(H69&lt;C69, "Invalid - Ship Before Order", "Valid"))</f>
        <v>Valid</v>
      </c>
      <c r="K69" s="5">
        <f>IF(OR(C69="", H69=""), "", IF(H69&lt;C69, "", H69-C69))</f>
        <v>0</v>
      </c>
      <c r="L69" s="3" t="s">
        <v>2241</v>
      </c>
      <c r="M69" s="3" t="s">
        <v>93</v>
      </c>
      <c r="N69" s="4" t="str">
        <f>TRIM(SUBSTITUTE(M69,"_"," "))</f>
        <v>Neha Gupta</v>
      </c>
      <c r="O69" s="3" t="s">
        <v>108</v>
      </c>
      <c r="P69" s="6" t="str">
        <f>PROPER(TRIM(SUBSTITUTE(O69,".","")))</f>
        <v>Corporate</v>
      </c>
      <c r="Q69" s="3" t="s">
        <v>27</v>
      </c>
      <c r="R69" s="7" t="str">
        <f>PROPER(TRIM(SUBSTITUTE(Q69,"  "," ")))</f>
        <v>North</v>
      </c>
      <c r="S69" s="3" t="s">
        <v>174</v>
      </c>
      <c r="T69" s="6" t="str">
        <f>PROPER(TRIM(SUBSTITUTE(S69,"  "," ")))</f>
        <v>Uttar Pradesh</v>
      </c>
      <c r="U69" s="3" t="s">
        <v>175</v>
      </c>
      <c r="V69" s="6" t="str">
        <f>PROPER(TRIM(SUBSTITUTE(U69,"  "," ")))</f>
        <v>Noida</v>
      </c>
      <c r="W69" s="3" t="s">
        <v>86</v>
      </c>
      <c r="X69" s="6" t="str">
        <f>PROPER(TRIM(SUBSTITUTE(W69,"  "," ")))</f>
        <v>Technology</v>
      </c>
      <c r="Y69" s="3" t="s">
        <v>87</v>
      </c>
      <c r="Z69" s="6" t="str">
        <f>PROPER(TRIM(SUBSTITUTE(Y69,"  "," ")))</f>
        <v>Accessories</v>
      </c>
      <c r="AA69" s="3" t="s">
        <v>2242</v>
      </c>
      <c r="AB69" s="3" t="s">
        <v>48</v>
      </c>
      <c r="AC69" s="6" t="str">
        <f>PROPER(TRIM(SUBSTITUTE(AB69,"  "," ")))</f>
        <v>Same Day</v>
      </c>
      <c r="AD69" s="3">
        <v>5</v>
      </c>
      <c r="AE69" s="3">
        <v>2604.91</v>
      </c>
      <c r="AF69" s="3">
        <v>0.15</v>
      </c>
      <c r="AG69" s="17">
        <v>0.15</v>
      </c>
      <c r="AH69" s="6" t="str">
        <f t="shared" si="11"/>
        <v>Valid</v>
      </c>
      <c r="AI69" s="3">
        <v>11070.87</v>
      </c>
      <c r="AJ69" s="3">
        <v>6623.61</v>
      </c>
      <c r="AK69" s="3">
        <v>4447.26</v>
      </c>
      <c r="AL69" s="3" t="s">
        <v>34</v>
      </c>
      <c r="AM69" s="6" t="str">
        <f>PROPER(TRIM(SUBSTITUTE(AL69,".","")))</f>
        <v>Paid</v>
      </c>
      <c r="AN69" s="3" t="s">
        <v>125</v>
      </c>
      <c r="AO69" s="8" t="str">
        <f>PROPER(TRIM(SUBSTITUTE(AN69,".","")))</f>
        <v>Returned</v>
      </c>
      <c r="AP69" t="str">
        <f>IF(COUNTIF($A$2:$A$933, A69) &gt; 1, "Duplicate ID", "Unique")</f>
        <v>Unique</v>
      </c>
      <c r="AR69">
        <f t="shared" si="12"/>
        <v>11070.867499999998</v>
      </c>
      <c r="AS69">
        <f t="shared" si="13"/>
        <v>4447.2574999999988</v>
      </c>
      <c r="AT69" s="15">
        <f t="shared" si="14"/>
        <v>0.40170813172499803</v>
      </c>
      <c r="AU69" t="str">
        <f t="shared" si="15"/>
        <v>Clean</v>
      </c>
      <c r="AV69" s="8" t="str">
        <f t="shared" si="16"/>
        <v>Active</v>
      </c>
    </row>
    <row r="70" spans="1:48">
      <c r="A70" s="3" t="s">
        <v>2753</v>
      </c>
      <c r="B70" s="3" t="s">
        <v>2754</v>
      </c>
      <c r="C70" s="9">
        <f>IFERROR(DATEVALUE(TEXT(B70,"DD/MM/YYYY")), IF(ISNUMBER(B70), B70, ""))</f>
        <v>45342</v>
      </c>
      <c r="D70" s="9" t="str">
        <f>IF(B70="","Missing", IF(AND(ISNUMBER(B70)=FALSE, C70=""),"Invalid - Could Not Parse", IF(AND(ISNUMBER(B70)=FALSE, C70&lt;&gt;""),"Text - Converted to Date", IF(ISNUMBER(B70),"Valid","Check"))))</f>
        <v>Text - Converted to Date</v>
      </c>
      <c r="E70" s="5">
        <f t="shared" si="9"/>
        <v>2</v>
      </c>
      <c r="F70" s="5">
        <f t="shared" si="10"/>
        <v>2024</v>
      </c>
      <c r="G70" s="3" t="s">
        <v>1645</v>
      </c>
      <c r="H70" s="9">
        <f>IFERROR(DATEVALUE(TEXT(G70,"DD/MM/YYYY")), IF(ISNUMBER(G70), G70, ""))</f>
        <v>45347</v>
      </c>
      <c r="I70" s="9" t="str">
        <f>IF(G70="","Missing", IF(AND(ISNUMBER(G70)=FALSE, H70=""),"Invalid - Could Not Parse", IF(AND(ISNUMBER(G70)=FALSE, H70&lt;&gt;""),"Text - Converted to Date", IF(ISNUMBER(G70),"Valid","Check"))))</f>
        <v>Text - Converted to Date</v>
      </c>
      <c r="J70" s="9" t="str">
        <f>IF(OR(C70="", H70=""), "Cannot Check - Date Missing", IF(H70&lt;C70, "Invalid - Ship Before Order", "Valid"))</f>
        <v>Valid</v>
      </c>
      <c r="K70" s="5">
        <f>IF(OR(C70="", H70=""), "", IF(H70&lt;C70, "", H70-C70))</f>
        <v>5</v>
      </c>
      <c r="L70" s="3" t="s">
        <v>1226</v>
      </c>
      <c r="M70" s="3" t="s">
        <v>210</v>
      </c>
      <c r="N70" s="4" t="str">
        <f>TRIM(SUBSTITUTE(M70,"_"," "))</f>
        <v>Diya Patel</v>
      </c>
      <c r="O70" s="3" t="s">
        <v>115</v>
      </c>
      <c r="P70" s="6" t="str">
        <f>PROPER(TRIM(SUBSTITUTE(O70,".","")))</f>
        <v>Home Office</v>
      </c>
      <c r="Q70" s="3" t="s">
        <v>27</v>
      </c>
      <c r="R70" s="7" t="str">
        <f>PROPER(TRIM(SUBSTITUTE(Q70,"  "," ")))</f>
        <v>North</v>
      </c>
      <c r="S70" s="3" t="s">
        <v>154</v>
      </c>
      <c r="T70" s="6" t="str">
        <f>PROPER(TRIM(SUBSTITUTE(S70,"  "," ")))</f>
        <v>Punjab</v>
      </c>
      <c r="U70" s="3" t="s">
        <v>155</v>
      </c>
      <c r="V70" s="6" t="str">
        <f>PROPER(TRIM(SUBSTITUTE(U70,"  "," ")))</f>
        <v>Ludhiana</v>
      </c>
      <c r="W70" s="3" t="s">
        <v>86</v>
      </c>
      <c r="X70" s="6" t="str">
        <f>PROPER(TRIM(SUBSTITUTE(W70,"  "," ")))</f>
        <v>Technology</v>
      </c>
      <c r="Y70" s="3" t="s">
        <v>382</v>
      </c>
      <c r="Z70" s="6" t="str">
        <f>PROPER(TRIM(SUBSTITUTE(Y70,"  "," ")))</f>
        <v>Machines</v>
      </c>
      <c r="AA70" s="3" t="s">
        <v>2755</v>
      </c>
      <c r="AB70" s="3" t="s">
        <v>67</v>
      </c>
      <c r="AC70" s="6" t="str">
        <f>PROPER(TRIM(SUBSTITUTE(AB70,"  "," ")))</f>
        <v>Standard Class</v>
      </c>
      <c r="AD70" s="3">
        <v>4</v>
      </c>
      <c r="AE70" s="3">
        <v>1355.8</v>
      </c>
      <c r="AF70" s="3">
        <v>0</v>
      </c>
      <c r="AG70" s="17">
        <v>0</v>
      </c>
      <c r="AH70" s="6" t="str">
        <f t="shared" si="11"/>
        <v>Valid</v>
      </c>
      <c r="AI70" s="3">
        <v>5423.2</v>
      </c>
      <c r="AJ70" s="3">
        <v>4072.44</v>
      </c>
      <c r="AK70" s="3">
        <v>1350.76</v>
      </c>
      <c r="AL70" s="3" t="s">
        <v>34</v>
      </c>
      <c r="AM70" s="6" t="str">
        <f>PROPER(TRIM(SUBSTITUTE(AL70,".","")))</f>
        <v>Paid</v>
      </c>
      <c r="AN70" s="3" t="s">
        <v>35</v>
      </c>
      <c r="AO70" s="8" t="str">
        <f>PROPER(TRIM(SUBSTITUTE(AN70,".","")))</f>
        <v>Completed</v>
      </c>
      <c r="AP70" t="str">
        <f>IF(COUNTIF($A$2:$A$933, A70) &gt; 1, "Duplicate ID", "Unique")</f>
        <v>Unique</v>
      </c>
      <c r="AR70">
        <f t="shared" si="12"/>
        <v>5423.2</v>
      </c>
      <c r="AS70">
        <f t="shared" si="13"/>
        <v>1350.7599999999998</v>
      </c>
      <c r="AT70" s="15">
        <f t="shared" si="14"/>
        <v>0.24907065938929043</v>
      </c>
      <c r="AU70" t="str">
        <f t="shared" si="15"/>
        <v>Clean</v>
      </c>
      <c r="AV70" s="8" t="str">
        <f t="shared" si="16"/>
        <v>Active</v>
      </c>
    </row>
    <row r="71" spans="1:48">
      <c r="A71" s="3" t="s">
        <v>1310</v>
      </c>
      <c r="B71" s="3" t="s">
        <v>1311</v>
      </c>
      <c r="C71" s="9">
        <f>IFERROR(DATEVALUE(MID(B71,4,2) &amp; "/" &amp; LEFT(B71,2) &amp; "/" &amp; RIGHT(B71,4)), IF(ISNUMBER(B71), B71, IFERROR(DATEVALUE(B71), "")))</f>
        <v>45343</v>
      </c>
      <c r="D71" s="9" t="str">
        <f>IF(B71="","Missing", IF(AND(ISNUMBER(B71)=FALSE, C71=""),"Invalid - Could Not Parse", IF(AND(ISNUMBER(B71)=FALSE, C71&lt;&gt;""),"Text - Converted to Date", IF(ISNUMBER(B71),"Valid","Check"))))</f>
        <v>Text - Converted to Date</v>
      </c>
      <c r="E71" s="5">
        <f t="shared" si="9"/>
        <v>2</v>
      </c>
      <c r="F71" s="5">
        <f t="shared" si="10"/>
        <v>2024</v>
      </c>
      <c r="G71" s="3" t="s">
        <v>1312</v>
      </c>
      <c r="H71" s="9">
        <f>IFERROR(DATEVALUE(MID(G71,4,2) &amp; "/" &amp; LEFT(G71,2) &amp; "/" &amp; RIGHT(G71,4)), IF(ISNUMBER(G71), G71, IFERROR(DATEVALUE(G71), "")))</f>
        <v>45349</v>
      </c>
      <c r="I71" s="9" t="str">
        <f>IF(G71="","Missing", IF(AND(ISNUMBER(G71)=FALSE, H71=""),"Invalid - Could Not Parse", IF(AND(ISNUMBER(G71)=FALSE, H71&lt;&gt;""),"Text - Converted to Date", IF(ISNUMBER(G71),"Valid","Check"))))</f>
        <v>Text - Converted to Date</v>
      </c>
      <c r="J71" s="9" t="str">
        <f>IF(OR(C71="", H71=""), "Cannot Check - Date Missing", IF(H71&lt;C71, "Invalid - Ship Before Order", "Valid"))</f>
        <v>Valid</v>
      </c>
      <c r="K71" s="5">
        <f>IF(OR(C71="", H71=""), "", IF(H71&lt;C71, "", H71-C71))</f>
        <v>6</v>
      </c>
      <c r="L71" s="3" t="s">
        <v>1313</v>
      </c>
      <c r="M71" s="3" t="s">
        <v>61</v>
      </c>
      <c r="N71" s="4" t="str">
        <f>TRIM(SUBSTITUTE(M71,"_"," "))</f>
        <v>Arjun Bose</v>
      </c>
      <c r="O71" s="3" t="s">
        <v>41</v>
      </c>
      <c r="P71" s="6" t="str">
        <f>PROPER(TRIM(SUBSTITUTE(O71,".","")))</f>
        <v>Small Business</v>
      </c>
      <c r="Q71" s="3" t="s">
        <v>42</v>
      </c>
      <c r="R71" s="7" t="str">
        <f>PROPER(TRIM(SUBSTITUTE(Q71,"  "," ")))</f>
        <v>East</v>
      </c>
      <c r="S71" s="3" t="s">
        <v>121</v>
      </c>
      <c r="T71" s="6" t="str">
        <f>PROPER(TRIM(SUBSTITUTE(S71,"  "," ")))</f>
        <v>West Bengal</v>
      </c>
      <c r="U71" s="3" t="s">
        <v>122</v>
      </c>
      <c r="V71" s="6" t="str">
        <f>PROPER(TRIM(SUBSTITUTE(U71,"  "," ")))</f>
        <v>Kolkata</v>
      </c>
      <c r="W71" s="3" t="s">
        <v>45</v>
      </c>
      <c r="X71" s="6" t="str">
        <f>PROPER(TRIM(SUBSTITUTE(W71,"  "," ")))</f>
        <v>Furniture</v>
      </c>
      <c r="Y71" s="3" t="s">
        <v>65</v>
      </c>
      <c r="Z71" s="6" t="str">
        <f>PROPER(TRIM(SUBSTITUTE(Y71,"  "," ")))</f>
        <v>Furnishings</v>
      </c>
      <c r="AA71" s="3" t="s">
        <v>1314</v>
      </c>
      <c r="AB71" s="3" t="s">
        <v>67</v>
      </c>
      <c r="AC71" s="6" t="str">
        <f>PROPER(TRIM(SUBSTITUTE(AB71,"  "," ")))</f>
        <v>Standard Class</v>
      </c>
      <c r="AD71" s="3">
        <v>5</v>
      </c>
      <c r="AE71" s="3">
        <v>3373.86</v>
      </c>
      <c r="AF71" s="3">
        <v>0.15</v>
      </c>
      <c r="AG71" s="17">
        <v>0.15</v>
      </c>
      <c r="AH71" s="6" t="str">
        <f t="shared" si="11"/>
        <v>Valid</v>
      </c>
      <c r="AI71" s="3">
        <v>14338.9</v>
      </c>
      <c r="AJ71" s="3">
        <v>11897.65</v>
      </c>
      <c r="AK71" s="3">
        <v>2441.25</v>
      </c>
      <c r="AL71" s="3" t="s">
        <v>137</v>
      </c>
      <c r="AM71" s="6" t="str">
        <f>PROPER(TRIM(SUBSTITUTE(AL71,".","")))</f>
        <v>Pending</v>
      </c>
      <c r="AN71" s="3" t="s">
        <v>125</v>
      </c>
      <c r="AO71" s="8" t="str">
        <f>PROPER(TRIM(SUBSTITUTE(AN71,".","")))</f>
        <v>Returned</v>
      </c>
      <c r="AP71" t="str">
        <f>IF(COUNTIF($A$2:$A$933, A71) &gt; 1, "Duplicate ID", "Unique")</f>
        <v>Unique</v>
      </c>
      <c r="AR71">
        <f t="shared" si="12"/>
        <v>14338.904999999999</v>
      </c>
      <c r="AS71">
        <f t="shared" si="13"/>
        <v>2441.2549999999992</v>
      </c>
      <c r="AT71" s="15">
        <f t="shared" si="14"/>
        <v>0.17025393501107647</v>
      </c>
      <c r="AU71" t="str">
        <f t="shared" si="15"/>
        <v>Clean</v>
      </c>
      <c r="AV71" s="8" t="str">
        <f t="shared" si="16"/>
        <v>Active</v>
      </c>
    </row>
    <row r="72" spans="1:48">
      <c r="A72" s="3" t="s">
        <v>2770</v>
      </c>
      <c r="B72" s="3" t="s">
        <v>2771</v>
      </c>
      <c r="C72" s="9">
        <f>IFERROR(DATEVALUE(TEXT(B72,"DD/MM/YYYY")), IF(ISNUMBER(B72), B72, ""))</f>
        <v>45343</v>
      </c>
      <c r="D72" s="9" t="str">
        <f>IF(B72="","Missing", IF(AND(ISNUMBER(B72)=FALSE, C72=""),"Invalid - Could Not Parse", IF(AND(ISNUMBER(B72)=FALSE, C72&lt;&gt;""),"Text - Converted to Date", IF(ISNUMBER(B72),"Valid","Check"))))</f>
        <v>Text - Converted to Date</v>
      </c>
      <c r="E72" s="5">
        <f t="shared" si="9"/>
        <v>2</v>
      </c>
      <c r="F72" s="5">
        <f t="shared" si="10"/>
        <v>2024</v>
      </c>
      <c r="G72" s="3" t="s">
        <v>2772</v>
      </c>
      <c r="H72" s="9">
        <f>IFERROR(DATEVALUE(TEXT(G72,"DD/MM/YYYY")), IF(ISNUMBER(G72), G72, ""))</f>
        <v>45345</v>
      </c>
      <c r="I72" s="9" t="str">
        <f>IF(G72="","Missing", IF(AND(ISNUMBER(G72)=FALSE, H72=""),"Invalid - Could Not Parse", IF(AND(ISNUMBER(G72)=FALSE, H72&lt;&gt;""),"Text - Converted to Date", IF(ISNUMBER(G72),"Valid","Check"))))</f>
        <v>Text - Converted to Date</v>
      </c>
      <c r="J72" s="9" t="str">
        <f>IF(OR(C72="", H72=""), "Cannot Check - Date Missing", IF(H72&lt;C72, "Invalid - Ship Before Order", "Valid"))</f>
        <v>Valid</v>
      </c>
      <c r="K72" s="5">
        <f>IF(OR(C72="", H72=""), "", IF(H72&lt;C72, "", H72-C72))</f>
        <v>2</v>
      </c>
      <c r="L72" s="3" t="s">
        <v>417</v>
      </c>
      <c r="M72" s="3" t="s">
        <v>93</v>
      </c>
      <c r="N72" s="4" t="str">
        <f>TRIM(SUBSTITUTE(M72,"_"," "))</f>
        <v>Neha Gupta</v>
      </c>
      <c r="O72" s="3" t="s">
        <v>41</v>
      </c>
      <c r="P72" s="6" t="str">
        <f>PROPER(TRIM(SUBSTITUTE(O72,".","")))</f>
        <v>Small Business</v>
      </c>
      <c r="Q72" s="3" t="s">
        <v>73</v>
      </c>
      <c r="R72" s="7" t="str">
        <f>PROPER(TRIM(SUBSTITUTE(Q72,"  "," ")))</f>
        <v>West</v>
      </c>
      <c r="S72" s="3" t="s">
        <v>235</v>
      </c>
      <c r="T72" s="6" t="str">
        <f>PROPER(TRIM(SUBSTITUTE(S72,"  "," ")))</f>
        <v>Gujarat</v>
      </c>
      <c r="U72" s="3" t="s">
        <v>236</v>
      </c>
      <c r="V72" s="6" t="str">
        <f>PROPER(TRIM(SUBSTITUTE(U72,"  "," ")))</f>
        <v>Ahmedabad</v>
      </c>
      <c r="W72" s="3" t="s">
        <v>86</v>
      </c>
      <c r="X72" s="6" t="str">
        <f>PROPER(TRIM(SUBSTITUTE(W72,"  "," ")))</f>
        <v>Technology</v>
      </c>
      <c r="Y72" s="3" t="s">
        <v>94</v>
      </c>
      <c r="Z72" s="6" t="str">
        <f>PROPER(TRIM(SUBSTITUTE(Y72,"  "," ")))</f>
        <v>Copiers</v>
      </c>
      <c r="AA72" s="3" t="s">
        <v>2773</v>
      </c>
      <c r="AB72" s="3" t="s">
        <v>56</v>
      </c>
      <c r="AC72" s="6" t="str">
        <f>PROPER(TRIM(SUBSTITUTE(AB72,"  "," ")))</f>
        <v>First Class</v>
      </c>
      <c r="AD72" s="3">
        <v>6</v>
      </c>
      <c r="AE72" s="3">
        <v>2633.65</v>
      </c>
      <c r="AF72" s="3">
        <v>0.05</v>
      </c>
      <c r="AG72" s="17">
        <v>0.05</v>
      </c>
      <c r="AH72" s="6" t="str">
        <f t="shared" si="11"/>
        <v>Valid</v>
      </c>
      <c r="AI72" s="3">
        <v>15011.81</v>
      </c>
      <c r="AJ72" s="3">
        <v>9660.36</v>
      </c>
      <c r="AK72" s="3">
        <v>5351.45</v>
      </c>
      <c r="AL72" s="3" t="s">
        <v>34</v>
      </c>
      <c r="AM72" s="6" t="str">
        <f>PROPER(TRIM(SUBSTITUTE(AL72,".","")))</f>
        <v>Paid</v>
      </c>
      <c r="AN72" s="3" t="s">
        <v>35</v>
      </c>
      <c r="AO72" s="8" t="str">
        <f>PROPER(TRIM(SUBSTITUTE(AN72,".","")))</f>
        <v>Completed</v>
      </c>
      <c r="AP72" t="str">
        <f>IF(COUNTIF($A$2:$A$933, A72) &gt; 1, "Duplicate ID", "Unique")</f>
        <v>Unique</v>
      </c>
      <c r="AR72">
        <f t="shared" si="12"/>
        <v>15011.805</v>
      </c>
      <c r="AS72">
        <f t="shared" si="13"/>
        <v>5351.4449999999997</v>
      </c>
      <c r="AT72" s="15">
        <f t="shared" si="14"/>
        <v>0.35648244831317749</v>
      </c>
      <c r="AU72" t="str">
        <f t="shared" si="15"/>
        <v>Clean</v>
      </c>
      <c r="AV72" s="8" t="str">
        <f t="shared" si="16"/>
        <v>Active</v>
      </c>
    </row>
    <row r="73" spans="1:48">
      <c r="A73" s="3" t="s">
        <v>2829</v>
      </c>
      <c r="B73" s="3" t="s">
        <v>2830</v>
      </c>
      <c r="C73" s="9">
        <f>IFERROR(DATEVALUE(TEXT(B73,"DD/MM/YYYY")), IF(ISNUMBER(B73), B73, ""))</f>
        <v>45344</v>
      </c>
      <c r="D73" s="9" t="str">
        <f>IF(B73="","Missing", IF(AND(ISNUMBER(B73)=FALSE, C73=""),"Invalid - Could Not Parse", IF(AND(ISNUMBER(B73)=FALSE, C73&lt;&gt;""),"Text - Converted to Date", IF(ISNUMBER(B73),"Valid","Check"))))</f>
        <v>Text - Converted to Date</v>
      </c>
      <c r="E73" s="5">
        <f t="shared" si="9"/>
        <v>2</v>
      </c>
      <c r="F73" s="5">
        <f t="shared" si="10"/>
        <v>2024</v>
      </c>
      <c r="G73" s="3" t="s">
        <v>2831</v>
      </c>
      <c r="H73" s="9">
        <f>IFERROR(DATEVALUE(TEXT(G73,"DD/MM/YYYY")), IF(ISNUMBER(G73), G73, ""))</f>
        <v>45346</v>
      </c>
      <c r="I73" s="9" t="str">
        <f>IF(G73="","Missing", IF(AND(ISNUMBER(G73)=FALSE, H73=""),"Invalid - Could Not Parse", IF(AND(ISNUMBER(G73)=FALSE, H73&lt;&gt;""),"Text - Converted to Date", IF(ISNUMBER(G73),"Valid","Check"))))</f>
        <v>Text - Converted to Date</v>
      </c>
      <c r="J73" s="9" t="str">
        <f>IF(OR(C73="", H73=""), "Cannot Check - Date Missing", IF(H73&lt;C73, "Invalid - Ship Before Order", "Valid"))</f>
        <v>Valid</v>
      </c>
      <c r="K73" s="5">
        <f>IF(OR(C73="", H73=""), "", IF(H73&lt;C73, "", H73-C73))</f>
        <v>2</v>
      </c>
      <c r="L73" s="3" t="s">
        <v>2832</v>
      </c>
      <c r="M73" s="3" t="s">
        <v>168</v>
      </c>
      <c r="N73" s="4" t="str">
        <f>TRIM(SUBSTITUTE(M73,"_"," "))</f>
        <v>Sneha Kapoor</v>
      </c>
      <c r="O73" s="3" t="s">
        <v>26</v>
      </c>
      <c r="P73" s="6" t="str">
        <f>PROPER(TRIM(SUBSTITUTE(O73,".","")))</f>
        <v>Consumer</v>
      </c>
      <c r="Q73" s="3" t="s">
        <v>62</v>
      </c>
      <c r="R73" s="7" t="str">
        <f>PROPER(TRIM(SUBSTITUTE(Q73,"  "," ")))</f>
        <v>South</v>
      </c>
      <c r="S73" s="3" t="s">
        <v>229</v>
      </c>
      <c r="T73" s="6" t="str">
        <f>PROPER(TRIM(SUBSTITUTE(S73,"  "," ")))</f>
        <v>Karnataka</v>
      </c>
      <c r="U73" s="3" t="s">
        <v>230</v>
      </c>
      <c r="V73" s="6" t="str">
        <f>PROPER(TRIM(SUBSTITUTE(U73,"  "," ")))</f>
        <v>Bengaluru</v>
      </c>
      <c r="W73" s="3" t="s">
        <v>86</v>
      </c>
      <c r="X73" s="6" t="str">
        <f>PROPER(TRIM(SUBSTITUTE(W73,"  "," ")))</f>
        <v>Technology</v>
      </c>
      <c r="Y73" s="3" t="s">
        <v>94</v>
      </c>
      <c r="Z73" s="6" t="str">
        <f>PROPER(TRIM(SUBSTITUTE(Y73,"  "," ")))</f>
        <v>Copiers</v>
      </c>
      <c r="AA73" s="3" t="s">
        <v>2833</v>
      </c>
      <c r="AB73" s="3" t="s">
        <v>56</v>
      </c>
      <c r="AC73" s="6" t="str">
        <f>PROPER(TRIM(SUBSTITUTE(AB73,"  "," ")))</f>
        <v>First Class</v>
      </c>
      <c r="AD73" s="3">
        <v>3</v>
      </c>
      <c r="AE73" s="3">
        <v>3545.08</v>
      </c>
      <c r="AF73" s="3">
        <v>0</v>
      </c>
      <c r="AG73" s="17">
        <v>0</v>
      </c>
      <c r="AH73" s="6" t="str">
        <f t="shared" si="11"/>
        <v>Valid</v>
      </c>
      <c r="AI73" s="3">
        <v>10635.24</v>
      </c>
      <c r="AJ73" s="3">
        <v>6031.88</v>
      </c>
      <c r="AK73" s="3">
        <v>4603.3599999999997</v>
      </c>
      <c r="AL73" s="3" t="s">
        <v>200</v>
      </c>
      <c r="AM73" s="6" t="str">
        <f>PROPER(TRIM(SUBSTITUTE(AL73,".","")))</f>
        <v>Failed</v>
      </c>
      <c r="AN73" s="3" t="s">
        <v>125</v>
      </c>
      <c r="AO73" s="8" t="str">
        <f>PROPER(TRIM(SUBSTITUTE(AN73,".","")))</f>
        <v>Returned</v>
      </c>
      <c r="AP73" t="str">
        <f>IF(COUNTIF($A$2:$A$933, A73) &gt; 1, "Duplicate ID", "Unique")</f>
        <v>Unique</v>
      </c>
      <c r="AR73">
        <f t="shared" si="12"/>
        <v>10635.24</v>
      </c>
      <c r="AS73">
        <f t="shared" si="13"/>
        <v>4603.3599999999997</v>
      </c>
      <c r="AT73" s="15">
        <f t="shared" si="14"/>
        <v>0.43284025560307055</v>
      </c>
      <c r="AU73" t="str">
        <f t="shared" si="15"/>
        <v>Clean</v>
      </c>
      <c r="AV73" s="8" t="str">
        <f t="shared" si="16"/>
        <v>Active</v>
      </c>
    </row>
    <row r="74" spans="1:48">
      <c r="A74" s="3" t="s">
        <v>4066</v>
      </c>
      <c r="B74" s="3" t="s">
        <v>1945</v>
      </c>
      <c r="C74" s="9">
        <f>IFERROR(DATEVALUE(TEXT(B74,"DD/MM/YYYY")), IF(ISNUMBER(B74), B74, ""))</f>
        <v>45344</v>
      </c>
      <c r="D74" s="9" t="str">
        <f>IF(B74="","Missing", IF(AND(ISNUMBER(B74)=FALSE, C74=""),"Invalid - Could Not Parse", IF(AND(ISNUMBER(B74)=FALSE, C74&lt;&gt;""),"Text - Converted to Date", IF(ISNUMBER(B74),"Valid","Check"))))</f>
        <v>Text - Converted to Date</v>
      </c>
      <c r="E74" s="5">
        <f t="shared" si="9"/>
        <v>2</v>
      </c>
      <c r="F74" s="5">
        <f t="shared" si="10"/>
        <v>2024</v>
      </c>
      <c r="G74" s="3" t="s">
        <v>4067</v>
      </c>
      <c r="H74" s="9">
        <f>IFERROR(DATEVALUE(MID(G74,4,2) &amp; "/" &amp; LEFT(G74,2) &amp; "/" &amp; RIGHT(G74,4)), IF(ISNUMBER(G74), G74, IFERROR(DATEVALUE(G74), "")))</f>
        <v>45351</v>
      </c>
      <c r="I74" s="9" t="str">
        <f>IF(G74="","Missing", IF(AND(ISNUMBER(G74)=FALSE, H74=""),"Invalid - Could Not Parse", IF(AND(ISNUMBER(G74)=FALSE, H74&lt;&gt;""),"Text - Converted to Date", IF(ISNUMBER(G74),"Valid","Check"))))</f>
        <v>Text - Converted to Date</v>
      </c>
      <c r="J74" s="9" t="str">
        <f>IF(OR(C74="", H74=""), "Cannot Check - Date Missing", IF(H74&lt;C74, "Invalid - Ship Before Order", "Valid"))</f>
        <v>Valid</v>
      </c>
      <c r="K74" s="5">
        <f>IF(OR(C74="", H74=""), "", IF(H74&lt;C74, "", H74-C74))</f>
        <v>7</v>
      </c>
      <c r="L74" s="3" t="s">
        <v>4068</v>
      </c>
      <c r="M74" s="3" t="s">
        <v>53</v>
      </c>
      <c r="N74" s="4" t="str">
        <f>TRIM(SUBSTITUTE(M74,"_"," "))</f>
        <v>Isha Nair</v>
      </c>
      <c r="O74" s="3" t="s">
        <v>115</v>
      </c>
      <c r="P74" s="6" t="str">
        <f>PROPER(TRIM(SUBSTITUTE(O74,".","")))</f>
        <v>Home Office</v>
      </c>
      <c r="Q74" s="3" t="s">
        <v>62</v>
      </c>
      <c r="R74" s="7" t="str">
        <f>PROPER(TRIM(SUBSTITUTE(Q74,"  "," ")))</f>
        <v>South</v>
      </c>
      <c r="S74" s="3" t="s">
        <v>63</v>
      </c>
      <c r="T74" s="6" t="str">
        <f>PROPER(TRIM(SUBSTITUTE(S74,"  "," ")))</f>
        <v>Telangana</v>
      </c>
      <c r="U74" s="3" t="s">
        <v>64</v>
      </c>
      <c r="V74" s="6" t="str">
        <f>PROPER(TRIM(SUBSTITUTE(U74,"  "," ")))</f>
        <v>Hyderabad</v>
      </c>
      <c r="W74" s="3" t="s">
        <v>45</v>
      </c>
      <c r="X74" s="6" t="str">
        <f>PROPER(TRIM(SUBSTITUTE(W74,"  "," ")))</f>
        <v>Furniture</v>
      </c>
      <c r="Y74" s="3" t="s">
        <v>46</v>
      </c>
      <c r="Z74" s="6" t="str">
        <f>PROPER(TRIM(SUBSTITUTE(Y74,"  "," ")))</f>
        <v>Tables</v>
      </c>
      <c r="AA74" s="3" t="s">
        <v>4069</v>
      </c>
      <c r="AB74" s="3" t="s">
        <v>56</v>
      </c>
      <c r="AC74" s="6" t="str">
        <f>PROPER(TRIM(SUBSTITUTE(AB74,"  "," ")))</f>
        <v>First Class</v>
      </c>
      <c r="AD74" s="3">
        <v>6</v>
      </c>
      <c r="AE74" s="3">
        <v>4254.05</v>
      </c>
      <c r="AF74" s="3">
        <v>0</v>
      </c>
      <c r="AG74" s="17">
        <v>0</v>
      </c>
      <c r="AH74" s="6" t="str">
        <f t="shared" si="11"/>
        <v>Valid</v>
      </c>
      <c r="AI74" s="3">
        <v>25524.3</v>
      </c>
      <c r="AJ74" s="3">
        <v>16711.93</v>
      </c>
      <c r="AK74" s="3">
        <v>8812.3700000000008</v>
      </c>
      <c r="AL74" s="3" t="s">
        <v>34</v>
      </c>
      <c r="AM74" s="6" t="str">
        <f>PROPER(TRIM(SUBSTITUTE(AL74,".","")))</f>
        <v>Paid</v>
      </c>
      <c r="AN74" s="3" t="s">
        <v>35</v>
      </c>
      <c r="AO74" s="8" t="str">
        <f>PROPER(TRIM(SUBSTITUTE(AN74,".","")))</f>
        <v>Completed</v>
      </c>
      <c r="AP74" t="str">
        <f>IF(COUNTIF($A$2:$A$933, A74) &gt; 1, "Duplicate ID", "Unique")</f>
        <v>Unique</v>
      </c>
      <c r="AR74">
        <f t="shared" si="12"/>
        <v>25524.300000000003</v>
      </c>
      <c r="AS74">
        <f t="shared" si="13"/>
        <v>8812.3700000000026</v>
      </c>
      <c r="AT74" s="15">
        <f t="shared" si="14"/>
        <v>0.34525413037771857</v>
      </c>
      <c r="AU74" t="str">
        <f t="shared" si="15"/>
        <v>Clean</v>
      </c>
      <c r="AV74" s="8" t="str">
        <f t="shared" si="16"/>
        <v>Active</v>
      </c>
    </row>
    <row r="75" spans="1:48">
      <c r="A75" s="3" t="s">
        <v>2342</v>
      </c>
      <c r="B75" s="3" t="s">
        <v>2343</v>
      </c>
      <c r="C75" s="9">
        <f>IFERROR(DATEVALUE(TEXT(B75,"DD/MM/YYYY")), IF(ISNUMBER(B75), B75, ""))</f>
        <v>45345</v>
      </c>
      <c r="D75" s="9" t="str">
        <f>IF(B75="","Missing", IF(AND(ISNUMBER(B75)=FALSE, C75=""),"Invalid - Could Not Parse", IF(AND(ISNUMBER(B75)=FALSE, C75&lt;&gt;""),"Text - Converted to Date", IF(ISNUMBER(B75),"Valid","Check"))))</f>
        <v>Text - Converted to Date</v>
      </c>
      <c r="E75" s="5">
        <f t="shared" si="9"/>
        <v>2</v>
      </c>
      <c r="F75" s="5">
        <f t="shared" si="10"/>
        <v>2024</v>
      </c>
      <c r="G75" s="3" t="s">
        <v>2088</v>
      </c>
      <c r="H75" s="9">
        <f>IFERROR(DATEVALUE(TEXT(G75,"DD/MM/YYYY")), IF(ISNUMBER(G75), G75, ""))</f>
        <v>45342</v>
      </c>
      <c r="I75" s="9" t="str">
        <f>IF(G75="","Missing", IF(AND(ISNUMBER(G75)=FALSE, H75=""),"Invalid - Could Not Parse", IF(AND(ISNUMBER(G75)=FALSE, H75&lt;&gt;""),"Text - Converted to Date", IF(ISNUMBER(G75),"Valid","Check"))))</f>
        <v>Text - Converted to Date</v>
      </c>
      <c r="J75" s="9" t="str">
        <f>IF(OR(C75="", H75=""), "Cannot Check - Date Missing", IF(H75&lt;C75, "Invalid - Ship Before Order", "Valid"))</f>
        <v>Invalid - Ship Before Order</v>
      </c>
      <c r="K75" s="5" t="str">
        <f>IF(OR(C75="", H75=""), "", IF(H75&lt;C75, "", H75-C75))</f>
        <v/>
      </c>
      <c r="L75" s="3" t="s">
        <v>2344</v>
      </c>
      <c r="M75" s="3" t="s">
        <v>61</v>
      </c>
      <c r="N75" s="4" t="str">
        <f>TRIM(SUBSTITUTE(M75,"_"," "))</f>
        <v>Arjun Bose</v>
      </c>
      <c r="O75" s="3" t="s">
        <v>108</v>
      </c>
      <c r="P75" s="6" t="str">
        <f>PROPER(TRIM(SUBSTITUTE(O75,".","")))</f>
        <v>Corporate</v>
      </c>
      <c r="Q75" s="3" t="s">
        <v>42</v>
      </c>
      <c r="R75" s="7" t="str">
        <f>PROPER(TRIM(SUBSTITUTE(Q75,"  "," ")))</f>
        <v>East</v>
      </c>
      <c r="S75" s="3" t="s">
        <v>43</v>
      </c>
      <c r="T75" s="6" t="str">
        <f>PROPER(TRIM(SUBSTITUTE(S75,"  "," ")))</f>
        <v>Odisha</v>
      </c>
      <c r="U75" s="3" t="s">
        <v>44</v>
      </c>
      <c r="V75" s="6" t="str">
        <f>PROPER(TRIM(SUBSTITUTE(U75,"  "," ")))</f>
        <v>Bhubaneswar</v>
      </c>
      <c r="W75" s="3" t="s">
        <v>45</v>
      </c>
      <c r="X75" s="6" t="str">
        <f>PROPER(TRIM(SUBSTITUTE(W75,"  "," ")))</f>
        <v>Furniture</v>
      </c>
      <c r="Y75" s="3" t="s">
        <v>76</v>
      </c>
      <c r="Z75" s="6" t="str">
        <f>PROPER(TRIM(SUBSTITUTE(Y75,"  "," ")))</f>
        <v>Chairs</v>
      </c>
      <c r="AA75" s="3" t="s">
        <v>2345</v>
      </c>
      <c r="AB75" s="3" t="s">
        <v>33</v>
      </c>
      <c r="AC75" s="6" t="str">
        <f>PROPER(TRIM(SUBSTITUTE(AB75,"  "," ")))</f>
        <v>Second Class</v>
      </c>
      <c r="AD75" s="3">
        <v>1</v>
      </c>
      <c r="AE75" s="3">
        <v>2202.5500000000002</v>
      </c>
      <c r="AF75" s="3"/>
      <c r="AG75" s="18">
        <f>IF(ISBLANK(AF75), 0, AF75)</f>
        <v>0</v>
      </c>
      <c r="AH75" s="6" t="str">
        <f t="shared" si="11"/>
        <v>Missing</v>
      </c>
      <c r="AI75" s="3">
        <v>1651.91</v>
      </c>
      <c r="AJ75" s="3">
        <v>1034.57</v>
      </c>
      <c r="AK75" s="3">
        <v>617.34</v>
      </c>
      <c r="AL75" s="3" t="s">
        <v>34</v>
      </c>
      <c r="AM75" s="6" t="str">
        <f>PROPER(TRIM(SUBSTITUTE(AL75,".","")))</f>
        <v>Paid</v>
      </c>
      <c r="AN75" s="3" t="s">
        <v>35</v>
      </c>
      <c r="AO75" s="8" t="str">
        <f>PROPER(TRIM(SUBSTITUTE(AN75,".","")))</f>
        <v>Completed</v>
      </c>
      <c r="AP75" t="str">
        <f>IF(COUNTIF($A$2:$A$933, A75) &gt; 1, "Duplicate ID", "Unique")</f>
        <v>Unique</v>
      </c>
      <c r="AR75">
        <f t="shared" si="12"/>
        <v>2202.5500000000002</v>
      </c>
      <c r="AS75">
        <f t="shared" si="13"/>
        <v>1167.9800000000002</v>
      </c>
      <c r="AT75" s="15">
        <f t="shared" si="14"/>
        <v>0.53028535107035035</v>
      </c>
      <c r="AU75" t="str">
        <f t="shared" si="15"/>
        <v>Invalid</v>
      </c>
      <c r="AV75" s="8" t="str">
        <f t="shared" si="16"/>
        <v>Active</v>
      </c>
    </row>
    <row r="76" spans="1:48">
      <c r="A76" s="3" t="s">
        <v>3873</v>
      </c>
      <c r="B76" s="3" t="s">
        <v>2772</v>
      </c>
      <c r="C76" s="9">
        <f>IFERROR(DATEVALUE(TEXT(B76,"DD/MM/YYYY")), IF(ISNUMBER(B76), B76, ""))</f>
        <v>45345</v>
      </c>
      <c r="D76" s="9" t="str">
        <f>IF(B76="","Missing", IF(AND(ISNUMBER(B76)=FALSE, C76=""),"Invalid - Could Not Parse", IF(AND(ISNUMBER(B76)=FALSE, C76&lt;&gt;""),"Text - Converted to Date", IF(ISNUMBER(B76),"Valid","Check"))))</f>
        <v>Text - Converted to Date</v>
      </c>
      <c r="E76" s="5">
        <f t="shared" si="9"/>
        <v>2</v>
      </c>
      <c r="F76" s="5">
        <f t="shared" si="10"/>
        <v>2024</v>
      </c>
      <c r="G76" s="3" t="s">
        <v>3874</v>
      </c>
      <c r="H76" s="9">
        <f>IFERROR(DATEVALUE(TEXT(G76,"DD/MM/YYYY")), IF(ISNUMBER(G76), G76, ""))</f>
        <v>45349</v>
      </c>
      <c r="I76" s="9" t="str">
        <f>IF(G76="","Missing", IF(AND(ISNUMBER(G76)=FALSE, H76=""),"Invalid - Could Not Parse", IF(AND(ISNUMBER(G76)=FALSE, H76&lt;&gt;""),"Text - Converted to Date", IF(ISNUMBER(G76),"Valid","Check"))))</f>
        <v>Text - Converted to Date</v>
      </c>
      <c r="J76" s="9" t="str">
        <f>IF(OR(C76="", H76=""), "Cannot Check - Date Missing", IF(H76&lt;C76, "Invalid - Ship Before Order", "Valid"))</f>
        <v>Valid</v>
      </c>
      <c r="K76" s="5">
        <f>IF(OR(C76="", H76=""), "", IF(H76&lt;C76, "", H76-C76))</f>
        <v>4</v>
      </c>
      <c r="L76" s="3" t="s">
        <v>893</v>
      </c>
      <c r="M76" s="3" t="s">
        <v>25</v>
      </c>
      <c r="N76" s="4" t="str">
        <f>TRIM(SUBSTITUTE(M76,"_"," "))</f>
        <v>Karan Malhotra</v>
      </c>
      <c r="O76" s="3" t="s">
        <v>26</v>
      </c>
      <c r="P76" s="6" t="str">
        <f>PROPER(TRIM(SUBSTITUTE(O76,".","")))</f>
        <v>Consumer</v>
      </c>
      <c r="Q76" s="3" t="s">
        <v>42</v>
      </c>
      <c r="R76" s="7" t="str">
        <f>PROPER(TRIM(SUBSTITUTE(Q76,"  "," ")))</f>
        <v>East</v>
      </c>
      <c r="S76" s="3" t="s">
        <v>43</v>
      </c>
      <c r="T76" s="6" t="str">
        <f>PROPER(TRIM(SUBSTITUTE(S76,"  "," ")))</f>
        <v>Odisha</v>
      </c>
      <c r="U76" s="3" t="s">
        <v>44</v>
      </c>
      <c r="V76" s="6" t="str">
        <f>PROPER(TRIM(SUBSTITUTE(U76,"  "," ")))</f>
        <v>Bhubaneswar</v>
      </c>
      <c r="W76" s="3" t="s">
        <v>45</v>
      </c>
      <c r="X76" s="6" t="str">
        <f>PROPER(TRIM(SUBSTITUTE(W76,"  "," ")))</f>
        <v>Furniture</v>
      </c>
      <c r="Y76" s="3" t="s">
        <v>46</v>
      </c>
      <c r="Z76" s="6" t="str">
        <f>PROPER(TRIM(SUBSTITUTE(Y76,"  "," ")))</f>
        <v>Tables</v>
      </c>
      <c r="AA76" s="3" t="s">
        <v>3875</v>
      </c>
      <c r="AB76" s="3" t="s">
        <v>56</v>
      </c>
      <c r="AC76" s="6" t="str">
        <f>PROPER(TRIM(SUBSTITUTE(AB76,"  "," ")))</f>
        <v>First Class</v>
      </c>
      <c r="AD76" s="3">
        <v>9</v>
      </c>
      <c r="AE76" s="3">
        <v>3616.23</v>
      </c>
      <c r="AF76" s="3">
        <v>0.25</v>
      </c>
      <c r="AG76" s="17">
        <v>0.25</v>
      </c>
      <c r="AH76" s="6" t="str">
        <f t="shared" si="11"/>
        <v>Valid</v>
      </c>
      <c r="AI76" s="3">
        <v>24409.55</v>
      </c>
      <c r="AJ76" s="3">
        <v>17157.580000000002</v>
      </c>
      <c r="AK76" s="3">
        <v>7251.97</v>
      </c>
      <c r="AL76" s="3" t="s">
        <v>137</v>
      </c>
      <c r="AM76" s="6" t="str">
        <f>PROPER(TRIM(SUBSTITUTE(AL76,".","")))</f>
        <v>Pending</v>
      </c>
      <c r="AN76" s="3" t="s">
        <v>125</v>
      </c>
      <c r="AO76" s="8" t="str">
        <f>PROPER(TRIM(SUBSTITUTE(AN76,".","")))</f>
        <v>Returned</v>
      </c>
      <c r="AP76" t="str">
        <f>IF(COUNTIF($A$2:$A$933, A76) &gt; 1, "Duplicate ID", "Unique")</f>
        <v>Unique</v>
      </c>
      <c r="AR76">
        <f t="shared" si="12"/>
        <v>24409.552499999998</v>
      </c>
      <c r="AS76">
        <f t="shared" si="13"/>
        <v>7251.9724999999962</v>
      </c>
      <c r="AT76" s="15">
        <f t="shared" si="14"/>
        <v>0.29709567596538267</v>
      </c>
      <c r="AU76" t="str">
        <f t="shared" si="15"/>
        <v>Clean</v>
      </c>
      <c r="AV76" s="8" t="str">
        <f t="shared" si="16"/>
        <v>Active</v>
      </c>
    </row>
    <row r="77" spans="1:48">
      <c r="A77" s="3" t="s">
        <v>1644</v>
      </c>
      <c r="B77" s="3" t="s">
        <v>1645</v>
      </c>
      <c r="C77" s="9">
        <f>IFERROR(DATEVALUE(TEXT(B77,"DD/MM/YYYY")), IF(ISNUMBER(B77), B77, ""))</f>
        <v>45347</v>
      </c>
      <c r="D77" s="9" t="str">
        <f>IF(B77="","Missing", IF(AND(ISNUMBER(B77)=FALSE, C77=""),"Invalid - Could Not Parse", IF(AND(ISNUMBER(B77)=FALSE, C77&lt;&gt;""),"Text - Converted to Date", IF(ISNUMBER(B77),"Valid","Check"))))</f>
        <v>Text - Converted to Date</v>
      </c>
      <c r="E77" s="5">
        <f t="shared" si="9"/>
        <v>2</v>
      </c>
      <c r="F77" s="5">
        <f t="shared" si="10"/>
        <v>2024</v>
      </c>
      <c r="G77" s="3" t="s">
        <v>1646</v>
      </c>
      <c r="H77" s="9">
        <f>IFERROR(DATEVALUE(TEXT(G77,"DD/MM/YYYY")), IF(ISNUMBER(G77), G77, ""))</f>
        <v>45351</v>
      </c>
      <c r="I77" s="9" t="str">
        <f>IF(G77="","Missing", IF(AND(ISNUMBER(G77)=FALSE, H77=""),"Invalid - Could Not Parse", IF(AND(ISNUMBER(G77)=FALSE, H77&lt;&gt;""),"Text - Converted to Date", IF(ISNUMBER(G77),"Valid","Check"))))</f>
        <v>Text - Converted to Date</v>
      </c>
      <c r="J77" s="9" t="str">
        <f>IF(OR(C77="", H77=""), "Cannot Check - Date Missing", IF(H77&lt;C77, "Invalid - Ship Before Order", "Valid"))</f>
        <v>Valid</v>
      </c>
      <c r="K77" s="5">
        <f>IF(OR(C77="", H77=""), "", IF(H77&lt;C77, "", H77-C77))</f>
        <v>4</v>
      </c>
      <c r="L77" s="3" t="s">
        <v>1647</v>
      </c>
      <c r="M77" s="3" t="s">
        <v>53</v>
      </c>
      <c r="N77" s="4" t="str">
        <f>TRIM(SUBSTITUTE(M77,"_"," "))</f>
        <v>Isha Nair</v>
      </c>
      <c r="O77" s="3" t="s">
        <v>41</v>
      </c>
      <c r="P77" s="6" t="str">
        <f>PROPER(TRIM(SUBSTITUTE(O77,".","")))</f>
        <v>Small Business</v>
      </c>
      <c r="Q77" s="3" t="s">
        <v>73</v>
      </c>
      <c r="R77" s="7" t="str">
        <f>PROPER(TRIM(SUBSTITUTE(Q77,"  "," ")))</f>
        <v>West</v>
      </c>
      <c r="S77" s="3" t="s">
        <v>249</v>
      </c>
      <c r="T77" s="6" t="str">
        <f>PROPER(TRIM(SUBSTITUTE(S77,"  "," ")))</f>
        <v>Goa</v>
      </c>
      <c r="U77" s="3" t="s">
        <v>250</v>
      </c>
      <c r="V77" s="6" t="str">
        <f>PROPER(TRIM(SUBSTITUTE(U77,"  "," ")))</f>
        <v>Panaji</v>
      </c>
      <c r="W77" s="3" t="s">
        <v>45</v>
      </c>
      <c r="X77" s="6" t="str">
        <f>PROPER(TRIM(SUBSTITUTE(W77,"  "," ")))</f>
        <v>Furniture</v>
      </c>
      <c r="Y77" s="3" t="s">
        <v>65</v>
      </c>
      <c r="Z77" s="6" t="str">
        <f>PROPER(TRIM(SUBSTITUTE(Y77,"  "," ")))</f>
        <v>Furnishings</v>
      </c>
      <c r="AA77" s="3" t="s">
        <v>193</v>
      </c>
      <c r="AB77" s="3" t="s">
        <v>67</v>
      </c>
      <c r="AC77" s="6" t="str">
        <f>PROPER(TRIM(SUBSTITUTE(AB77,"  "," ")))</f>
        <v>Standard Class</v>
      </c>
      <c r="AD77" s="3">
        <v>9</v>
      </c>
      <c r="AE77" s="3">
        <v>1331.46</v>
      </c>
      <c r="AF77" s="3">
        <v>0.15</v>
      </c>
      <c r="AG77" s="17">
        <v>0.15</v>
      </c>
      <c r="AH77" s="6" t="str">
        <f t="shared" si="11"/>
        <v>Valid</v>
      </c>
      <c r="AI77" s="3">
        <v>10185.67</v>
      </c>
      <c r="AJ77" s="3">
        <v>6479.31</v>
      </c>
      <c r="AK77" s="3">
        <v>3706.36</v>
      </c>
      <c r="AL77" s="3" t="s">
        <v>34</v>
      </c>
      <c r="AM77" s="6" t="str">
        <f>PROPER(TRIM(SUBSTITUTE(AL77,".","")))</f>
        <v>Paid</v>
      </c>
      <c r="AN77" s="3" t="s">
        <v>35</v>
      </c>
      <c r="AO77" s="8" t="str">
        <f>PROPER(TRIM(SUBSTITUTE(AN77,".","")))</f>
        <v>Completed</v>
      </c>
      <c r="AP77" t="str">
        <f>IF(COUNTIF($A$2:$A$933, A77) &gt; 1, "Duplicate ID", "Unique")</f>
        <v>Unique</v>
      </c>
      <c r="AR77">
        <f t="shared" si="12"/>
        <v>10185.669</v>
      </c>
      <c r="AS77">
        <f t="shared" si="13"/>
        <v>3706.3589999999995</v>
      </c>
      <c r="AT77" s="15">
        <f t="shared" si="14"/>
        <v>0.36387978050337189</v>
      </c>
      <c r="AU77" t="str">
        <f t="shared" si="15"/>
        <v>Clean</v>
      </c>
      <c r="AV77" s="8" t="str">
        <f t="shared" si="16"/>
        <v>Active</v>
      </c>
    </row>
    <row r="78" spans="1:48">
      <c r="A78" s="3" t="s">
        <v>2607</v>
      </c>
      <c r="B78" s="3" t="s">
        <v>2608</v>
      </c>
      <c r="C78" s="9">
        <f>IFERROR(DATEVALUE(TEXT(B78,"DD/MM/YYYY")), IF(ISNUMBER(B78), B78, ""))</f>
        <v>45348</v>
      </c>
      <c r="D78" s="9" t="str">
        <f>IF(B78="","Missing", IF(AND(ISNUMBER(B78)=FALSE, C78=""),"Invalid - Could Not Parse", IF(AND(ISNUMBER(B78)=FALSE, C78&lt;&gt;""),"Text - Converted to Date", IF(ISNUMBER(B78),"Valid","Check"))))</f>
        <v>Text - Converted to Date</v>
      </c>
      <c r="E78" s="5">
        <f t="shared" si="9"/>
        <v>2</v>
      </c>
      <c r="F78" s="5">
        <f t="shared" si="10"/>
        <v>2024</v>
      </c>
      <c r="G78" s="3" t="s">
        <v>2343</v>
      </c>
      <c r="H78" s="9">
        <f>IFERROR(DATEVALUE(TEXT(G78,"DD/MM/YYYY")), IF(ISNUMBER(G78), G78, ""))</f>
        <v>45345</v>
      </c>
      <c r="I78" s="9" t="str">
        <f>IF(G78="","Missing", IF(AND(ISNUMBER(G78)=FALSE, H78=""),"Invalid - Could Not Parse", IF(AND(ISNUMBER(G78)=FALSE, H78&lt;&gt;""),"Text - Converted to Date", IF(ISNUMBER(G78),"Valid","Check"))))</f>
        <v>Text - Converted to Date</v>
      </c>
      <c r="J78" s="9" t="str">
        <f>IF(OR(C78="", H78=""), "Cannot Check - Date Missing", IF(H78&lt;C78, "Invalid - Ship Before Order", "Valid"))</f>
        <v>Invalid - Ship Before Order</v>
      </c>
      <c r="K78" s="5" t="str">
        <f>IF(OR(C78="", H78=""), "", IF(H78&lt;C78, "", H78-C78))</f>
        <v/>
      </c>
      <c r="L78" s="3" t="s">
        <v>2609</v>
      </c>
      <c r="M78" s="3" t="s">
        <v>366</v>
      </c>
      <c r="N78" s="4" t="str">
        <f>TRIM(SUBSTITUTE(M78,"_"," "))</f>
        <v>Kabir Singh</v>
      </c>
      <c r="O78" s="3" t="s">
        <v>26</v>
      </c>
      <c r="P78" s="6" t="str">
        <f>PROPER(TRIM(SUBSTITUTE(O78,".","")))</f>
        <v>Consumer</v>
      </c>
      <c r="Q78" s="3" t="s">
        <v>73</v>
      </c>
      <c r="R78" s="7" t="str">
        <f>PROPER(TRIM(SUBSTITUTE(Q78,"  "," ")))</f>
        <v>West</v>
      </c>
      <c r="S78" s="3" t="s">
        <v>235</v>
      </c>
      <c r="T78" s="6" t="str">
        <f>PROPER(TRIM(SUBSTITUTE(S78,"  "," ")))</f>
        <v>Gujarat</v>
      </c>
      <c r="U78" s="3" t="s">
        <v>236</v>
      </c>
      <c r="V78" s="6" t="str">
        <f>PROPER(TRIM(SUBSTITUTE(U78,"  "," ")))</f>
        <v>Ahmedabad</v>
      </c>
      <c r="W78" s="3" t="s">
        <v>45</v>
      </c>
      <c r="X78" s="6" t="str">
        <f>PROPER(TRIM(SUBSTITUTE(W78,"  "," ")))</f>
        <v>Furniture</v>
      </c>
      <c r="Y78" s="3" t="s">
        <v>65</v>
      </c>
      <c r="Z78" s="6" t="str">
        <f>PROPER(TRIM(SUBSTITUTE(Y78,"  "," ")))</f>
        <v>Furnishings</v>
      </c>
      <c r="AA78" s="3" t="s">
        <v>2610</v>
      </c>
      <c r="AB78" s="3" t="s">
        <v>67</v>
      </c>
      <c r="AC78" s="6" t="str">
        <f>PROPER(TRIM(SUBSTITUTE(AB78,"  "," ")))</f>
        <v>Standard Class</v>
      </c>
      <c r="AD78" s="3">
        <v>7</v>
      </c>
      <c r="AE78" s="3">
        <v>3852.07</v>
      </c>
      <c r="AF78" s="3">
        <v>0.2</v>
      </c>
      <c r="AG78" s="17">
        <v>0.2</v>
      </c>
      <c r="AH78" s="6" t="str">
        <f t="shared" si="11"/>
        <v>Valid</v>
      </c>
      <c r="AI78" s="3">
        <v>21571.59</v>
      </c>
      <c r="AJ78" s="3">
        <v>17118.07</v>
      </c>
      <c r="AK78" s="3">
        <v>4453.5200000000004</v>
      </c>
      <c r="AL78" s="3" t="s">
        <v>34</v>
      </c>
      <c r="AM78" s="6" t="str">
        <f>PROPER(TRIM(SUBSTITUTE(AL78,".","")))</f>
        <v>Paid</v>
      </c>
      <c r="AN78" s="3" t="s">
        <v>35</v>
      </c>
      <c r="AO78" s="8" t="str">
        <f>PROPER(TRIM(SUBSTITUTE(AN78,".","")))</f>
        <v>Completed</v>
      </c>
      <c r="AP78" t="str">
        <f>IF(COUNTIF($A$2:$A$933, A78) &gt; 1, "Duplicate ID", "Unique")</f>
        <v>Unique</v>
      </c>
      <c r="AR78">
        <f t="shared" si="12"/>
        <v>21571.592000000004</v>
      </c>
      <c r="AS78">
        <f t="shared" si="13"/>
        <v>4453.5220000000045</v>
      </c>
      <c r="AT78" s="15">
        <f t="shared" si="14"/>
        <v>0.20645309813017063</v>
      </c>
      <c r="AU78" t="str">
        <f t="shared" si="15"/>
        <v>Invalid</v>
      </c>
      <c r="AV78" s="8" t="str">
        <f t="shared" si="16"/>
        <v>Active</v>
      </c>
    </row>
    <row r="79" spans="1:48">
      <c r="A79" s="3" t="s">
        <v>2657</v>
      </c>
      <c r="B79" s="3" t="s">
        <v>2089</v>
      </c>
      <c r="C79" s="9">
        <f>IFERROR(DATEVALUE(TEXT(B79,"DD/MM/YYYY")), IF(ISNUMBER(B79), B79, ""))</f>
        <v>45349</v>
      </c>
      <c r="D79" s="9" t="str">
        <f>IF(B79="","Missing", IF(AND(ISNUMBER(B79)=FALSE, C79=""),"Invalid - Could Not Parse", IF(AND(ISNUMBER(B79)=FALSE, C79&lt;&gt;""),"Text - Converted to Date", IF(ISNUMBER(B79),"Valid","Check"))))</f>
        <v>Text - Converted to Date</v>
      </c>
      <c r="E79" s="5">
        <f t="shared" si="9"/>
        <v>2</v>
      </c>
      <c r="F79" s="5">
        <f t="shared" si="10"/>
        <v>2024</v>
      </c>
      <c r="G79" s="3" t="s">
        <v>2658</v>
      </c>
      <c r="H79" s="9">
        <f>IFERROR(DATEVALUE(TEXT(G79,"DD/MM/YYYY")), IF(ISNUMBER(G79), G79, ""))</f>
        <v>45349</v>
      </c>
      <c r="I79" s="9" t="str">
        <f>IF(G79="","Missing", IF(AND(ISNUMBER(G79)=FALSE, H79=""),"Invalid - Could Not Parse", IF(AND(ISNUMBER(G79)=FALSE, H79&lt;&gt;""),"Text - Converted to Date", IF(ISNUMBER(G79),"Valid","Check"))))</f>
        <v>Text - Converted to Date</v>
      </c>
      <c r="J79" s="9" t="str">
        <f>IF(OR(C79="", H79=""), "Cannot Check - Date Missing", IF(H79&lt;C79, "Invalid - Ship Before Order", "Valid"))</f>
        <v>Valid</v>
      </c>
      <c r="K79" s="5">
        <f>IF(OR(C79="", H79=""), "", IF(H79&lt;C79, "", H79-C79))</f>
        <v>0</v>
      </c>
      <c r="L79" s="3" t="s">
        <v>2659</v>
      </c>
      <c r="M79" s="3" t="s">
        <v>168</v>
      </c>
      <c r="N79" s="4" t="str">
        <f>TRIM(SUBSTITUTE(M79,"_"," "))</f>
        <v>Sneha Kapoor</v>
      </c>
      <c r="O79" s="3" t="s">
        <v>26</v>
      </c>
      <c r="P79" s="6" t="str">
        <f>PROPER(TRIM(SUBSTITUTE(O79,".","")))</f>
        <v>Consumer</v>
      </c>
      <c r="Q79" s="3" t="s">
        <v>42</v>
      </c>
      <c r="R79" s="7" t="str">
        <f>PROPER(TRIM(SUBSTITUTE(Q79,"  "," ")))</f>
        <v>East</v>
      </c>
      <c r="S79" s="3" t="s">
        <v>311</v>
      </c>
      <c r="T79" s="6" t="str">
        <f>PROPER(TRIM(SUBSTITUTE(S79,"  "," ")))</f>
        <v>Jharkhand</v>
      </c>
      <c r="U79" s="3" t="s">
        <v>312</v>
      </c>
      <c r="V79" s="6" t="str">
        <f>PROPER(TRIM(SUBSTITUTE(U79,"  "," ")))</f>
        <v>Ranchi</v>
      </c>
      <c r="W79" s="3" t="s">
        <v>45</v>
      </c>
      <c r="X79" s="6" t="str">
        <f>PROPER(TRIM(SUBSTITUTE(W79,"  "," ")))</f>
        <v>Furniture</v>
      </c>
      <c r="Y79" s="3" t="s">
        <v>76</v>
      </c>
      <c r="Z79" s="6" t="str">
        <f>PROPER(TRIM(SUBSTITUTE(Y79,"  "," ")))</f>
        <v>Chairs</v>
      </c>
      <c r="AA79" s="3" t="s">
        <v>2660</v>
      </c>
      <c r="AB79" s="3" t="s">
        <v>33</v>
      </c>
      <c r="AC79" s="6" t="str">
        <f>PROPER(TRIM(SUBSTITUTE(AB79,"  "," ")))</f>
        <v>Second Class</v>
      </c>
      <c r="AD79" s="3">
        <v>3</v>
      </c>
      <c r="AE79" s="3">
        <v>3148.09</v>
      </c>
      <c r="AF79" s="3">
        <v>0.15</v>
      </c>
      <c r="AG79" s="17">
        <v>0.15</v>
      </c>
      <c r="AH79" s="6" t="str">
        <f t="shared" si="11"/>
        <v>Valid</v>
      </c>
      <c r="AI79" s="3">
        <v>8027.63</v>
      </c>
      <c r="AJ79" s="3">
        <v>5496.09</v>
      </c>
      <c r="AK79" s="3">
        <v>2531.54</v>
      </c>
      <c r="AL79" s="3" t="s">
        <v>34</v>
      </c>
      <c r="AM79" s="6" t="str">
        <f>PROPER(TRIM(SUBSTITUTE(AL79,".","")))</f>
        <v>Paid</v>
      </c>
      <c r="AN79" s="3" t="s">
        <v>35</v>
      </c>
      <c r="AO79" s="8" t="str">
        <f>PROPER(TRIM(SUBSTITUTE(AN79,".","")))</f>
        <v>Completed</v>
      </c>
      <c r="AP79" t="str">
        <f>IF(COUNTIF($A$2:$A$933, A79) &gt; 1, "Duplicate ID", "Unique")</f>
        <v>Unique</v>
      </c>
      <c r="AR79">
        <f t="shared" si="12"/>
        <v>8027.6295</v>
      </c>
      <c r="AS79">
        <f t="shared" si="13"/>
        <v>2531.5394999999999</v>
      </c>
      <c r="AT79" s="15">
        <f t="shared" si="14"/>
        <v>0.31535330572991688</v>
      </c>
      <c r="AU79" t="str">
        <f t="shared" si="15"/>
        <v>Clean</v>
      </c>
      <c r="AV79" s="8" t="str">
        <f t="shared" si="16"/>
        <v>Active</v>
      </c>
    </row>
    <row r="80" spans="1:48">
      <c r="A80" s="3" t="s">
        <v>1473</v>
      </c>
      <c r="B80" s="3" t="s">
        <v>1474</v>
      </c>
      <c r="C80" s="9">
        <f>IFERROR(DATEVALUE(TEXT(B80,"DD/MM/YYYY")), IF(ISNUMBER(B80), B80, ""))</f>
        <v>45350</v>
      </c>
      <c r="D80" s="9" t="str">
        <f>IF(B80="","Missing", IF(AND(ISNUMBER(B80)=FALSE, C80=""),"Invalid - Could Not Parse", IF(AND(ISNUMBER(B80)=FALSE, C80&lt;&gt;""),"Text - Converted to Date", IF(ISNUMBER(B80),"Valid","Check"))))</f>
        <v>Text - Converted to Date</v>
      </c>
      <c r="E80" s="5">
        <f t="shared" si="9"/>
        <v>2</v>
      </c>
      <c r="F80" s="5">
        <f t="shared" si="10"/>
        <v>2024</v>
      </c>
      <c r="G80" s="3" t="s">
        <v>1475</v>
      </c>
      <c r="H80" s="9">
        <f>IFERROR(DATEVALUE(TEXT(G80,"DD/MM/YYYY")), IF(ISNUMBER(G80), G80, ""))</f>
        <v>45325</v>
      </c>
      <c r="I80" s="9" t="str">
        <f>IF(G80="","Missing", IF(AND(ISNUMBER(G80)=FALSE, H80=""),"Invalid - Could Not Parse", IF(AND(ISNUMBER(G80)=FALSE, H80&lt;&gt;""),"Text - Converted to Date", IF(ISNUMBER(G80),"Valid","Check"))))</f>
        <v>Text - Converted to Date</v>
      </c>
      <c r="J80" s="9" t="str">
        <f>IF(OR(C80="", H80=""), "Cannot Check - Date Missing", IF(H80&lt;C80, "Invalid - Ship Before Order", "Valid"))</f>
        <v>Invalid - Ship Before Order</v>
      </c>
      <c r="K80" s="5" t="str">
        <f>IF(OR(C80="", H80=""), "", IF(H80&lt;C80, "", H80-C80))</f>
        <v/>
      </c>
      <c r="L80" s="3" t="s">
        <v>1476</v>
      </c>
      <c r="M80" s="3" t="s">
        <v>142</v>
      </c>
      <c r="N80" s="4" t="str">
        <f>TRIM(SUBSTITUTE(M80,"_"," "))</f>
        <v>Priya Menon</v>
      </c>
      <c r="O80" s="3" t="s">
        <v>41</v>
      </c>
      <c r="P80" s="6" t="str">
        <f>PROPER(TRIM(SUBSTITUTE(O80,".","")))</f>
        <v>Small Business</v>
      </c>
      <c r="Q80" s="3" t="s">
        <v>27</v>
      </c>
      <c r="R80" s="7" t="str">
        <f>PROPER(TRIM(SUBSTITUTE(Q80,"  "," ")))</f>
        <v>North</v>
      </c>
      <c r="S80" s="3" t="s">
        <v>506</v>
      </c>
      <c r="T80" s="6" t="str">
        <f>PROPER(TRIM(SUBSTITUTE(S80,"  "," ")))</f>
        <v>Delhi</v>
      </c>
      <c r="U80" s="3" t="s">
        <v>507</v>
      </c>
      <c r="V80" s="6" t="str">
        <f>PROPER(TRIM(SUBSTITUTE(U80,"  "," ")))</f>
        <v>New Delhi</v>
      </c>
      <c r="W80" s="3" t="s">
        <v>45</v>
      </c>
      <c r="X80" s="6" t="str">
        <f>PROPER(TRIM(SUBSTITUTE(W80,"  "," ")))</f>
        <v>Furniture</v>
      </c>
      <c r="Y80" s="3" t="s">
        <v>65</v>
      </c>
      <c r="Z80" s="6" t="str">
        <f>PROPER(TRIM(SUBSTITUTE(Y80,"  "," ")))</f>
        <v>Furnishings</v>
      </c>
      <c r="AA80" s="3" t="s">
        <v>1477</v>
      </c>
      <c r="AB80" s="3" t="s">
        <v>56</v>
      </c>
      <c r="AC80" s="6" t="str">
        <f>PROPER(TRIM(SUBSTITUTE(AB80,"  "," ")))</f>
        <v>First Class</v>
      </c>
      <c r="AD80" s="3">
        <v>7</v>
      </c>
      <c r="AE80" s="3">
        <v>701.8</v>
      </c>
      <c r="AF80" s="3">
        <v>0.1</v>
      </c>
      <c r="AG80" s="17">
        <v>0.1</v>
      </c>
      <c r="AH80" s="6" t="str">
        <f t="shared" si="11"/>
        <v>Valid</v>
      </c>
      <c r="AI80" s="3">
        <v>4421.34</v>
      </c>
      <c r="AJ80" s="3">
        <v>2489.98</v>
      </c>
      <c r="AK80" s="3">
        <v>1931.36</v>
      </c>
      <c r="AL80" s="3" t="s">
        <v>137</v>
      </c>
      <c r="AM80" s="6" t="str">
        <f>PROPER(TRIM(SUBSTITUTE(AL80,".","")))</f>
        <v>Pending</v>
      </c>
      <c r="AN80" s="3" t="s">
        <v>125</v>
      </c>
      <c r="AO80" s="8" t="str">
        <f>PROPER(TRIM(SUBSTITUTE(AN80,".","")))</f>
        <v>Returned</v>
      </c>
      <c r="AP80" t="str">
        <f>IF(COUNTIF($A$2:$A$933, A80) &gt; 1, "Duplicate ID", "Unique")</f>
        <v>Unique</v>
      </c>
      <c r="AR80">
        <f t="shared" si="12"/>
        <v>4421.3399999999992</v>
      </c>
      <c r="AS80">
        <f t="shared" si="13"/>
        <v>1931.3599999999992</v>
      </c>
      <c r="AT80" s="15">
        <f t="shared" si="14"/>
        <v>0.43682684435035524</v>
      </c>
      <c r="AU80" t="str">
        <f t="shared" si="15"/>
        <v>Invalid</v>
      </c>
      <c r="AV80" s="8" t="str">
        <f t="shared" si="16"/>
        <v>Active</v>
      </c>
    </row>
    <row r="81" spans="1:48">
      <c r="A81" s="3" t="s">
        <v>2792</v>
      </c>
      <c r="B81" s="3" t="s">
        <v>626</v>
      </c>
      <c r="C81" s="9">
        <f>IFERROR(DATEVALUE(TEXT(B81,"DD/MM/YYYY")), IF(ISNUMBER(B81), B81, ""))</f>
        <v>45350</v>
      </c>
      <c r="D81" s="9" t="str">
        <f>IF(B81="","Missing", IF(AND(ISNUMBER(B81)=FALSE, C81=""),"Invalid - Could Not Parse", IF(AND(ISNUMBER(B81)=FALSE, C81&lt;&gt;""),"Text - Converted to Date", IF(ISNUMBER(B81),"Valid","Check"))))</f>
        <v>Text - Converted to Date</v>
      </c>
      <c r="E81" s="5">
        <f t="shared" si="9"/>
        <v>2</v>
      </c>
      <c r="F81" s="5">
        <f t="shared" si="10"/>
        <v>2024</v>
      </c>
      <c r="G81" s="3" t="s">
        <v>2793</v>
      </c>
      <c r="H81" s="9">
        <f>IFERROR(DATEVALUE(MID(G81,4,2) &amp; "/" &amp; LEFT(G81,2) &amp; "/" &amp; RIGHT(G81,4)), IF(ISNUMBER(G81), G81, IFERROR(DATEVALUE(G81), "")))</f>
        <v>45350</v>
      </c>
      <c r="I81" s="9" t="str">
        <f>IF(G81="","Missing", IF(AND(ISNUMBER(G81)=FALSE, H81=""),"Invalid - Could Not Parse", IF(AND(ISNUMBER(G81)=FALSE, H81&lt;&gt;""),"Text - Converted to Date", IF(ISNUMBER(G81),"Valid","Check"))))</f>
        <v>Text - Converted to Date</v>
      </c>
      <c r="J81" s="9" t="str">
        <f>IF(OR(C81="", H81=""), "Cannot Check - Date Missing", IF(H81&lt;C81, "Invalid - Ship Before Order", "Valid"))</f>
        <v>Valid</v>
      </c>
      <c r="K81" s="5">
        <f>IF(OR(C81="", H81=""), "", IF(H81&lt;C81, "", H81-C81))</f>
        <v>0</v>
      </c>
      <c r="L81" s="3" t="s">
        <v>2794</v>
      </c>
      <c r="M81" s="3" t="s">
        <v>180</v>
      </c>
      <c r="N81" s="4" t="str">
        <f>TRIM(SUBSTITUTE(M81,"_"," "))</f>
        <v>Rohan Mehta</v>
      </c>
      <c r="O81" s="3" t="s">
        <v>41</v>
      </c>
      <c r="P81" s="6" t="str">
        <f>PROPER(TRIM(SUBSTITUTE(O81,".","")))</f>
        <v>Small Business</v>
      </c>
      <c r="Q81" s="3" t="s">
        <v>42</v>
      </c>
      <c r="R81" s="7" t="str">
        <f>PROPER(TRIM(SUBSTITUTE(Q81,"  "," ")))</f>
        <v>East</v>
      </c>
      <c r="S81" s="3" t="s">
        <v>121</v>
      </c>
      <c r="T81" s="6" t="str">
        <f>PROPER(TRIM(SUBSTITUTE(S81,"  "," ")))</f>
        <v>West Bengal</v>
      </c>
      <c r="U81" s="3" t="s">
        <v>122</v>
      </c>
      <c r="V81" s="6" t="str">
        <f>PROPER(TRIM(SUBSTITUTE(U81,"  "," ")))</f>
        <v>Kolkata</v>
      </c>
      <c r="W81" s="3" t="s">
        <v>30</v>
      </c>
      <c r="X81" s="6" t="str">
        <f>PROPER(TRIM(SUBSTITUTE(W81,"  "," ")))</f>
        <v>Office Supplies</v>
      </c>
      <c r="Y81" s="3" t="s">
        <v>156</v>
      </c>
      <c r="Z81" s="6" t="str">
        <f>PROPER(TRIM(SUBSTITUTE(Y81,"  "," ")))</f>
        <v>Storage</v>
      </c>
      <c r="AA81" s="3" t="s">
        <v>2795</v>
      </c>
      <c r="AB81" s="3" t="s">
        <v>56</v>
      </c>
      <c r="AC81" s="6" t="str">
        <f>PROPER(TRIM(SUBSTITUTE(AB81,"  "," ")))</f>
        <v>First Class</v>
      </c>
      <c r="AD81" s="3">
        <v>1</v>
      </c>
      <c r="AE81" s="3">
        <v>2626.84</v>
      </c>
      <c r="AF81" s="3">
        <v>0.2</v>
      </c>
      <c r="AG81" s="17">
        <v>0.2</v>
      </c>
      <c r="AH81" s="6" t="str">
        <f t="shared" si="11"/>
        <v>Valid</v>
      </c>
      <c r="AI81" s="3">
        <v>2101.4699999999998</v>
      </c>
      <c r="AJ81" s="3">
        <v>1217.83</v>
      </c>
      <c r="AK81" s="3">
        <v>883.64</v>
      </c>
      <c r="AL81" s="3" t="s">
        <v>200</v>
      </c>
      <c r="AM81" s="6" t="str">
        <f>PROPER(TRIM(SUBSTITUTE(AL81,".","")))</f>
        <v>Failed</v>
      </c>
      <c r="AN81" s="3" t="s">
        <v>125</v>
      </c>
      <c r="AO81" s="8" t="str">
        <f>PROPER(TRIM(SUBSTITUTE(AN81,".","")))</f>
        <v>Returned</v>
      </c>
      <c r="AP81" t="str">
        <f>IF(COUNTIF($A$2:$A$933, A81) &gt; 1, "Duplicate ID", "Unique")</f>
        <v>Unique</v>
      </c>
      <c r="AR81">
        <f t="shared" si="12"/>
        <v>2101.4720000000002</v>
      </c>
      <c r="AS81">
        <f t="shared" si="13"/>
        <v>883.64200000000028</v>
      </c>
      <c r="AT81" s="15">
        <f t="shared" si="14"/>
        <v>0.42048716328364127</v>
      </c>
      <c r="AU81" t="str">
        <f t="shared" si="15"/>
        <v>Clean</v>
      </c>
      <c r="AV81" s="8" t="str">
        <f t="shared" si="16"/>
        <v>Active</v>
      </c>
    </row>
    <row r="82" spans="1:48">
      <c r="A82" s="3" t="s">
        <v>1148</v>
      </c>
      <c r="B82" s="3" t="s">
        <v>1149</v>
      </c>
      <c r="C82" s="9">
        <f>IFERROR(DATEVALUE(TEXT(B82,"DD/MM/YYYY")), IF(ISNUMBER(B82), B82, ""))</f>
        <v>45352</v>
      </c>
      <c r="D82" s="9" t="str">
        <f>IF(B82="","Missing", IF(AND(ISNUMBER(B82)=FALSE, C82=""),"Invalid - Could Not Parse", IF(AND(ISNUMBER(B82)=FALSE, C82&lt;&gt;""),"Text - Converted to Date", IF(ISNUMBER(B82),"Valid","Check"))))</f>
        <v>Text - Converted to Date</v>
      </c>
      <c r="E82" s="5">
        <f t="shared" si="9"/>
        <v>3</v>
      </c>
      <c r="F82" s="5">
        <f t="shared" si="10"/>
        <v>2024</v>
      </c>
      <c r="G82" s="3" t="s">
        <v>207</v>
      </c>
      <c r="H82" s="9">
        <f>IFERROR(DATEVALUE(TEXT(G82,"DD/MM/YYYY")), IF(ISNUMBER(G82), G82, ""))</f>
        <v>45355</v>
      </c>
      <c r="I82" s="9" t="str">
        <f>IF(G82="","Missing", IF(AND(ISNUMBER(G82)=FALSE, H82=""),"Invalid - Could Not Parse", IF(AND(ISNUMBER(G82)=FALSE, H82&lt;&gt;""),"Text - Converted to Date", IF(ISNUMBER(G82),"Valid","Check"))))</f>
        <v>Text - Converted to Date</v>
      </c>
      <c r="J82" s="9" t="str">
        <f>IF(OR(C82="", H82=""), "Cannot Check - Date Missing", IF(H82&lt;C82, "Invalid - Ship Before Order", "Valid"))</f>
        <v>Valid</v>
      </c>
      <c r="K82" s="5">
        <f>IF(OR(C82="", H82=""), "", IF(H82&lt;C82, "", H82-C82))</f>
        <v>3</v>
      </c>
      <c r="L82" s="3" t="s">
        <v>1150</v>
      </c>
      <c r="M82" s="3" t="s">
        <v>40</v>
      </c>
      <c r="N82" s="4" t="str">
        <f>TRIM(SUBSTITUTE(M82,"_"," "))</f>
        <v>Mira Das</v>
      </c>
      <c r="O82" s="3" t="s">
        <v>26</v>
      </c>
      <c r="P82" s="6" t="str">
        <f>PROPER(TRIM(SUBSTITUTE(O82,".","")))</f>
        <v>Consumer</v>
      </c>
      <c r="Q82" s="3" t="s">
        <v>73</v>
      </c>
      <c r="R82" s="7" t="str">
        <f>PROPER(TRIM(SUBSTITUTE(Q82,"  "," ")))</f>
        <v>West</v>
      </c>
      <c r="S82" s="3" t="s">
        <v>84</v>
      </c>
      <c r="T82" s="6" t="str">
        <f>PROPER(TRIM(SUBSTITUTE(S82,"  "," ")))</f>
        <v>Madhya Pradesh</v>
      </c>
      <c r="U82" s="3" t="s">
        <v>85</v>
      </c>
      <c r="V82" s="6" t="str">
        <f>PROPER(TRIM(SUBSTITUTE(U82,"  "," ")))</f>
        <v>Indore</v>
      </c>
      <c r="W82" s="3" t="s">
        <v>30</v>
      </c>
      <c r="X82" s="6" t="str">
        <f>PROPER(TRIM(SUBSTITUTE(W82,"  "," ")))</f>
        <v>Office Supplies</v>
      </c>
      <c r="Y82" s="3" t="s">
        <v>31</v>
      </c>
      <c r="Z82" s="6" t="str">
        <f>PROPER(TRIM(SUBSTITUTE(Y82,"  "," ")))</f>
        <v>Paper</v>
      </c>
      <c r="AA82" s="3" t="s">
        <v>1151</v>
      </c>
      <c r="AB82" s="3" t="s">
        <v>56</v>
      </c>
      <c r="AC82" s="6" t="str">
        <f>PROPER(TRIM(SUBSTITUTE(AB82,"  "," ")))</f>
        <v>First Class</v>
      </c>
      <c r="AD82" s="3">
        <v>8</v>
      </c>
      <c r="AE82" s="3">
        <v>3202.4</v>
      </c>
      <c r="AF82" s="3">
        <v>0.25</v>
      </c>
      <c r="AG82" s="17">
        <v>0.25</v>
      </c>
      <c r="AH82" s="6" t="str">
        <f t="shared" si="11"/>
        <v>Valid</v>
      </c>
      <c r="AI82" s="3">
        <v>19214.400000000001</v>
      </c>
      <c r="AJ82" s="3">
        <v>10916.01</v>
      </c>
      <c r="AK82" s="3">
        <v>8298.39</v>
      </c>
      <c r="AL82" s="3" t="s">
        <v>34</v>
      </c>
      <c r="AM82" s="6" t="str">
        <f>PROPER(TRIM(SUBSTITUTE(AL82,".","")))</f>
        <v>Paid</v>
      </c>
      <c r="AN82" s="3" t="s">
        <v>35</v>
      </c>
      <c r="AO82" s="8" t="str">
        <f>PROPER(TRIM(SUBSTITUTE(AN82,".","")))</f>
        <v>Completed</v>
      </c>
      <c r="AP82" t="str">
        <f>IF(COUNTIF($A$2:$A$933, A82) &gt; 1, "Duplicate ID", "Unique")</f>
        <v>Unique</v>
      </c>
      <c r="AR82">
        <f t="shared" si="12"/>
        <v>19214.400000000001</v>
      </c>
      <c r="AS82">
        <f t="shared" si="13"/>
        <v>8298.3900000000012</v>
      </c>
      <c r="AT82" s="15">
        <f t="shared" si="14"/>
        <v>0.43188389957531853</v>
      </c>
      <c r="AU82" t="str">
        <f t="shared" si="15"/>
        <v>Clean</v>
      </c>
      <c r="AV82" s="8" t="str">
        <f t="shared" si="16"/>
        <v>Active</v>
      </c>
    </row>
    <row r="83" spans="1:48">
      <c r="A83" s="3" t="s">
        <v>3683</v>
      </c>
      <c r="B83" s="3" t="s">
        <v>3684</v>
      </c>
      <c r="C83" s="9">
        <f>IFERROR(DATEVALUE(TEXT(B83,"DD/MM/YYYY")), IF(ISNUMBER(B83), B83, ""))</f>
        <v>45352</v>
      </c>
      <c r="D83" s="9" t="str">
        <f>IF(B83="","Missing", IF(AND(ISNUMBER(B83)=FALSE, C83=""),"Invalid - Could Not Parse", IF(AND(ISNUMBER(B83)=FALSE, C83&lt;&gt;""),"Text - Converted to Date", IF(ISNUMBER(B83),"Valid","Check"))))</f>
        <v>Text - Converted to Date</v>
      </c>
      <c r="E83" s="5">
        <f t="shared" si="9"/>
        <v>3</v>
      </c>
      <c r="F83" s="5">
        <f t="shared" si="10"/>
        <v>2024</v>
      </c>
      <c r="G83" s="3" t="s">
        <v>3685</v>
      </c>
      <c r="H83" s="9">
        <f>IFERROR(DATEVALUE(TEXT(G83,"DD/MM/YYYY")), IF(ISNUMBER(G83), G83, ""))</f>
        <v>45358</v>
      </c>
      <c r="I83" s="9" t="str">
        <f>IF(G83="","Missing", IF(AND(ISNUMBER(G83)=FALSE, H83=""),"Invalid - Could Not Parse", IF(AND(ISNUMBER(G83)=FALSE, H83&lt;&gt;""),"Text - Converted to Date", IF(ISNUMBER(G83),"Valid","Check"))))</f>
        <v>Text - Converted to Date</v>
      </c>
      <c r="J83" s="9" t="str">
        <f>IF(OR(C83="", H83=""), "Cannot Check - Date Missing", IF(H83&lt;C83, "Invalid - Ship Before Order", "Valid"))</f>
        <v>Valid</v>
      </c>
      <c r="K83" s="5">
        <f>IF(OR(C83="", H83=""), "", IF(H83&lt;C83, "", H83-C83))</f>
        <v>6</v>
      </c>
      <c r="L83" s="3" t="s">
        <v>3686</v>
      </c>
      <c r="M83" s="3" t="s">
        <v>83</v>
      </c>
      <c r="N83" s="4" t="str">
        <f>TRIM(SUBSTITUTE(M83,"_"," "))</f>
        <v>Vikram Iyer</v>
      </c>
      <c r="O83" s="3" t="s">
        <v>41</v>
      </c>
      <c r="P83" s="6" t="str">
        <f>PROPER(TRIM(SUBSTITUTE(O83,".","")))</f>
        <v>Small Business</v>
      </c>
      <c r="Q83" s="3" t="s">
        <v>73</v>
      </c>
      <c r="R83" s="7" t="str">
        <f>PROPER(TRIM(SUBSTITUTE(Q83,"  "," ")))</f>
        <v>West</v>
      </c>
      <c r="S83" s="3" t="s">
        <v>74</v>
      </c>
      <c r="T83" s="6" t="str">
        <f>PROPER(TRIM(SUBSTITUTE(S83,"  "," ")))</f>
        <v>Maharashtra</v>
      </c>
      <c r="U83" s="3" t="s">
        <v>75</v>
      </c>
      <c r="V83" s="6" t="str">
        <f>PROPER(TRIM(SUBSTITUTE(U83,"  "," ")))</f>
        <v>Mumbai</v>
      </c>
      <c r="W83" s="3" t="s">
        <v>30</v>
      </c>
      <c r="X83" s="6" t="str">
        <f>PROPER(TRIM(SUBSTITUTE(W83,"  "," ")))</f>
        <v>Office Supplies</v>
      </c>
      <c r="Y83" s="3" t="s">
        <v>156</v>
      </c>
      <c r="Z83" s="6" t="str">
        <f>PROPER(TRIM(SUBSTITUTE(Y83,"  "," ")))</f>
        <v>Storage</v>
      </c>
      <c r="AA83" s="3" t="s">
        <v>3687</v>
      </c>
      <c r="AB83" s="3" t="s">
        <v>33</v>
      </c>
      <c r="AC83" s="6" t="str">
        <f>PROPER(TRIM(SUBSTITUTE(AB83,"  "," ")))</f>
        <v>Second Class</v>
      </c>
      <c r="AD83" s="3">
        <v>6</v>
      </c>
      <c r="AE83" s="3">
        <v>4163.72</v>
      </c>
      <c r="AF83" s="3">
        <v>0.15</v>
      </c>
      <c r="AG83" s="17">
        <v>0.15</v>
      </c>
      <c r="AH83" s="6" t="str">
        <f t="shared" si="11"/>
        <v>Valid</v>
      </c>
      <c r="AI83" s="3">
        <v>21234.97</v>
      </c>
      <c r="AJ83" s="3">
        <v>16736.09</v>
      </c>
      <c r="AK83" s="3">
        <v>4498.88</v>
      </c>
      <c r="AL83" s="3" t="s">
        <v>34</v>
      </c>
      <c r="AM83" s="6" t="str">
        <f>PROPER(TRIM(SUBSTITUTE(AL83,".","")))</f>
        <v>Paid</v>
      </c>
      <c r="AN83" s="3" t="s">
        <v>35</v>
      </c>
      <c r="AO83" s="8" t="str">
        <f>PROPER(TRIM(SUBSTITUTE(AN83,".","")))</f>
        <v>Completed</v>
      </c>
      <c r="AP83" t="str">
        <f>IF(COUNTIF($A$2:$A$933, A83) &gt; 1, "Duplicate ID", "Unique")</f>
        <v>Unique</v>
      </c>
      <c r="AR83">
        <f t="shared" si="12"/>
        <v>21234.971999999998</v>
      </c>
      <c r="AS83">
        <f t="shared" si="13"/>
        <v>4498.8819999999978</v>
      </c>
      <c r="AT83" s="15">
        <f t="shared" si="14"/>
        <v>0.21186192286950029</v>
      </c>
      <c r="AU83" t="str">
        <f t="shared" si="15"/>
        <v>Clean</v>
      </c>
      <c r="AV83" s="8" t="str">
        <f t="shared" si="16"/>
        <v>Active</v>
      </c>
    </row>
    <row r="84" spans="1:48">
      <c r="A84" s="3" t="s">
        <v>2310</v>
      </c>
      <c r="B84" s="3" t="s">
        <v>2311</v>
      </c>
      <c r="C84" s="9">
        <f>IFERROR(DATEVALUE(TEXT(B84,"DD/MM/YYYY")), IF(ISNUMBER(B84), B84, ""))</f>
        <v>45353</v>
      </c>
      <c r="D84" s="9" t="str">
        <f>IF(B84="","Missing", IF(AND(ISNUMBER(B84)=FALSE, C84=""),"Invalid - Could Not Parse", IF(AND(ISNUMBER(B84)=FALSE, C84&lt;&gt;""),"Text - Converted to Date", IF(ISNUMBER(B84),"Valid","Check"))))</f>
        <v>Text - Converted to Date</v>
      </c>
      <c r="E84" s="5">
        <f t="shared" si="9"/>
        <v>3</v>
      </c>
      <c r="F84" s="5">
        <f t="shared" si="10"/>
        <v>2024</v>
      </c>
      <c r="G84" s="3" t="s">
        <v>1506</v>
      </c>
      <c r="H84" s="9">
        <f>IFERROR(DATEVALUE(TEXT(G84,"DD/MM/YYYY")), IF(ISNUMBER(G84), G84, ""))</f>
        <v>45476</v>
      </c>
      <c r="I84" s="9" t="str">
        <f>IF(G84="","Missing", IF(AND(ISNUMBER(G84)=FALSE, H84=""),"Invalid - Could Not Parse", IF(AND(ISNUMBER(G84)=FALSE, H84&lt;&gt;""),"Text - Converted to Date", IF(ISNUMBER(G84),"Valid","Check"))))</f>
        <v>Text - Converted to Date</v>
      </c>
      <c r="J84" s="9" t="str">
        <f>IF(OR(C84="", H84=""), "Cannot Check - Date Missing", IF(H84&lt;C84, "Invalid - Ship Before Order", "Valid"))</f>
        <v>Valid</v>
      </c>
      <c r="K84" s="5">
        <f>IF(OR(C84="", H84=""), "", IF(H84&lt;C84, "", H84-C84))</f>
        <v>123</v>
      </c>
      <c r="L84" s="3" t="s">
        <v>2312</v>
      </c>
      <c r="M84" s="3" t="s">
        <v>180</v>
      </c>
      <c r="N84" s="4" t="str">
        <f>TRIM(SUBSTITUTE(M84,"_"," "))</f>
        <v>Rohan Mehta</v>
      </c>
      <c r="O84" s="3" t="s">
        <v>108</v>
      </c>
      <c r="P84" s="6" t="str">
        <f>PROPER(TRIM(SUBSTITUTE(O84,".","")))</f>
        <v>Corporate</v>
      </c>
      <c r="Q84" s="3" t="s">
        <v>42</v>
      </c>
      <c r="R84" s="7" t="str">
        <f>PROPER(TRIM(SUBSTITUTE(Q84,"  "," ")))</f>
        <v>East</v>
      </c>
      <c r="S84" s="3" t="s">
        <v>43</v>
      </c>
      <c r="T84" s="6" t="str">
        <f>PROPER(TRIM(SUBSTITUTE(S84,"  "," ")))</f>
        <v>Odisha</v>
      </c>
      <c r="U84" s="3" t="s">
        <v>44</v>
      </c>
      <c r="V84" s="6" t="str">
        <f>PROPER(TRIM(SUBSTITUTE(U84,"  "," ")))</f>
        <v>Bhubaneswar</v>
      </c>
      <c r="W84" s="3" t="s">
        <v>30</v>
      </c>
      <c r="X84" s="6" t="str">
        <f>PROPER(TRIM(SUBSTITUTE(W84,"  "," ")))</f>
        <v>Office Supplies</v>
      </c>
      <c r="Y84" s="3" t="s">
        <v>156</v>
      </c>
      <c r="Z84" s="6" t="str">
        <f>PROPER(TRIM(SUBSTITUTE(Y84,"  "," ")))</f>
        <v>Storage</v>
      </c>
      <c r="AA84" s="3" t="s">
        <v>2313</v>
      </c>
      <c r="AB84" s="3" t="s">
        <v>67</v>
      </c>
      <c r="AC84" s="6" t="str">
        <f>PROPER(TRIM(SUBSTITUTE(AB84,"  "," ")))</f>
        <v>Standard Class</v>
      </c>
      <c r="AD84" s="3">
        <v>7</v>
      </c>
      <c r="AE84" s="3">
        <v>263.45999999999998</v>
      </c>
      <c r="AF84" s="3">
        <v>0</v>
      </c>
      <c r="AG84" s="17">
        <v>0</v>
      </c>
      <c r="AH84" s="6" t="str">
        <f t="shared" si="11"/>
        <v>Valid</v>
      </c>
      <c r="AI84" s="3">
        <v>1844.22</v>
      </c>
      <c r="AJ84" s="3">
        <v>1094.21</v>
      </c>
      <c r="AK84" s="3">
        <v>750.01</v>
      </c>
      <c r="AL84" s="3" t="s">
        <v>34</v>
      </c>
      <c r="AM84" s="6" t="str">
        <f>PROPER(TRIM(SUBSTITUTE(AL84,".","")))</f>
        <v>Paid</v>
      </c>
      <c r="AN84" s="3" t="s">
        <v>35</v>
      </c>
      <c r="AO84" s="8" t="str">
        <f>PROPER(TRIM(SUBSTITUTE(AN84,".","")))</f>
        <v>Completed</v>
      </c>
      <c r="AP84" t="str">
        <f>IF(COUNTIF($A$2:$A$933, A84) &gt; 1, "Duplicate ID", "Unique")</f>
        <v>Unique</v>
      </c>
      <c r="AR84">
        <f t="shared" si="12"/>
        <v>1844.2199999999998</v>
      </c>
      <c r="AS84">
        <f t="shared" si="13"/>
        <v>750.00999999999976</v>
      </c>
      <c r="AT84" s="15">
        <f t="shared" si="14"/>
        <v>0.40668141544934977</v>
      </c>
      <c r="AU84" t="str">
        <f t="shared" si="15"/>
        <v>Clean</v>
      </c>
      <c r="AV84" s="8" t="str">
        <f t="shared" si="16"/>
        <v>Active</v>
      </c>
    </row>
    <row r="85" spans="1:48">
      <c r="A85" s="3" t="s">
        <v>206</v>
      </c>
      <c r="B85" s="3" t="s">
        <v>207</v>
      </c>
      <c r="C85" s="9">
        <f>IFERROR(DATEVALUE(TEXT(B85,"DD/MM/YYYY")), IF(ISNUMBER(B85), B85, ""))</f>
        <v>45355</v>
      </c>
      <c r="D85" s="9" t="str">
        <f>IF(B85="","Missing", IF(AND(ISNUMBER(B85)=FALSE, C85=""),"Invalid - Could Not Parse", IF(AND(ISNUMBER(B85)=FALSE, C85&lt;&gt;""),"Text - Converted to Date", IF(ISNUMBER(B85),"Valid","Check"))))</f>
        <v>Text - Converted to Date</v>
      </c>
      <c r="E85" s="5">
        <f t="shared" si="9"/>
        <v>3</v>
      </c>
      <c r="F85" s="5">
        <f t="shared" si="10"/>
        <v>2024</v>
      </c>
      <c r="G85" s="3" t="s">
        <v>208</v>
      </c>
      <c r="H85" s="9">
        <f>IFERROR(DATEVALUE(TEXT(G85,"DD/MM/YYYY")), IF(ISNUMBER(G85), G85, ""))</f>
        <v>45294</v>
      </c>
      <c r="I85" s="9" t="str">
        <f>IF(G85="","Missing", IF(AND(ISNUMBER(G85)=FALSE, H85=""),"Invalid - Could Not Parse", IF(AND(ISNUMBER(G85)=FALSE, H85&lt;&gt;""),"Text - Converted to Date", IF(ISNUMBER(G85),"Valid","Check"))))</f>
        <v>Text - Converted to Date</v>
      </c>
      <c r="J85" s="9" t="str">
        <f>IF(OR(C85="", H85=""), "Cannot Check - Date Missing", IF(H85&lt;C85, "Invalid - Ship Before Order", "Valid"))</f>
        <v>Invalid - Ship Before Order</v>
      </c>
      <c r="K85" s="5" t="str">
        <f>IF(OR(C85="", H85=""), "", IF(H85&lt;C85, "", H85-C85))</f>
        <v/>
      </c>
      <c r="L85" s="3" t="s">
        <v>209</v>
      </c>
      <c r="M85" s="3" t="s">
        <v>210</v>
      </c>
      <c r="N85" s="4" t="str">
        <f>TRIM(SUBSTITUTE(M85,"_"," "))</f>
        <v>Diya Patel</v>
      </c>
      <c r="O85" s="3" t="s">
        <v>26</v>
      </c>
      <c r="P85" s="6" t="str">
        <f>PROPER(TRIM(SUBSTITUTE(O85,".","")))</f>
        <v>Consumer</v>
      </c>
      <c r="Q85" s="3" t="s">
        <v>27</v>
      </c>
      <c r="R85" s="7" t="str">
        <f>PROPER(TRIM(SUBSTITUTE(Q85,"  "," ")))</f>
        <v>North</v>
      </c>
      <c r="S85" s="3" t="s">
        <v>154</v>
      </c>
      <c r="T85" s="6" t="str">
        <f>PROPER(TRIM(SUBSTITUTE(S85,"  "," ")))</f>
        <v>Punjab</v>
      </c>
      <c r="U85" s="3" t="s">
        <v>155</v>
      </c>
      <c r="V85" s="6" t="str">
        <f>PROPER(TRIM(SUBSTITUTE(U85,"  "," ")))</f>
        <v>Ludhiana</v>
      </c>
      <c r="W85" s="3" t="s">
        <v>30</v>
      </c>
      <c r="X85" s="6" t="str">
        <f>PROPER(TRIM(SUBSTITUTE(W85,"  "," ")))</f>
        <v>Office Supplies</v>
      </c>
      <c r="Y85" s="3" t="s">
        <v>54</v>
      </c>
      <c r="Z85" s="6" t="str">
        <f>PROPER(TRIM(SUBSTITUTE(Y85,"  "," ")))</f>
        <v>Art</v>
      </c>
      <c r="AA85" s="3" t="s">
        <v>211</v>
      </c>
      <c r="AB85" s="3" t="s">
        <v>67</v>
      </c>
      <c r="AC85" s="6" t="str">
        <f>PROPER(TRIM(SUBSTITUTE(AB85,"  "," ")))</f>
        <v>Standard Class</v>
      </c>
      <c r="AD85" s="3">
        <v>4</v>
      </c>
      <c r="AE85" s="3">
        <v>4492.9399999999996</v>
      </c>
      <c r="AF85" s="3">
        <v>0.25</v>
      </c>
      <c r="AG85" s="17">
        <v>0.25</v>
      </c>
      <c r="AH85" s="6" t="str">
        <f t="shared" si="11"/>
        <v>Valid</v>
      </c>
      <c r="AI85" s="3">
        <v>13478.82</v>
      </c>
      <c r="AJ85" s="3">
        <v>10937.35</v>
      </c>
      <c r="AK85" s="3">
        <v>2541.4699999999998</v>
      </c>
      <c r="AL85" s="3" t="s">
        <v>137</v>
      </c>
      <c r="AM85" s="6" t="str">
        <f>PROPER(TRIM(SUBSTITUTE(AL85,".","")))</f>
        <v>Pending</v>
      </c>
      <c r="AN85" s="3" t="s">
        <v>78</v>
      </c>
      <c r="AO85" s="8" t="str">
        <f>PROPER(TRIM(SUBSTITUTE(AN85,".","")))</f>
        <v>Cancelled</v>
      </c>
      <c r="AP85" t="str">
        <f>IF(COUNTIF($A$2:$A$933, A85) &gt; 1, "Duplicate ID", "Unique")</f>
        <v>Unique</v>
      </c>
      <c r="AR85">
        <f t="shared" si="12"/>
        <v>13478.82</v>
      </c>
      <c r="AS85">
        <f t="shared" si="13"/>
        <v>2541.4699999999993</v>
      </c>
      <c r="AT85" s="15">
        <f t="shared" si="14"/>
        <v>0.18855285551702591</v>
      </c>
      <c r="AU85" t="str">
        <f t="shared" si="15"/>
        <v>Invalid</v>
      </c>
      <c r="AV85" s="8" t="str">
        <f t="shared" si="16"/>
        <v>Cancelled</v>
      </c>
    </row>
    <row r="86" spans="1:48">
      <c r="A86" s="3" t="s">
        <v>838</v>
      </c>
      <c r="B86" s="3" t="s">
        <v>839</v>
      </c>
      <c r="C86" s="9">
        <f>IFERROR(DATEVALUE(TEXT(B86,"DD/MM/YYYY")), IF(ISNUMBER(B86), B86, ""))</f>
        <v>45355</v>
      </c>
      <c r="D86" s="9" t="str">
        <f>IF(B86="","Missing", IF(AND(ISNUMBER(B86)=FALSE, C86=""),"Invalid - Could Not Parse", IF(AND(ISNUMBER(B86)=FALSE, C86&lt;&gt;""),"Text - Converted to Date", IF(ISNUMBER(B86),"Valid","Check"))))</f>
        <v>Text - Converted to Date</v>
      </c>
      <c r="E86" s="5">
        <f t="shared" si="9"/>
        <v>3</v>
      </c>
      <c r="F86" s="5">
        <f t="shared" si="10"/>
        <v>2024</v>
      </c>
      <c r="G86" s="3" t="s">
        <v>840</v>
      </c>
      <c r="H86" s="9">
        <f>IFERROR(DATEVALUE(TEXT(G86,"DD/MM/YYYY")), IF(ISNUMBER(G86), G86, ""))</f>
        <v>45363</v>
      </c>
      <c r="I86" s="9" t="str">
        <f>IF(G86="","Missing", IF(AND(ISNUMBER(G86)=FALSE, H86=""),"Invalid - Could Not Parse", IF(AND(ISNUMBER(G86)=FALSE, H86&lt;&gt;""),"Text - Converted to Date", IF(ISNUMBER(G86),"Valid","Check"))))</f>
        <v>Text - Converted to Date</v>
      </c>
      <c r="J86" s="9" t="str">
        <f>IF(OR(C86="", H86=""), "Cannot Check - Date Missing", IF(H86&lt;C86, "Invalid - Ship Before Order", "Valid"))</f>
        <v>Valid</v>
      </c>
      <c r="K86" s="5">
        <f>IF(OR(C86="", H86=""), "", IF(H86&lt;C86, "", H86-C86))</f>
        <v>8</v>
      </c>
      <c r="L86" s="3" t="s">
        <v>841</v>
      </c>
      <c r="M86" s="3" t="s">
        <v>61</v>
      </c>
      <c r="N86" s="4" t="str">
        <f>TRIM(SUBSTITUTE(M86,"_"," "))</f>
        <v>Arjun Bose</v>
      </c>
      <c r="O86" s="3" t="s">
        <v>26</v>
      </c>
      <c r="P86" s="6" t="str">
        <f>PROPER(TRIM(SUBSTITUTE(O86,".","")))</f>
        <v>Consumer</v>
      </c>
      <c r="Q86" s="3"/>
      <c r="R86" s="6" t="str">
        <f>IF(ISBLANK(Q86), "Unknown", Q86)</f>
        <v>Unknown</v>
      </c>
      <c r="S86" s="3" t="s">
        <v>235</v>
      </c>
      <c r="T86" s="6" t="str">
        <f>PROPER(TRIM(SUBSTITUTE(S86,"  "," ")))</f>
        <v>Gujarat</v>
      </c>
      <c r="U86" s="3" t="s">
        <v>236</v>
      </c>
      <c r="V86" s="6" t="str">
        <f>PROPER(TRIM(SUBSTITUTE(U86,"  "," ")))</f>
        <v>Ahmedabad</v>
      </c>
      <c r="W86" s="3" t="s">
        <v>45</v>
      </c>
      <c r="X86" s="6" t="str">
        <f>PROPER(TRIM(SUBSTITUTE(W86,"  "," ")))</f>
        <v>Furniture</v>
      </c>
      <c r="Y86" s="3" t="s">
        <v>204</v>
      </c>
      <c r="Z86" s="6" t="str">
        <f>PROPER(TRIM(SUBSTITUTE(Y86,"  "," ")))</f>
        <v>Bookcases</v>
      </c>
      <c r="AA86" s="3" t="s">
        <v>842</v>
      </c>
      <c r="AB86" s="3" t="s">
        <v>56</v>
      </c>
      <c r="AC86" s="6" t="str">
        <f>PROPER(TRIM(SUBSTITUTE(AB86,"  "," ")))</f>
        <v>First Class</v>
      </c>
      <c r="AD86" s="3">
        <v>1</v>
      </c>
      <c r="AE86" s="3">
        <v>1554.12</v>
      </c>
      <c r="AF86" s="3">
        <v>0.1</v>
      </c>
      <c r="AG86" s="17">
        <v>0.1</v>
      </c>
      <c r="AH86" s="6" t="str">
        <f t="shared" si="11"/>
        <v>Valid</v>
      </c>
      <c r="AI86" s="3">
        <v>1398.71</v>
      </c>
      <c r="AJ86" s="3">
        <v>1056.92</v>
      </c>
      <c r="AK86" s="3">
        <v>341.79</v>
      </c>
      <c r="AL86" s="3" t="s">
        <v>34</v>
      </c>
      <c r="AM86" s="6" t="str">
        <f>PROPER(TRIM(SUBSTITUTE(AL86,".","")))</f>
        <v>Paid</v>
      </c>
      <c r="AN86" s="3" t="s">
        <v>35</v>
      </c>
      <c r="AO86" s="8" t="str">
        <f>PROPER(TRIM(SUBSTITUTE(AN86,".","")))</f>
        <v>Completed</v>
      </c>
      <c r="AP86" t="str">
        <f>IF(COUNTIF($A$2:$A$933, A86) &gt; 1, "Duplicate ID", "Unique")</f>
        <v>Unique</v>
      </c>
      <c r="AR86">
        <f t="shared" si="12"/>
        <v>1398.7079999999999</v>
      </c>
      <c r="AS86">
        <f t="shared" si="13"/>
        <v>341.78799999999978</v>
      </c>
      <c r="AT86" s="15">
        <f t="shared" si="14"/>
        <v>0.24435979489643286</v>
      </c>
      <c r="AU86" t="str">
        <f t="shared" si="15"/>
        <v>Clean</v>
      </c>
      <c r="AV86" s="8" t="str">
        <f t="shared" si="16"/>
        <v>Active</v>
      </c>
    </row>
    <row r="87" spans="1:48">
      <c r="A87" s="3" t="s">
        <v>2834</v>
      </c>
      <c r="B87" s="3" t="s">
        <v>839</v>
      </c>
      <c r="C87" s="9">
        <f>IFERROR(DATEVALUE(TEXT(B87,"DD/MM/YYYY")), IF(ISNUMBER(B87), B87, ""))</f>
        <v>45355</v>
      </c>
      <c r="D87" s="9" t="str">
        <f>IF(B87="","Missing", IF(AND(ISNUMBER(B87)=FALSE, C87=""),"Invalid - Could Not Parse", IF(AND(ISNUMBER(B87)=FALSE, C87&lt;&gt;""),"Text - Converted to Date", IF(ISNUMBER(B87),"Valid","Check"))))</f>
        <v>Text - Converted to Date</v>
      </c>
      <c r="E87" s="5">
        <f t="shared" si="9"/>
        <v>3</v>
      </c>
      <c r="F87" s="5">
        <f t="shared" si="10"/>
        <v>2024</v>
      </c>
      <c r="G87" s="3" t="s">
        <v>897</v>
      </c>
      <c r="H87" s="9">
        <f>IFERROR(DATEVALUE(TEXT(G87,"DD/MM/YYYY")), IF(ISNUMBER(G87), G87, ""))</f>
        <v>45360</v>
      </c>
      <c r="I87" s="9" t="str">
        <f>IF(G87="","Missing", IF(AND(ISNUMBER(G87)=FALSE, H87=""),"Invalid - Could Not Parse", IF(AND(ISNUMBER(G87)=FALSE, H87&lt;&gt;""),"Text - Converted to Date", IF(ISNUMBER(G87),"Valid","Check"))))</f>
        <v>Text - Converted to Date</v>
      </c>
      <c r="J87" s="9" t="str">
        <f>IF(OR(C87="", H87=""), "Cannot Check - Date Missing", IF(H87&lt;C87, "Invalid - Ship Before Order", "Valid"))</f>
        <v>Valid</v>
      </c>
      <c r="K87" s="5">
        <f>IF(OR(C87="", H87=""), "", IF(H87&lt;C87, "", H87-C87))</f>
        <v>5</v>
      </c>
      <c r="L87" s="3" t="s">
        <v>2835</v>
      </c>
      <c r="M87" s="3" t="s">
        <v>40</v>
      </c>
      <c r="N87" s="4" t="str">
        <f>TRIM(SUBSTITUTE(M87,"_"," "))</f>
        <v>Mira Das</v>
      </c>
      <c r="O87" s="3" t="s">
        <v>26</v>
      </c>
      <c r="P87" s="6" t="str">
        <f>PROPER(TRIM(SUBSTITUTE(O87,".","")))</f>
        <v>Consumer</v>
      </c>
      <c r="Q87" s="3" t="s">
        <v>42</v>
      </c>
      <c r="R87" s="7" t="str">
        <f>PROPER(TRIM(SUBSTITUTE(Q87,"  "," ")))</f>
        <v>East</v>
      </c>
      <c r="S87" s="3" t="s">
        <v>121</v>
      </c>
      <c r="T87" s="6" t="str">
        <f>PROPER(TRIM(SUBSTITUTE(S87,"  "," ")))</f>
        <v>West Bengal</v>
      </c>
      <c r="U87" s="3" t="s">
        <v>122</v>
      </c>
      <c r="V87" s="6" t="str">
        <f>PROPER(TRIM(SUBSTITUTE(U87,"  "," ")))</f>
        <v>Kolkata</v>
      </c>
      <c r="W87" s="3" t="s">
        <v>86</v>
      </c>
      <c r="X87" s="6" t="str">
        <f>PROPER(TRIM(SUBSTITUTE(W87,"  "," ")))</f>
        <v>Technology</v>
      </c>
      <c r="Y87" s="3" t="s">
        <v>87</v>
      </c>
      <c r="Z87" s="6" t="str">
        <f>PROPER(TRIM(SUBSTITUTE(Y87,"  "," ")))</f>
        <v>Accessories</v>
      </c>
      <c r="AA87" s="3" t="s">
        <v>2836</v>
      </c>
      <c r="AB87" s="3" t="s">
        <v>48</v>
      </c>
      <c r="AC87" s="6" t="str">
        <f>PROPER(TRIM(SUBSTITUTE(AB87,"  "," ")))</f>
        <v>Same Day</v>
      </c>
      <c r="AD87" s="3">
        <v>8</v>
      </c>
      <c r="AE87" s="3">
        <v>4401.41</v>
      </c>
      <c r="AF87" s="3">
        <v>0.15</v>
      </c>
      <c r="AG87" s="17">
        <v>0.15</v>
      </c>
      <c r="AH87" s="6" t="str">
        <f t="shared" si="11"/>
        <v>Valid</v>
      </c>
      <c r="AI87" s="3">
        <v>29929.59</v>
      </c>
      <c r="AJ87" s="3">
        <v>22436.03</v>
      </c>
      <c r="AK87" s="3">
        <v>7493.56</v>
      </c>
      <c r="AL87" s="3" t="s">
        <v>34</v>
      </c>
      <c r="AM87" s="6" t="str">
        <f>PROPER(TRIM(SUBSTITUTE(AL87,".","")))</f>
        <v>Paid</v>
      </c>
      <c r="AN87" s="3" t="s">
        <v>35</v>
      </c>
      <c r="AO87" s="8" t="str">
        <f>PROPER(TRIM(SUBSTITUTE(AN87,".","")))</f>
        <v>Completed</v>
      </c>
      <c r="AP87" t="str">
        <f>IF(COUNTIF($A$2:$A$933, A87) &gt; 1, "Duplicate ID", "Unique")</f>
        <v>Unique</v>
      </c>
      <c r="AR87">
        <f t="shared" si="12"/>
        <v>29929.588</v>
      </c>
      <c r="AS87">
        <f t="shared" si="13"/>
        <v>7493.5580000000009</v>
      </c>
      <c r="AT87" s="15">
        <f t="shared" si="14"/>
        <v>0.25037290857461858</v>
      </c>
      <c r="AU87" t="str">
        <f t="shared" si="15"/>
        <v>Warning</v>
      </c>
      <c r="AV87" s="8" t="str">
        <f t="shared" si="16"/>
        <v>Active</v>
      </c>
    </row>
    <row r="88" spans="1:48">
      <c r="A88" s="3" t="s">
        <v>3722</v>
      </c>
      <c r="B88" s="3" t="s">
        <v>3723</v>
      </c>
      <c r="C88" s="9">
        <f>IFERROR(DATEVALUE(TEXT(B88,"DD/MM/YYYY")), IF(ISNUMBER(B88), B88, ""))</f>
        <v>45355</v>
      </c>
      <c r="D88" s="9" t="str">
        <f>IF(B88="","Missing", IF(AND(ISNUMBER(B88)=FALSE, C88=""),"Invalid - Could Not Parse", IF(AND(ISNUMBER(B88)=FALSE, C88&lt;&gt;""),"Text - Converted to Date", IF(ISNUMBER(B88),"Valid","Check"))))</f>
        <v>Text - Converted to Date</v>
      </c>
      <c r="E88" s="5">
        <f t="shared" si="9"/>
        <v>3</v>
      </c>
      <c r="F88" s="5">
        <f t="shared" si="10"/>
        <v>2024</v>
      </c>
      <c r="G88" s="3" t="s">
        <v>3724</v>
      </c>
      <c r="H88" s="9">
        <f>IFERROR(DATEVALUE(TEXT(G88,"DD/MM/YYYY")), IF(ISNUMBER(G88), G88, ""))</f>
        <v>45390</v>
      </c>
      <c r="I88" s="9" t="str">
        <f>IF(G88="","Missing", IF(AND(ISNUMBER(G88)=FALSE, H88=""),"Invalid - Could Not Parse", IF(AND(ISNUMBER(G88)=FALSE, H88&lt;&gt;""),"Text - Converted to Date", IF(ISNUMBER(G88),"Valid","Check"))))</f>
        <v>Text - Converted to Date</v>
      </c>
      <c r="J88" s="9" t="str">
        <f>IF(OR(C88="", H88=""), "Cannot Check - Date Missing", IF(H88&lt;C88, "Invalid - Ship Before Order", "Valid"))</f>
        <v>Valid</v>
      </c>
      <c r="K88" s="5">
        <f>IF(OR(C88="", H88=""), "", IF(H88&lt;C88, "", H88-C88))</f>
        <v>35</v>
      </c>
      <c r="L88" s="3" t="s">
        <v>2534</v>
      </c>
      <c r="M88" s="3" t="s">
        <v>366</v>
      </c>
      <c r="N88" s="4" t="str">
        <f>TRIM(SUBSTITUTE(M88,"_"," "))</f>
        <v>Kabir Singh</v>
      </c>
      <c r="O88" s="3" t="s">
        <v>115</v>
      </c>
      <c r="P88" s="6" t="str">
        <f>PROPER(TRIM(SUBSTITUTE(O88,".","")))</f>
        <v>Home Office</v>
      </c>
      <c r="Q88" s="3" t="s">
        <v>73</v>
      </c>
      <c r="R88" s="7" t="str">
        <f>PROPER(TRIM(SUBSTITUTE(Q88,"  "," ")))</f>
        <v>West</v>
      </c>
      <c r="S88" s="3" t="s">
        <v>235</v>
      </c>
      <c r="T88" s="6" t="str">
        <f>PROPER(TRIM(SUBSTITUTE(S88,"  "," ")))</f>
        <v>Gujarat</v>
      </c>
      <c r="U88" s="3" t="s">
        <v>236</v>
      </c>
      <c r="V88" s="6" t="str">
        <f>PROPER(TRIM(SUBSTITUTE(U88,"  "," ")))</f>
        <v>Ahmedabad</v>
      </c>
      <c r="W88" s="3" t="s">
        <v>86</v>
      </c>
      <c r="X88" s="6" t="str">
        <f>PROPER(TRIM(SUBSTITUTE(W88,"  "," ")))</f>
        <v>Technology</v>
      </c>
      <c r="Y88" s="3" t="s">
        <v>94</v>
      </c>
      <c r="Z88" s="6" t="str">
        <f>PROPER(TRIM(SUBSTITUTE(Y88,"  "," ")))</f>
        <v>Copiers</v>
      </c>
      <c r="AA88" s="3" t="s">
        <v>3725</v>
      </c>
      <c r="AB88" s="3" t="s">
        <v>56</v>
      </c>
      <c r="AC88" s="6" t="str">
        <f>PROPER(TRIM(SUBSTITUTE(AB88,"  "," ")))</f>
        <v>First Class</v>
      </c>
      <c r="AD88" s="3">
        <v>1</v>
      </c>
      <c r="AE88" s="3">
        <v>3151.85</v>
      </c>
      <c r="AF88" s="3">
        <v>0.25</v>
      </c>
      <c r="AG88" s="17">
        <v>0.25</v>
      </c>
      <c r="AH88" s="6" t="str">
        <f t="shared" si="11"/>
        <v>Valid</v>
      </c>
      <c r="AI88" s="3">
        <v>2363.89</v>
      </c>
      <c r="AJ88" s="3">
        <v>1471.51</v>
      </c>
      <c r="AK88" s="3">
        <v>892.38</v>
      </c>
      <c r="AL88" s="3" t="s">
        <v>34</v>
      </c>
      <c r="AM88" s="6" t="str">
        <f>PROPER(TRIM(SUBSTITUTE(AL88,".","")))</f>
        <v>Paid</v>
      </c>
      <c r="AN88" s="3" t="s">
        <v>35</v>
      </c>
      <c r="AO88" s="8" t="str">
        <f>PROPER(TRIM(SUBSTITUTE(AN88,".","")))</f>
        <v>Completed</v>
      </c>
      <c r="AP88" t="str">
        <f>IF(COUNTIF($A$2:$A$933, A88) &gt; 1, "Duplicate ID", "Unique")</f>
        <v>Unique</v>
      </c>
      <c r="AR88">
        <f t="shared" si="12"/>
        <v>2363.8874999999998</v>
      </c>
      <c r="AS88">
        <f t="shared" si="13"/>
        <v>892.37749999999983</v>
      </c>
      <c r="AT88" s="15">
        <f t="shared" si="14"/>
        <v>0.37750421710000998</v>
      </c>
      <c r="AU88" t="str">
        <f t="shared" si="15"/>
        <v>Clean</v>
      </c>
      <c r="AV88" s="8" t="str">
        <f t="shared" si="16"/>
        <v>Active</v>
      </c>
    </row>
    <row r="89" spans="1:48">
      <c r="A89" s="3" t="s">
        <v>1408</v>
      </c>
      <c r="B89" s="3" t="s">
        <v>1409</v>
      </c>
      <c r="C89" s="9">
        <f>IFERROR(DATEVALUE(MID(B89,4,2) &amp; "/" &amp; LEFT(B89,2) &amp; "/" &amp; RIGHT(B89,4)), IF(ISNUMBER(B89), B89, IFERROR(DATEVALUE(B89), "")))</f>
        <v>45522</v>
      </c>
      <c r="D89" s="9" t="str">
        <f>IF(B89="","Missing", IF(AND(ISNUMBER(B89)=FALSE, C89=""),"Invalid - Could Not Parse", IF(AND(ISNUMBER(B89)=FALSE, C89&lt;&gt;""),"Text - Converted to Date", IF(ISNUMBER(B89),"Valid","Check"))))</f>
        <v>Text - Converted to Date</v>
      </c>
      <c r="E89" s="5">
        <f t="shared" si="9"/>
        <v>8</v>
      </c>
      <c r="F89" s="5">
        <f t="shared" si="10"/>
        <v>2024</v>
      </c>
      <c r="G89" s="3" t="s">
        <v>1410</v>
      </c>
      <c r="H89" s="9">
        <f>IFERROR(DATEVALUE(TEXT(G89,"DD/MM/YYYY")), IF(ISNUMBER(G89), G89, ""))</f>
        <v>45528</v>
      </c>
      <c r="I89" s="9" t="str">
        <f>IF(G89="","Missing", IF(AND(ISNUMBER(G89)=FALSE, H89=""),"Invalid - Could Not Parse", IF(AND(ISNUMBER(G89)=FALSE, H89&lt;&gt;""),"Text - Converted to Date", IF(ISNUMBER(G89),"Valid","Check"))))</f>
        <v>Text - Converted to Date</v>
      </c>
      <c r="J89" s="9" t="str">
        <f>IF(OR(C89="", H89=""), "Cannot Check - Date Missing", IF(H89&lt;C89, "Invalid - Ship Before Order", "Valid"))</f>
        <v>Valid</v>
      </c>
      <c r="K89" s="5">
        <f>IF(OR(C89="", H89=""), "", IF(H89&lt;C89, "", H89-C89))</f>
        <v>6</v>
      </c>
      <c r="L89" s="3" t="s">
        <v>1411</v>
      </c>
      <c r="M89" s="3" t="s">
        <v>61</v>
      </c>
      <c r="N89" s="4" t="str">
        <f>TRIM(SUBSTITUTE(M89,"_"," "))</f>
        <v>Arjun Bose</v>
      </c>
      <c r="O89" s="3" t="s">
        <v>26</v>
      </c>
      <c r="P89" s="6" t="str">
        <f>PROPER(TRIM(SUBSTITUTE(O89,".","")))</f>
        <v>Consumer</v>
      </c>
      <c r="Q89" s="3" t="s">
        <v>62</v>
      </c>
      <c r="R89" s="7" t="str">
        <f>PROPER(TRIM(SUBSTITUTE(Q89,"  "," ")))</f>
        <v>South</v>
      </c>
      <c r="S89" s="3" t="s">
        <v>100</v>
      </c>
      <c r="T89" s="6" t="str">
        <f>PROPER(TRIM(SUBSTITUTE(S89,"  "," ")))</f>
        <v>Andhra Pradesh</v>
      </c>
      <c r="U89" s="3" t="s">
        <v>101</v>
      </c>
      <c r="V89" s="6" t="str">
        <f>PROPER(TRIM(SUBSTITUTE(U89,"  "," ")))</f>
        <v>Vijayawada</v>
      </c>
      <c r="W89" s="3" t="s">
        <v>45</v>
      </c>
      <c r="X89" s="6" t="str">
        <f>PROPER(TRIM(SUBSTITUTE(W89,"  "," ")))</f>
        <v>Furniture</v>
      </c>
      <c r="Y89" s="3" t="s">
        <v>76</v>
      </c>
      <c r="Z89" s="6" t="str">
        <f>PROPER(TRIM(SUBSTITUTE(Y89,"  "," ")))</f>
        <v>Chairs</v>
      </c>
      <c r="AA89" s="3" t="s">
        <v>1412</v>
      </c>
      <c r="AB89" s="3" t="s">
        <v>56</v>
      </c>
      <c r="AC89" s="6" t="str">
        <f>PROPER(TRIM(SUBSTITUTE(AB89,"  "," ")))</f>
        <v>First Class</v>
      </c>
      <c r="AD89" s="3">
        <v>7</v>
      </c>
      <c r="AE89" s="3">
        <v>557.21</v>
      </c>
      <c r="AF89" s="3">
        <v>0.1</v>
      </c>
      <c r="AG89" s="17">
        <v>0.1</v>
      </c>
      <c r="AH89" s="6" t="str">
        <f t="shared" si="11"/>
        <v>Valid</v>
      </c>
      <c r="AI89" s="3">
        <v>3510.42</v>
      </c>
      <c r="AJ89" s="3">
        <v>2191.5</v>
      </c>
      <c r="AK89" s="3">
        <v>1213.48</v>
      </c>
      <c r="AL89" s="3" t="s">
        <v>34</v>
      </c>
      <c r="AM89" s="6" t="str">
        <f>PROPER(TRIM(SUBSTITUTE(AL89,".","")))</f>
        <v>Paid</v>
      </c>
      <c r="AN89" s="3" t="s">
        <v>35</v>
      </c>
      <c r="AO89" s="8" t="str">
        <f>PROPER(TRIM(SUBSTITUTE(AN89,".","")))</f>
        <v>Completed</v>
      </c>
      <c r="AP89" t="str">
        <f>IF(COUNTIF($A$2:$A$933, A89) &gt; 1, "Duplicate ID", "Unique")</f>
        <v>Duplicate ID</v>
      </c>
      <c r="AQ89" t="s">
        <v>4106</v>
      </c>
      <c r="AR89">
        <f t="shared" si="12"/>
        <v>3510.4230000000002</v>
      </c>
      <c r="AS89">
        <f t="shared" si="13"/>
        <v>1318.9230000000002</v>
      </c>
      <c r="AT89" s="15">
        <f t="shared" si="14"/>
        <v>0.37571625983535323</v>
      </c>
      <c r="AU89" t="str">
        <f t="shared" si="15"/>
        <v>Invalid</v>
      </c>
      <c r="AV89" s="8" t="str">
        <f t="shared" si="16"/>
        <v>Active</v>
      </c>
    </row>
    <row r="90" spans="1:48">
      <c r="A90" s="3" t="s">
        <v>4009</v>
      </c>
      <c r="B90" s="3" t="s">
        <v>4010</v>
      </c>
      <c r="C90" s="9">
        <f>IFERROR(DATEVALUE(TEXT(B90,"DD/MM/YYYY")), IF(ISNUMBER(B90), B90, ""))</f>
        <v>45359</v>
      </c>
      <c r="D90" s="9" t="str">
        <f>IF(B90="","Missing", IF(AND(ISNUMBER(B90)=FALSE, C90=""),"Invalid - Could Not Parse", IF(AND(ISNUMBER(B90)=FALSE, C90&lt;&gt;""),"Text - Converted to Date", IF(ISNUMBER(B90),"Valid","Check"))))</f>
        <v>Text - Converted to Date</v>
      </c>
      <c r="E90" s="5">
        <f t="shared" si="9"/>
        <v>3</v>
      </c>
      <c r="F90" s="5">
        <f t="shared" si="10"/>
        <v>2024</v>
      </c>
      <c r="G90" s="3" t="s">
        <v>1123</v>
      </c>
      <c r="H90" s="9">
        <f>IFERROR(DATEVALUE(MID(G90,4,2) &amp; "/" &amp; LEFT(G90,2) &amp; "/" &amp; RIGHT(G90,4)), IF(ISNUMBER(G90), G90, IFERROR(DATEVALUE(G90), "")))</f>
        <v>45366</v>
      </c>
      <c r="I90" s="9" t="str">
        <f>IF(G90="","Missing", IF(AND(ISNUMBER(G90)=FALSE, H90=""),"Invalid - Could Not Parse", IF(AND(ISNUMBER(G90)=FALSE, H90&lt;&gt;""),"Text - Converted to Date", IF(ISNUMBER(G90),"Valid","Check"))))</f>
        <v>Text - Converted to Date</v>
      </c>
      <c r="J90" s="9" t="str">
        <f>IF(OR(C90="", H90=""), "Cannot Check - Date Missing", IF(H90&lt;C90, "Invalid - Ship Before Order", "Valid"))</f>
        <v>Valid</v>
      </c>
      <c r="K90" s="5">
        <f>IF(OR(C90="", H90=""), "", IF(H90&lt;C90, "", H90-C90))</f>
        <v>7</v>
      </c>
      <c r="L90" s="3" t="s">
        <v>4011</v>
      </c>
      <c r="M90" s="3" t="s">
        <v>162</v>
      </c>
      <c r="N90" s="4" t="str">
        <f>TRIM(SUBSTITUTE(M90,"_"," "))</f>
        <v>Aarav Sharma</v>
      </c>
      <c r="O90" s="3" t="s">
        <v>41</v>
      </c>
      <c r="P90" s="6" t="str">
        <f>PROPER(TRIM(SUBSTITUTE(O90,".","")))</f>
        <v>Small Business</v>
      </c>
      <c r="Q90" s="3"/>
      <c r="R90" s="6" t="str">
        <f>IF(ISBLANK(Q90), "Unknown", Q90)</f>
        <v>Unknown</v>
      </c>
      <c r="S90" s="3" t="s">
        <v>154</v>
      </c>
      <c r="T90" s="6" t="str">
        <f>PROPER(TRIM(SUBSTITUTE(S90,"  "," ")))</f>
        <v>Punjab</v>
      </c>
      <c r="U90" s="3" t="s">
        <v>155</v>
      </c>
      <c r="V90" s="6" t="str">
        <f>PROPER(TRIM(SUBSTITUTE(U90,"  "," ")))</f>
        <v>Ludhiana</v>
      </c>
      <c r="W90" s="3" t="s">
        <v>45</v>
      </c>
      <c r="X90" s="6" t="str">
        <f>PROPER(TRIM(SUBSTITUTE(W90,"  "," ")))</f>
        <v>Furniture</v>
      </c>
      <c r="Y90" s="3" t="s">
        <v>76</v>
      </c>
      <c r="Z90" s="6" t="str">
        <f>PROPER(TRIM(SUBSTITUTE(Y90,"  "," ")))</f>
        <v>Chairs</v>
      </c>
      <c r="AA90" s="3" t="s">
        <v>4012</v>
      </c>
      <c r="AB90" s="3" t="s">
        <v>56</v>
      </c>
      <c r="AC90" s="6" t="str">
        <f>PROPER(TRIM(SUBSTITUTE(AB90,"  "," ")))</f>
        <v>First Class</v>
      </c>
      <c r="AD90" s="3">
        <v>5</v>
      </c>
      <c r="AE90" s="3">
        <v>3234.77</v>
      </c>
      <c r="AF90" s="3">
        <v>0</v>
      </c>
      <c r="AG90" s="17">
        <v>0</v>
      </c>
      <c r="AH90" s="6" t="str">
        <f t="shared" si="11"/>
        <v>Valid</v>
      </c>
      <c r="AI90" s="3">
        <v>16173.85</v>
      </c>
      <c r="AJ90" s="3">
        <v>13636.34</v>
      </c>
      <c r="AK90" s="3">
        <v>2537.5100000000002</v>
      </c>
      <c r="AL90" s="3" t="s">
        <v>34</v>
      </c>
      <c r="AM90" s="6" t="str">
        <f>PROPER(TRIM(SUBSTITUTE(AL90,".","")))</f>
        <v>Paid</v>
      </c>
      <c r="AN90" s="3" t="s">
        <v>35</v>
      </c>
      <c r="AO90" s="8" t="str">
        <f>PROPER(TRIM(SUBSTITUTE(AN90,".","")))</f>
        <v>Completed</v>
      </c>
      <c r="AP90" t="str">
        <f>IF(COUNTIF($A$2:$A$933, A90) &gt; 1, "Duplicate ID", "Unique")</f>
        <v>Unique</v>
      </c>
      <c r="AR90">
        <f t="shared" si="12"/>
        <v>16173.85</v>
      </c>
      <c r="AS90">
        <f t="shared" si="13"/>
        <v>2537.5100000000002</v>
      </c>
      <c r="AT90" s="15">
        <f t="shared" si="14"/>
        <v>0.15688967067210344</v>
      </c>
      <c r="AU90" t="str">
        <f t="shared" si="15"/>
        <v>Clean</v>
      </c>
      <c r="AV90" s="8" t="str">
        <f t="shared" si="16"/>
        <v>Active</v>
      </c>
    </row>
    <row r="91" spans="1:48">
      <c r="A91" s="3" t="s">
        <v>896</v>
      </c>
      <c r="B91" s="3" t="s">
        <v>897</v>
      </c>
      <c r="C91" s="9">
        <f>IFERROR(DATEVALUE(TEXT(B91,"DD/MM/YYYY")), IF(ISNUMBER(B91), B91, ""))</f>
        <v>45360</v>
      </c>
      <c r="D91" s="9" t="str">
        <f>IF(B91="","Missing", IF(AND(ISNUMBER(B91)=FALSE, C91=""),"Invalid - Could Not Parse", IF(AND(ISNUMBER(B91)=FALSE, C91&lt;&gt;""),"Text - Converted to Date", IF(ISNUMBER(B91),"Valid","Check"))))</f>
        <v>Text - Converted to Date</v>
      </c>
      <c r="E91" s="5">
        <f t="shared" si="9"/>
        <v>3</v>
      </c>
      <c r="F91" s="5">
        <f t="shared" si="10"/>
        <v>2024</v>
      </c>
      <c r="G91" s="3" t="s">
        <v>898</v>
      </c>
      <c r="H91" s="9">
        <f>IFERROR(DATEVALUE(TEXT(G91,"DD/MM/YYYY")), IF(ISNUMBER(G91), G91, ""))</f>
        <v>45365</v>
      </c>
      <c r="I91" s="9" t="str">
        <f>IF(G91="","Missing", IF(AND(ISNUMBER(G91)=FALSE, H91=""),"Invalid - Could Not Parse", IF(AND(ISNUMBER(G91)=FALSE, H91&lt;&gt;""),"Text - Converted to Date", IF(ISNUMBER(G91),"Valid","Check"))))</f>
        <v>Text - Converted to Date</v>
      </c>
      <c r="J91" s="9" t="str">
        <f>IF(OR(C91="", H91=""), "Cannot Check - Date Missing", IF(H91&lt;C91, "Invalid - Ship Before Order", "Valid"))</f>
        <v>Valid</v>
      </c>
      <c r="K91" s="5">
        <f>IF(OR(C91="", H91=""), "", IF(H91&lt;C91, "", H91-C91))</f>
        <v>5</v>
      </c>
      <c r="L91" s="3" t="s">
        <v>899</v>
      </c>
      <c r="M91" s="3" t="s">
        <v>93</v>
      </c>
      <c r="N91" s="4" t="str">
        <f>TRIM(SUBSTITUTE(M91,"_"," "))</f>
        <v>Neha Gupta</v>
      </c>
      <c r="O91" s="3" t="s">
        <v>41</v>
      </c>
      <c r="P91" s="6" t="str">
        <f>PROPER(TRIM(SUBSTITUTE(O91,".","")))</f>
        <v>Small Business</v>
      </c>
      <c r="Q91" s="3" t="s">
        <v>73</v>
      </c>
      <c r="R91" s="7" t="str">
        <f>PROPER(TRIM(SUBSTITUTE(Q91,"  "," ")))</f>
        <v>West</v>
      </c>
      <c r="S91" s="3" t="s">
        <v>249</v>
      </c>
      <c r="T91" s="6" t="str">
        <f>PROPER(TRIM(SUBSTITUTE(S91,"  "," ")))</f>
        <v>Goa</v>
      </c>
      <c r="U91" s="3" t="s">
        <v>250</v>
      </c>
      <c r="V91" s="6" t="str">
        <f>PROPER(TRIM(SUBSTITUTE(U91,"  "," ")))</f>
        <v>Panaji</v>
      </c>
      <c r="W91" s="3" t="s">
        <v>45</v>
      </c>
      <c r="X91" s="6" t="str">
        <f>PROPER(TRIM(SUBSTITUTE(W91,"  "," ")))</f>
        <v>Furniture</v>
      </c>
      <c r="Y91" s="3" t="s">
        <v>65</v>
      </c>
      <c r="Z91" s="6" t="str">
        <f>PROPER(TRIM(SUBSTITUTE(Y91,"  "," ")))</f>
        <v>Furnishings</v>
      </c>
      <c r="AA91" s="3" t="s">
        <v>900</v>
      </c>
      <c r="AB91" s="3" t="s">
        <v>33</v>
      </c>
      <c r="AC91" s="6" t="str">
        <f>PROPER(TRIM(SUBSTITUTE(AB91,"  "," ")))</f>
        <v>Second Class</v>
      </c>
      <c r="AD91" s="3">
        <v>8</v>
      </c>
      <c r="AE91" s="3">
        <v>4472.84</v>
      </c>
      <c r="AF91" s="3">
        <v>0</v>
      </c>
      <c r="AG91" s="17">
        <v>0</v>
      </c>
      <c r="AH91" s="6" t="str">
        <f t="shared" si="11"/>
        <v>Valid</v>
      </c>
      <c r="AI91" s="3">
        <v>35997.620000000003</v>
      </c>
      <c r="AJ91" s="3">
        <v>26424.41</v>
      </c>
      <c r="AK91" s="3">
        <v>9358.31</v>
      </c>
      <c r="AL91" s="3" t="s">
        <v>137</v>
      </c>
      <c r="AM91" s="6" t="str">
        <f>PROPER(TRIM(SUBSTITUTE(AL91,".","")))</f>
        <v>Pending</v>
      </c>
      <c r="AN91" s="3" t="s">
        <v>125</v>
      </c>
      <c r="AO91" s="8" t="str">
        <f>PROPER(TRIM(SUBSTITUTE(AN91,".","")))</f>
        <v>Returned</v>
      </c>
      <c r="AP91" t="str">
        <f>IF(COUNTIF($A$2:$A$933, A91) &gt; 1, "Duplicate ID", "Unique")</f>
        <v>Unique</v>
      </c>
      <c r="AR91">
        <f t="shared" si="12"/>
        <v>35782.720000000001</v>
      </c>
      <c r="AS91">
        <f t="shared" si="13"/>
        <v>9358.3100000000013</v>
      </c>
      <c r="AT91" s="15">
        <f t="shared" si="14"/>
        <v>0.2615315437171909</v>
      </c>
      <c r="AU91" t="str">
        <f t="shared" si="15"/>
        <v>Warning</v>
      </c>
      <c r="AV91" s="8" t="str">
        <f t="shared" si="16"/>
        <v>Active</v>
      </c>
    </row>
    <row r="92" spans="1:48">
      <c r="A92" s="3" t="s">
        <v>1171</v>
      </c>
      <c r="B92" s="3" t="s">
        <v>1172</v>
      </c>
      <c r="C92" s="9">
        <f>IFERROR(DATEVALUE(TEXT(B92,"DD/MM/YYYY")), IF(ISNUMBER(B92), B92, ""))</f>
        <v>45360</v>
      </c>
      <c r="D92" s="9" t="str">
        <f>IF(B92="","Missing", IF(AND(ISNUMBER(B92)=FALSE, C92=""),"Invalid - Could Not Parse", IF(AND(ISNUMBER(B92)=FALSE, C92&lt;&gt;""),"Text - Converted to Date", IF(ISNUMBER(B92),"Valid","Check"))))</f>
        <v>Text - Converted to Date</v>
      </c>
      <c r="E92" s="5">
        <f t="shared" si="9"/>
        <v>3</v>
      </c>
      <c r="F92" s="5">
        <f t="shared" si="10"/>
        <v>2024</v>
      </c>
      <c r="G92" s="3" t="s">
        <v>1172</v>
      </c>
      <c r="H92" s="9">
        <f>IFERROR(DATEVALUE(TEXT(G92,"DD/MM/YYYY")), IF(ISNUMBER(G92), G92, ""))</f>
        <v>45360</v>
      </c>
      <c r="I92" s="9" t="str">
        <f>IF(G92="","Missing", IF(AND(ISNUMBER(G92)=FALSE, H92=""),"Invalid - Could Not Parse", IF(AND(ISNUMBER(G92)=FALSE, H92&lt;&gt;""),"Text - Converted to Date", IF(ISNUMBER(G92),"Valid","Check"))))</f>
        <v>Text - Converted to Date</v>
      </c>
      <c r="J92" s="9" t="str">
        <f>IF(OR(C92="", H92=""), "Cannot Check - Date Missing", IF(H92&lt;C92, "Invalid - Ship Before Order", "Valid"))</f>
        <v>Valid</v>
      </c>
      <c r="K92" s="5">
        <f>IF(OR(C92="", H92=""), "", IF(H92&lt;C92, "", H92-C92))</f>
        <v>0</v>
      </c>
      <c r="L92" s="3" t="s">
        <v>1173</v>
      </c>
      <c r="M92" s="3" t="s">
        <v>168</v>
      </c>
      <c r="N92" s="4" t="str">
        <f>TRIM(SUBSTITUTE(M92,"_"," "))</f>
        <v>Sneha Kapoor</v>
      </c>
      <c r="O92" s="3" t="s">
        <v>26</v>
      </c>
      <c r="P92" s="6" t="str">
        <f>PROPER(TRIM(SUBSTITUTE(O92,".","")))</f>
        <v>Consumer</v>
      </c>
      <c r="Q92" s="3" t="s">
        <v>62</v>
      </c>
      <c r="R92" s="7" t="str">
        <f>PROPER(TRIM(SUBSTITUTE(Q92,"  "," ")))</f>
        <v>South</v>
      </c>
      <c r="S92" s="3" t="s">
        <v>242</v>
      </c>
      <c r="T92" s="6" t="str">
        <f>PROPER(TRIM(SUBSTITUTE(S92,"  "," ")))</f>
        <v>Kerala</v>
      </c>
      <c r="U92" s="3" t="s">
        <v>243</v>
      </c>
      <c r="V92" s="6" t="str">
        <f>PROPER(TRIM(SUBSTITUTE(U92,"  "," ")))</f>
        <v>Kochi</v>
      </c>
      <c r="W92" s="3" t="s">
        <v>30</v>
      </c>
      <c r="X92" s="6" t="str">
        <f>PROPER(TRIM(SUBSTITUTE(W92,"  "," ")))</f>
        <v>Office Supplies</v>
      </c>
      <c r="Y92" s="3" t="s">
        <v>156</v>
      </c>
      <c r="Z92" s="6" t="str">
        <f>PROPER(TRIM(SUBSTITUTE(Y92,"  "," ")))</f>
        <v>Storage</v>
      </c>
      <c r="AA92" s="3" t="s">
        <v>1174</v>
      </c>
      <c r="AB92" s="3" t="s">
        <v>56</v>
      </c>
      <c r="AC92" s="6" t="str">
        <f>PROPER(TRIM(SUBSTITUTE(AB92,"  "," ")))</f>
        <v>First Class</v>
      </c>
      <c r="AD92" s="3">
        <v>4</v>
      </c>
      <c r="AE92" s="3">
        <v>2810.17</v>
      </c>
      <c r="AF92" s="3">
        <v>0.15</v>
      </c>
      <c r="AG92" s="17">
        <v>0.15</v>
      </c>
      <c r="AH92" s="6" t="str">
        <f t="shared" si="11"/>
        <v>Valid</v>
      </c>
      <c r="AI92" s="3">
        <v>9554.58</v>
      </c>
      <c r="AJ92" s="3">
        <v>6068.47</v>
      </c>
      <c r="AK92" s="3">
        <v>3486.11</v>
      </c>
      <c r="AL92" s="3" t="s">
        <v>124</v>
      </c>
      <c r="AM92" s="6" t="str">
        <f>PROPER(TRIM(SUBSTITUTE(AL92,".","")))</f>
        <v>Refunded</v>
      </c>
      <c r="AN92" s="3" t="s">
        <v>78</v>
      </c>
      <c r="AO92" s="8" t="str">
        <f>PROPER(TRIM(SUBSTITUTE(AN92,".","")))</f>
        <v>Cancelled</v>
      </c>
      <c r="AP92" t="str">
        <f>IF(COUNTIF($A$2:$A$933, A92) &gt; 1, "Duplicate ID", "Unique")</f>
        <v>Unique</v>
      </c>
      <c r="AR92">
        <f t="shared" si="12"/>
        <v>9554.5779999999995</v>
      </c>
      <c r="AS92">
        <f t="shared" si="13"/>
        <v>3486.1079999999993</v>
      </c>
      <c r="AT92" s="15">
        <f t="shared" si="14"/>
        <v>0.36486258210462036</v>
      </c>
      <c r="AU92" t="str">
        <f t="shared" si="15"/>
        <v>Clean</v>
      </c>
      <c r="AV92" s="8" t="str">
        <f t="shared" si="16"/>
        <v>Refund</v>
      </c>
    </row>
    <row r="93" spans="1:48">
      <c r="A93" s="3" t="s">
        <v>1737</v>
      </c>
      <c r="B93" s="3" t="s">
        <v>1507</v>
      </c>
      <c r="C93" s="9">
        <f>IFERROR(DATEVALUE(TEXT(B93,"DD/MM/YYYY")), IF(ISNUMBER(B93), B93, ""))</f>
        <v>45362</v>
      </c>
      <c r="D93" s="9" t="str">
        <f>IF(B93="","Missing", IF(AND(ISNUMBER(B93)=FALSE, C93=""),"Invalid - Could Not Parse", IF(AND(ISNUMBER(B93)=FALSE, C93&lt;&gt;""),"Text - Converted to Date", IF(ISNUMBER(B93),"Valid","Check"))))</f>
        <v>Text - Converted to Date</v>
      </c>
      <c r="E93" s="5">
        <f t="shared" si="9"/>
        <v>3</v>
      </c>
      <c r="F93" s="5">
        <f t="shared" si="10"/>
        <v>2024</v>
      </c>
      <c r="G93" s="3" t="s">
        <v>1507</v>
      </c>
      <c r="H93" s="9">
        <f>IFERROR(DATEVALUE(TEXT(G93,"DD/MM/YYYY")), IF(ISNUMBER(G93), G93, ""))</f>
        <v>45362</v>
      </c>
      <c r="I93" s="9" t="str">
        <f>IF(G93="","Missing", IF(AND(ISNUMBER(G93)=FALSE, H93=""),"Invalid - Could Not Parse", IF(AND(ISNUMBER(G93)=FALSE, H93&lt;&gt;""),"Text - Converted to Date", IF(ISNUMBER(G93),"Valid","Check"))))</f>
        <v>Text - Converted to Date</v>
      </c>
      <c r="J93" s="9" t="str">
        <f>IF(OR(C93="", H93=""), "Cannot Check - Date Missing", IF(H93&lt;C93, "Invalid - Ship Before Order", "Valid"))</f>
        <v>Valid</v>
      </c>
      <c r="K93" s="5">
        <f>IF(OR(C93="", H93=""), "", IF(H93&lt;C93, "", H93-C93))</f>
        <v>0</v>
      </c>
      <c r="L93" s="3" t="s">
        <v>1738</v>
      </c>
      <c r="M93" s="3" t="s">
        <v>142</v>
      </c>
      <c r="N93" s="4" t="str">
        <f>TRIM(SUBSTITUTE(M93,"_"," "))</f>
        <v>Priya Menon</v>
      </c>
      <c r="O93" s="3" t="s">
        <v>26</v>
      </c>
      <c r="P93" s="6" t="str">
        <f>PROPER(TRIM(SUBSTITUTE(O93,".","")))</f>
        <v>Consumer</v>
      </c>
      <c r="Q93" s="3" t="s">
        <v>27</v>
      </c>
      <c r="R93" s="7" t="str">
        <f>PROPER(TRIM(SUBSTITUTE(Q93,"  "," ")))</f>
        <v>North</v>
      </c>
      <c r="S93" s="3" t="s">
        <v>154</v>
      </c>
      <c r="T93" s="6" t="str">
        <f>PROPER(TRIM(SUBSTITUTE(S93,"  "," ")))</f>
        <v>Punjab</v>
      </c>
      <c r="U93" s="3" t="s">
        <v>155</v>
      </c>
      <c r="V93" s="6" t="str">
        <f>PROPER(TRIM(SUBSTITUTE(U93,"  "," ")))</f>
        <v>Ludhiana</v>
      </c>
      <c r="W93" s="3" t="s">
        <v>45</v>
      </c>
      <c r="X93" s="6" t="str">
        <f>PROPER(TRIM(SUBSTITUTE(W93,"  "," ")))</f>
        <v>Furniture</v>
      </c>
      <c r="Y93" s="3" t="s">
        <v>204</v>
      </c>
      <c r="Z93" s="6" t="str">
        <f>PROPER(TRIM(SUBSTITUTE(Y93,"  "," ")))</f>
        <v>Bookcases</v>
      </c>
      <c r="AA93" s="3" t="s">
        <v>1739</v>
      </c>
      <c r="AB93" s="3" t="s">
        <v>48</v>
      </c>
      <c r="AC93" s="6" t="str">
        <f>PROPER(TRIM(SUBSTITUTE(AB93,"  "," ")))</f>
        <v>Same Day</v>
      </c>
      <c r="AD93" s="3">
        <v>9</v>
      </c>
      <c r="AE93" s="3">
        <v>3456.38</v>
      </c>
      <c r="AF93" s="3">
        <v>0</v>
      </c>
      <c r="AG93" s="17">
        <v>0</v>
      </c>
      <c r="AH93" s="6" t="str">
        <f t="shared" si="11"/>
        <v>Valid</v>
      </c>
      <c r="AI93" s="3">
        <v>31107.42</v>
      </c>
      <c r="AJ93" s="3">
        <v>20146.66</v>
      </c>
      <c r="AK93" s="3">
        <v>10960.76</v>
      </c>
      <c r="AL93" s="3" t="s">
        <v>137</v>
      </c>
      <c r="AM93" s="6" t="str">
        <f>PROPER(TRIM(SUBSTITUTE(AL93,".","")))</f>
        <v>Pending</v>
      </c>
      <c r="AN93" s="3" t="s">
        <v>125</v>
      </c>
      <c r="AO93" s="8" t="str">
        <f>PROPER(TRIM(SUBSTITUTE(AN93,".","")))</f>
        <v>Returned</v>
      </c>
      <c r="AP93" t="str">
        <f>IF(COUNTIF($A$2:$A$933, A93) &gt; 1, "Duplicate ID", "Unique")</f>
        <v>Unique</v>
      </c>
      <c r="AR93">
        <f t="shared" si="12"/>
        <v>31107.420000000002</v>
      </c>
      <c r="AS93">
        <f t="shared" si="13"/>
        <v>10960.760000000002</v>
      </c>
      <c r="AT93" s="15">
        <f t="shared" si="14"/>
        <v>0.3523519468988428</v>
      </c>
      <c r="AU93" t="str">
        <f t="shared" si="15"/>
        <v>Clean</v>
      </c>
      <c r="AV93" s="8" t="str">
        <f t="shared" si="16"/>
        <v>Active</v>
      </c>
    </row>
    <row r="94" spans="1:48">
      <c r="A94" s="3" t="s">
        <v>1408</v>
      </c>
      <c r="B94" s="3" t="s">
        <v>1409</v>
      </c>
      <c r="C94" s="9">
        <f>IFERROR(DATEVALUE(MID(B94,4,2) &amp; "/" &amp; LEFT(B94,2) &amp; "/" &amp; RIGHT(B94,4)), IF(ISNUMBER(B94), B94, IFERROR(DATEVALUE(B94), "")))</f>
        <v>45522</v>
      </c>
      <c r="D94" s="9" t="str">
        <f>IF(B94="","Missing", IF(AND(ISNUMBER(B94)=FALSE, C94=""),"Invalid - Could Not Parse", IF(AND(ISNUMBER(B94)=FALSE, C94&lt;&gt;""),"Text - Converted to Date", IF(ISNUMBER(B94),"Valid","Check"))))</f>
        <v>Text - Converted to Date</v>
      </c>
      <c r="E94" s="5">
        <f t="shared" si="9"/>
        <v>8</v>
      </c>
      <c r="F94" s="5">
        <f t="shared" si="10"/>
        <v>2024</v>
      </c>
      <c r="G94" s="3" t="s">
        <v>1410</v>
      </c>
      <c r="H94" s="9">
        <f>IFERROR(DATEVALUE(TEXT(G94,"DD/MM/YYYY")), IF(ISNUMBER(G94), G94, ""))</f>
        <v>45528</v>
      </c>
      <c r="I94" s="9" t="str">
        <f>IF(G94="","Missing", IF(AND(ISNUMBER(G94)=FALSE, H94=""),"Invalid - Could Not Parse", IF(AND(ISNUMBER(G94)=FALSE, H94&lt;&gt;""),"Text - Converted to Date", IF(ISNUMBER(G94),"Valid","Check"))))</f>
        <v>Text - Converted to Date</v>
      </c>
      <c r="J94" s="9" t="str">
        <f>IF(OR(C94="", H94=""), "Cannot Check - Date Missing", IF(H94&lt;C94, "Invalid - Ship Before Order", "Valid"))</f>
        <v>Valid</v>
      </c>
      <c r="K94" s="5">
        <f>IF(OR(C94="", H94=""), "", IF(H94&lt;C94, "", H94-C94))</f>
        <v>6</v>
      </c>
      <c r="L94" s="3" t="s">
        <v>1411</v>
      </c>
      <c r="M94" s="3" t="s">
        <v>61</v>
      </c>
      <c r="N94" s="4" t="str">
        <f>TRIM(SUBSTITUTE(M94,"_"," "))</f>
        <v>Arjun Bose</v>
      </c>
      <c r="O94" s="3" t="s">
        <v>26</v>
      </c>
      <c r="P94" s="6" t="str">
        <f>PROPER(TRIM(SUBSTITUTE(O94,".","")))</f>
        <v>Consumer</v>
      </c>
      <c r="Q94" s="3" t="s">
        <v>62</v>
      </c>
      <c r="R94" s="7" t="str">
        <f>PROPER(TRIM(SUBSTITUTE(Q94,"  "," ")))</f>
        <v>South</v>
      </c>
      <c r="S94" s="3" t="s">
        <v>100</v>
      </c>
      <c r="T94" s="6" t="str">
        <f>PROPER(TRIM(SUBSTITUTE(S94,"  "," ")))</f>
        <v>Andhra Pradesh</v>
      </c>
      <c r="U94" s="3" t="s">
        <v>101</v>
      </c>
      <c r="V94" s="6" t="str">
        <f>PROPER(TRIM(SUBSTITUTE(U94,"  "," ")))</f>
        <v>Vijayawada</v>
      </c>
      <c r="W94" s="3" t="s">
        <v>45</v>
      </c>
      <c r="X94" s="6" t="str">
        <f>PROPER(TRIM(SUBSTITUTE(W94,"  "," ")))</f>
        <v>Furniture</v>
      </c>
      <c r="Y94" s="3" t="s">
        <v>76</v>
      </c>
      <c r="Z94" s="6" t="str">
        <f>PROPER(TRIM(SUBSTITUTE(Y94,"  "," ")))</f>
        <v>Chairs</v>
      </c>
      <c r="AA94" s="3" t="s">
        <v>1412</v>
      </c>
      <c r="AB94" s="3" t="s">
        <v>56</v>
      </c>
      <c r="AC94" s="6" t="str">
        <f>PROPER(TRIM(SUBSTITUTE(AB94,"  "," ")))</f>
        <v>First Class</v>
      </c>
      <c r="AD94" s="3">
        <v>7</v>
      </c>
      <c r="AE94" s="3">
        <v>557.21</v>
      </c>
      <c r="AF94" s="3">
        <v>0.1</v>
      </c>
      <c r="AG94" s="17">
        <v>0.1</v>
      </c>
      <c r="AH94" s="6" t="str">
        <f t="shared" si="11"/>
        <v>Valid</v>
      </c>
      <c r="AI94" s="3">
        <v>3797.79</v>
      </c>
      <c r="AJ94" s="3">
        <v>2191.5</v>
      </c>
      <c r="AK94" s="3">
        <v>1213.48</v>
      </c>
      <c r="AL94" s="3" t="s">
        <v>34</v>
      </c>
      <c r="AM94" s="6" t="str">
        <f>PROPER(TRIM(SUBSTITUTE(AL94,".","")))</f>
        <v>Paid</v>
      </c>
      <c r="AN94" s="3" t="s">
        <v>125</v>
      </c>
      <c r="AO94" s="8" t="str">
        <f>PROPER(TRIM(SUBSTITUTE(AN94,".","")))</f>
        <v>Returned</v>
      </c>
      <c r="AP94" t="str">
        <f>IF(COUNTIF($A$2:$A$933, A94) &gt; 1, "Duplicate ID", "Unique")</f>
        <v>Duplicate ID</v>
      </c>
      <c r="AQ94" t="s">
        <v>4106</v>
      </c>
      <c r="AR94">
        <f t="shared" si="12"/>
        <v>3510.4230000000002</v>
      </c>
      <c r="AS94">
        <f t="shared" si="13"/>
        <v>1318.9230000000002</v>
      </c>
      <c r="AT94" s="15">
        <f t="shared" si="14"/>
        <v>0.37571625983535323</v>
      </c>
      <c r="AU94" t="str">
        <f t="shared" si="15"/>
        <v>Invalid</v>
      </c>
      <c r="AV94" s="8" t="str">
        <f t="shared" si="16"/>
        <v>Active</v>
      </c>
    </row>
    <row r="95" spans="1:48">
      <c r="A95" s="3" t="s">
        <v>1427</v>
      </c>
      <c r="B95" s="3" t="s">
        <v>1058</v>
      </c>
      <c r="C95" s="9">
        <f>IFERROR(DATEVALUE(TEXT(B95,"DD/MM/YYYY")), IF(ISNUMBER(B95), B95, ""))</f>
        <v>45313</v>
      </c>
      <c r="D95" s="9" t="str">
        <f>IF(B95="","Missing", IF(AND(ISNUMBER(B95)=FALSE, C95=""),"Invalid - Could Not Parse", IF(AND(ISNUMBER(B95)=FALSE, C95&lt;&gt;""),"Text - Converted to Date", IF(ISNUMBER(B95),"Valid","Check"))))</f>
        <v>Text - Converted to Date</v>
      </c>
      <c r="E95" s="5">
        <f t="shared" si="9"/>
        <v>1</v>
      </c>
      <c r="F95" s="5">
        <f t="shared" si="10"/>
        <v>2024</v>
      </c>
      <c r="G95" s="3" t="s">
        <v>1428</v>
      </c>
      <c r="H95" s="9">
        <f>IFERROR(DATEVALUE(TEXT(G95,"DD/MM/YYYY")), IF(ISNUMBER(G95), G95, ""))</f>
        <v>45314</v>
      </c>
      <c r="I95" s="9" t="str">
        <f>IF(G95="","Missing", IF(AND(ISNUMBER(G95)=FALSE, H95=""),"Invalid - Could Not Parse", IF(AND(ISNUMBER(G95)=FALSE, H95&lt;&gt;""),"Text - Converted to Date", IF(ISNUMBER(G95),"Valid","Check"))))</f>
        <v>Text - Converted to Date</v>
      </c>
      <c r="J95" s="9" t="str">
        <f>IF(OR(C95="", H95=""), "Cannot Check - Date Missing", IF(H95&lt;C95, "Invalid - Ship Before Order", "Valid"))</f>
        <v>Valid</v>
      </c>
      <c r="K95" s="5">
        <f>IF(OR(C95="", H95=""), "", IF(H95&lt;C95, "", H95-C95))</f>
        <v>1</v>
      </c>
      <c r="L95" s="3" t="s">
        <v>1429</v>
      </c>
      <c r="M95" s="3" t="s">
        <v>162</v>
      </c>
      <c r="N95" s="4" t="str">
        <f>TRIM(SUBSTITUTE(M95,"_"," "))</f>
        <v>Aarav Sharma</v>
      </c>
      <c r="O95" s="3" t="s">
        <v>41</v>
      </c>
      <c r="P95" s="6" t="str">
        <f>PROPER(TRIM(SUBSTITUTE(O95,".","")))</f>
        <v>Small Business</v>
      </c>
      <c r="Q95" s="3"/>
      <c r="R95" s="6" t="str">
        <f>IF(ISBLANK(Q95), "Unknown", Q95)</f>
        <v>Unknown</v>
      </c>
      <c r="S95" s="3" t="s">
        <v>216</v>
      </c>
      <c r="T95" s="6" t="str">
        <f>PROPER(TRIM(SUBSTITUTE(S95,"  "," ")))</f>
        <v>Assam</v>
      </c>
      <c r="U95" s="3" t="s">
        <v>217</v>
      </c>
      <c r="V95" s="6" t="str">
        <f>PROPER(TRIM(SUBSTITUTE(U95,"  "," ")))</f>
        <v>Guwahati</v>
      </c>
      <c r="W95" s="3" t="s">
        <v>45</v>
      </c>
      <c r="X95" s="6" t="str">
        <f>PROPER(TRIM(SUBSTITUTE(W95,"  "," ")))</f>
        <v>Furniture</v>
      </c>
      <c r="Y95" s="3" t="s">
        <v>76</v>
      </c>
      <c r="Z95" s="6" t="str">
        <f>PROPER(TRIM(SUBSTITUTE(Y95,"  "," ")))</f>
        <v>Chairs</v>
      </c>
      <c r="AA95" s="3" t="s">
        <v>1430</v>
      </c>
      <c r="AB95" s="3" t="s">
        <v>33</v>
      </c>
      <c r="AC95" s="6" t="str">
        <f>PROPER(TRIM(SUBSTITUTE(AB95,"  "," ")))</f>
        <v>Second Class</v>
      </c>
      <c r="AD95" s="3">
        <v>6</v>
      </c>
      <c r="AE95" s="3">
        <v>3391.53</v>
      </c>
      <c r="AF95" s="3">
        <v>-0.14000000000000001</v>
      </c>
      <c r="AG95" s="17">
        <v>-0.14000000000000001</v>
      </c>
      <c r="AH95" s="6" t="str">
        <f t="shared" si="11"/>
        <v>Invalid - Negative</v>
      </c>
      <c r="AI95" s="3">
        <v>15261.89</v>
      </c>
      <c r="AJ95" s="3">
        <v>8413.5300000000007</v>
      </c>
      <c r="AK95" s="3">
        <v>6848.36</v>
      </c>
      <c r="AL95" s="3" t="s">
        <v>34</v>
      </c>
      <c r="AM95" s="6" t="str">
        <f>PROPER(TRIM(SUBSTITUTE(AL95,".","")))</f>
        <v>Paid</v>
      </c>
      <c r="AN95" s="3" t="s">
        <v>35</v>
      </c>
      <c r="AO95" s="8" t="str">
        <f>PROPER(TRIM(SUBSTITUTE(AN95,".","")))</f>
        <v>Completed</v>
      </c>
      <c r="AP95" t="str">
        <f>IF(COUNTIF($A$2:$A$933, A95) &gt; 1, "Duplicate ID", "Unique")</f>
        <v>Unique</v>
      </c>
      <c r="AR95">
        <f t="shared" si="12"/>
        <v>23198.065200000005</v>
      </c>
      <c r="AS95">
        <f t="shared" si="13"/>
        <v>14784.535200000004</v>
      </c>
      <c r="AT95" s="15">
        <f t="shared" si="14"/>
        <v>0.63731759836591895</v>
      </c>
      <c r="AU95" t="str">
        <f t="shared" si="15"/>
        <v>Invalid</v>
      </c>
      <c r="AV95" s="8" t="str">
        <f t="shared" si="16"/>
        <v>Active</v>
      </c>
    </row>
    <row r="96" spans="1:48">
      <c r="A96" s="3" t="s">
        <v>977</v>
      </c>
      <c r="B96" s="3" t="s">
        <v>978</v>
      </c>
      <c r="C96" s="9">
        <f>IFERROR(DATEVALUE(TEXT(B96,"DD/MM/YYYY")), IF(ISNUMBER(B96), B96, ""))</f>
        <v>45366</v>
      </c>
      <c r="D96" s="9" t="str">
        <f>IF(B96="","Missing", IF(AND(ISNUMBER(B96)=FALSE, C96=""),"Invalid - Could Not Parse", IF(AND(ISNUMBER(B96)=FALSE, C96&lt;&gt;""),"Text - Converted to Date", IF(ISNUMBER(B96),"Valid","Check"))))</f>
        <v>Text - Converted to Date</v>
      </c>
      <c r="E96" s="5">
        <f t="shared" si="9"/>
        <v>3</v>
      </c>
      <c r="F96" s="5">
        <f t="shared" si="10"/>
        <v>2024</v>
      </c>
      <c r="G96" s="3" t="s">
        <v>979</v>
      </c>
      <c r="H96" s="9">
        <f>IFERROR(DATEVALUE(MID(G96,4,2) &amp; "/" &amp; LEFT(G96,2) &amp; "/" &amp; RIGHT(G96,4)), IF(ISNUMBER(G96), G96, IFERROR(DATEVALUE(G96), "")))</f>
        <v>45370</v>
      </c>
      <c r="I96" s="9" t="str">
        <f>IF(G96="","Missing", IF(AND(ISNUMBER(G96)=FALSE, H96=""),"Invalid - Could Not Parse", IF(AND(ISNUMBER(G96)=FALSE, H96&lt;&gt;""),"Text - Converted to Date", IF(ISNUMBER(G96),"Valid","Check"))))</f>
        <v>Text - Converted to Date</v>
      </c>
      <c r="J96" s="9" t="str">
        <f>IF(OR(C96="", H96=""), "Cannot Check - Date Missing", IF(H96&lt;C96, "Invalid - Ship Before Order", "Valid"))</f>
        <v>Valid</v>
      </c>
      <c r="K96" s="5">
        <f>IF(OR(C96="", H96=""), "", IF(H96&lt;C96, "", H96-C96))</f>
        <v>4</v>
      </c>
      <c r="L96" s="3" t="s">
        <v>980</v>
      </c>
      <c r="M96" s="3" t="s">
        <v>72</v>
      </c>
      <c r="N96" s="4" t="str">
        <f>TRIM(SUBSTITUTE(M96,"_"," "))</f>
        <v>Ananya Rao</v>
      </c>
      <c r="O96" s="3" t="s">
        <v>41</v>
      </c>
      <c r="P96" s="6" t="str">
        <f>PROPER(TRIM(SUBSTITUTE(O96,".","")))</f>
        <v>Small Business</v>
      </c>
      <c r="Q96" s="3" t="s">
        <v>62</v>
      </c>
      <c r="R96" s="7" t="str">
        <f>PROPER(TRIM(SUBSTITUTE(Q96,"  "," ")))</f>
        <v>South</v>
      </c>
      <c r="S96" s="3" t="s">
        <v>339</v>
      </c>
      <c r="T96" s="6" t="str">
        <f>PROPER(TRIM(SUBSTITUTE(S96,"  "," ")))</f>
        <v>Tamil Nadu</v>
      </c>
      <c r="U96" s="3" t="s">
        <v>340</v>
      </c>
      <c r="V96" s="6" t="str">
        <f>PROPER(TRIM(SUBSTITUTE(U96,"  "," ")))</f>
        <v>Chennai</v>
      </c>
      <c r="W96" s="3" t="s">
        <v>45</v>
      </c>
      <c r="X96" s="6" t="str">
        <f>PROPER(TRIM(SUBSTITUTE(W96,"  "," ")))</f>
        <v>Furniture</v>
      </c>
      <c r="Y96" s="3" t="s">
        <v>65</v>
      </c>
      <c r="Z96" s="6" t="str">
        <f>PROPER(TRIM(SUBSTITUTE(Y96,"  "," ")))</f>
        <v>Furnishings</v>
      </c>
      <c r="AA96" s="3" t="s">
        <v>981</v>
      </c>
      <c r="AB96" s="3" t="s">
        <v>67</v>
      </c>
      <c r="AC96" s="6" t="str">
        <f>PROPER(TRIM(SUBSTITUTE(AB96,"  "," ")))</f>
        <v>Standard Class</v>
      </c>
      <c r="AD96" s="3">
        <v>4</v>
      </c>
      <c r="AE96" s="3">
        <v>3186.3</v>
      </c>
      <c r="AF96" s="3">
        <v>0.25</v>
      </c>
      <c r="AG96" s="17">
        <v>0.25</v>
      </c>
      <c r="AH96" s="6" t="str">
        <f t="shared" si="11"/>
        <v>Valid</v>
      </c>
      <c r="AI96" s="3">
        <v>9558.9</v>
      </c>
      <c r="AJ96" s="3">
        <v>5516.76</v>
      </c>
      <c r="AK96" s="3">
        <v>4042.14</v>
      </c>
      <c r="AL96" s="3" t="s">
        <v>124</v>
      </c>
      <c r="AM96" s="6" t="str">
        <f>PROPER(TRIM(SUBSTITUTE(AL96,".","")))</f>
        <v>Refunded</v>
      </c>
      <c r="AN96" s="3" t="s">
        <v>125</v>
      </c>
      <c r="AO96" s="8" t="str">
        <f>PROPER(TRIM(SUBSTITUTE(AN96,".","")))</f>
        <v>Returned</v>
      </c>
      <c r="AP96" t="str">
        <f>IF(COUNTIF($A$2:$A$933, A96) &gt; 1, "Duplicate ID", "Unique")</f>
        <v>Unique</v>
      </c>
      <c r="AR96">
        <f t="shared" si="12"/>
        <v>9558.9000000000015</v>
      </c>
      <c r="AS96">
        <f t="shared" si="13"/>
        <v>4042.1400000000012</v>
      </c>
      <c r="AT96" s="15">
        <f t="shared" si="14"/>
        <v>0.42286664783604816</v>
      </c>
      <c r="AU96" t="str">
        <f t="shared" si="15"/>
        <v>Warning</v>
      </c>
      <c r="AV96" s="8" t="str">
        <f t="shared" si="16"/>
        <v>Refund</v>
      </c>
    </row>
    <row r="97" spans="1:48">
      <c r="A97" s="3" t="s">
        <v>1840</v>
      </c>
      <c r="B97" s="3" t="s">
        <v>978</v>
      </c>
      <c r="C97" s="9">
        <f>IFERROR(DATEVALUE(TEXT(B97,"DD/MM/YYYY")), IF(ISNUMBER(B97), B97, ""))</f>
        <v>45366</v>
      </c>
      <c r="D97" s="9" t="str">
        <f>IF(B97="","Missing", IF(AND(ISNUMBER(B97)=FALSE, C97=""),"Invalid - Could Not Parse", IF(AND(ISNUMBER(B97)=FALSE, C97&lt;&gt;""),"Text - Converted to Date", IF(ISNUMBER(B97),"Valid","Check"))))</f>
        <v>Text - Converted to Date</v>
      </c>
      <c r="E97" s="5">
        <f t="shared" si="9"/>
        <v>3</v>
      </c>
      <c r="F97" s="5">
        <f t="shared" si="10"/>
        <v>2024</v>
      </c>
      <c r="G97" s="3" t="s">
        <v>1841</v>
      </c>
      <c r="H97" s="9">
        <f>IFERROR(DATEVALUE(MID(G97,4,2) &amp; "/" &amp; LEFT(G97,2) &amp; "/" &amp; RIGHT(G97,4)), IF(ISNUMBER(G97), G97, IFERROR(DATEVALUE(G97), "")))</f>
        <v>45367</v>
      </c>
      <c r="I97" s="9" t="str">
        <f>IF(G97="","Missing", IF(AND(ISNUMBER(G97)=FALSE, H97=""),"Invalid - Could Not Parse", IF(AND(ISNUMBER(G97)=FALSE, H97&lt;&gt;""),"Text - Converted to Date", IF(ISNUMBER(G97),"Valid","Check"))))</f>
        <v>Text - Converted to Date</v>
      </c>
      <c r="J97" s="9" t="str">
        <f>IF(OR(C97="", H97=""), "Cannot Check - Date Missing", IF(H97&lt;C97, "Invalid - Ship Before Order", "Valid"))</f>
        <v>Valid</v>
      </c>
      <c r="K97" s="5">
        <f>IF(OR(C97="", H97=""), "", IF(H97&lt;C97, "", H97-C97))</f>
        <v>1</v>
      </c>
      <c r="L97" s="3" t="s">
        <v>1842</v>
      </c>
      <c r="M97" s="3" t="s">
        <v>180</v>
      </c>
      <c r="N97" s="4" t="str">
        <f>TRIM(SUBSTITUTE(M97,"_"," "))</f>
        <v>Rohan Mehta</v>
      </c>
      <c r="O97" s="3" t="s">
        <v>26</v>
      </c>
      <c r="P97" s="6" t="str">
        <f>PROPER(TRIM(SUBSTITUTE(O97,".","")))</f>
        <v>Consumer</v>
      </c>
      <c r="Q97" s="3" t="s">
        <v>27</v>
      </c>
      <c r="R97" s="7" t="str">
        <f>PROPER(TRIM(SUBSTITUTE(Q97,"  "," ")))</f>
        <v>North</v>
      </c>
      <c r="S97" s="3" t="s">
        <v>506</v>
      </c>
      <c r="T97" s="6" t="str">
        <f>PROPER(TRIM(SUBSTITUTE(S97,"  "," ")))</f>
        <v>Delhi</v>
      </c>
      <c r="U97" s="3" t="s">
        <v>507</v>
      </c>
      <c r="V97" s="6" t="str">
        <f>PROPER(TRIM(SUBSTITUTE(U97,"  "," ")))</f>
        <v>New Delhi</v>
      </c>
      <c r="W97" s="3" t="s">
        <v>30</v>
      </c>
      <c r="X97" s="6" t="str">
        <f>PROPER(TRIM(SUBSTITUTE(W97,"  "," ")))</f>
        <v>Office Supplies</v>
      </c>
      <c r="Y97" s="3" t="s">
        <v>54</v>
      </c>
      <c r="Z97" s="6" t="str">
        <f>PROPER(TRIM(SUBSTITUTE(Y97,"  "," ")))</f>
        <v>Art</v>
      </c>
      <c r="AA97" s="3" t="s">
        <v>1843</v>
      </c>
      <c r="AB97" s="3" t="s">
        <v>67</v>
      </c>
      <c r="AC97" s="6" t="str">
        <f>PROPER(TRIM(SUBSTITUTE(AB97,"  "," ")))</f>
        <v>Standard Class</v>
      </c>
      <c r="AD97" s="3">
        <v>6</v>
      </c>
      <c r="AE97" s="3">
        <v>3815.09</v>
      </c>
      <c r="AF97" s="3">
        <v>0.15</v>
      </c>
      <c r="AG97" s="17">
        <v>0.15</v>
      </c>
      <c r="AH97" s="6" t="str">
        <f t="shared" si="11"/>
        <v>Valid</v>
      </c>
      <c r="AI97" s="3">
        <v>19456.96</v>
      </c>
      <c r="AJ97" s="3">
        <v>14520.06</v>
      </c>
      <c r="AK97" s="3">
        <v>4936.8999999999996</v>
      </c>
      <c r="AL97" s="3" t="s">
        <v>200</v>
      </c>
      <c r="AM97" s="6" t="str">
        <f>PROPER(TRIM(SUBSTITUTE(AL97,".","")))</f>
        <v>Failed</v>
      </c>
      <c r="AN97" s="3" t="s">
        <v>78</v>
      </c>
      <c r="AO97" s="8" t="str">
        <f>PROPER(TRIM(SUBSTITUTE(AN97,".","")))</f>
        <v>Cancelled</v>
      </c>
      <c r="AP97" t="str">
        <f>IF(COUNTIF($A$2:$A$933, A97) &gt; 1, "Duplicate ID", "Unique")</f>
        <v>Unique</v>
      </c>
      <c r="AR97">
        <f t="shared" si="12"/>
        <v>19456.958999999999</v>
      </c>
      <c r="AS97">
        <f t="shared" si="13"/>
        <v>4936.8989999999994</v>
      </c>
      <c r="AT97" s="15">
        <f t="shared" si="14"/>
        <v>0.25373435797443988</v>
      </c>
      <c r="AU97" t="str">
        <f t="shared" si="15"/>
        <v>Clean</v>
      </c>
      <c r="AV97" s="8" t="str">
        <f t="shared" si="16"/>
        <v>Cancelled</v>
      </c>
    </row>
    <row r="98" spans="1:48">
      <c r="A98" s="3" t="s">
        <v>1910</v>
      </c>
      <c r="B98" s="3" t="s">
        <v>1911</v>
      </c>
      <c r="C98" s="9">
        <f>IFERROR(DATEVALUE(TEXT(B98,"DD/MM/YYYY")), IF(ISNUMBER(B98), B98, ""))</f>
        <v>45366</v>
      </c>
      <c r="D98" s="9" t="str">
        <f>IF(B98="","Missing", IF(AND(ISNUMBER(B98)=FALSE, C98=""),"Invalid - Could Not Parse", IF(AND(ISNUMBER(B98)=FALSE, C98&lt;&gt;""),"Text - Converted to Date", IF(ISNUMBER(B98),"Valid","Check"))))</f>
        <v>Text - Converted to Date</v>
      </c>
      <c r="E98" s="5">
        <f t="shared" si="9"/>
        <v>3</v>
      </c>
      <c r="F98" s="5">
        <f t="shared" si="10"/>
        <v>2024</v>
      </c>
      <c r="G98" s="3" t="s">
        <v>1912</v>
      </c>
      <c r="H98" s="9">
        <f>IFERROR(DATEVALUE(TEXT(G98,"DD/MM/YYYY")), IF(ISNUMBER(G98), G98, ""))</f>
        <v>45371</v>
      </c>
      <c r="I98" s="9" t="str">
        <f>IF(G98="","Missing", IF(AND(ISNUMBER(G98)=FALSE, H98=""),"Invalid - Could Not Parse", IF(AND(ISNUMBER(G98)=FALSE, H98&lt;&gt;""),"Text - Converted to Date", IF(ISNUMBER(G98),"Valid","Check"))))</f>
        <v>Text - Converted to Date</v>
      </c>
      <c r="J98" s="9" t="str">
        <f>IF(OR(C98="", H98=""), "Cannot Check - Date Missing", IF(H98&lt;C98, "Invalid - Ship Before Order", "Valid"))</f>
        <v>Valid</v>
      </c>
      <c r="K98" s="5">
        <f>IF(OR(C98="", H98=""), "", IF(H98&lt;C98, "", H98-C98))</f>
        <v>5</v>
      </c>
      <c r="L98" s="3" t="s">
        <v>1913</v>
      </c>
      <c r="M98" s="3" t="s">
        <v>180</v>
      </c>
      <c r="N98" s="4" t="str">
        <f>TRIM(SUBSTITUTE(M98,"_"," "))</f>
        <v>Rohan Mehta</v>
      </c>
      <c r="O98" s="3" t="s">
        <v>26</v>
      </c>
      <c r="P98" s="6" t="str">
        <f>PROPER(TRIM(SUBSTITUTE(O98,".","")))</f>
        <v>Consumer</v>
      </c>
      <c r="Q98" s="3" t="s">
        <v>42</v>
      </c>
      <c r="R98" s="7" t="str">
        <f>PROPER(TRIM(SUBSTITUTE(Q98,"  "," ")))</f>
        <v>East</v>
      </c>
      <c r="S98" s="3" t="s">
        <v>311</v>
      </c>
      <c r="T98" s="6" t="str">
        <f>PROPER(TRIM(SUBSTITUTE(S98,"  "," ")))</f>
        <v>Jharkhand</v>
      </c>
      <c r="U98" s="3" t="s">
        <v>312</v>
      </c>
      <c r="V98" s="6" t="str">
        <f>PROPER(TRIM(SUBSTITUTE(U98,"  "," ")))</f>
        <v>Ranchi</v>
      </c>
      <c r="W98" s="3" t="s">
        <v>86</v>
      </c>
      <c r="X98" s="6" t="str">
        <f>PROPER(TRIM(SUBSTITUTE(W98,"  "," ")))</f>
        <v>Technology</v>
      </c>
      <c r="Y98" s="3" t="s">
        <v>94</v>
      </c>
      <c r="Z98" s="6" t="str">
        <f>PROPER(TRIM(SUBSTITUTE(Y98,"  "," ")))</f>
        <v>Copiers</v>
      </c>
      <c r="AA98" s="3" t="s">
        <v>1914</v>
      </c>
      <c r="AB98" s="3" t="s">
        <v>67</v>
      </c>
      <c r="AC98" s="6" t="str">
        <f>PROPER(TRIM(SUBSTITUTE(AB98,"  "," ")))</f>
        <v>Standard Class</v>
      </c>
      <c r="AD98" s="3">
        <v>2</v>
      </c>
      <c r="AE98" s="3">
        <v>1881.4</v>
      </c>
      <c r="AF98" s="3">
        <v>0.25</v>
      </c>
      <c r="AG98" s="17">
        <v>0.25</v>
      </c>
      <c r="AH98" s="6" t="str">
        <f t="shared" si="11"/>
        <v>Valid</v>
      </c>
      <c r="AI98" s="3">
        <v>2822.1</v>
      </c>
      <c r="AJ98" s="3">
        <v>1624.57</v>
      </c>
      <c r="AK98" s="3">
        <v>1197.53</v>
      </c>
      <c r="AL98" s="3" t="s">
        <v>34</v>
      </c>
      <c r="AM98" s="6" t="str">
        <f>PROPER(TRIM(SUBSTITUTE(AL98,".","")))</f>
        <v>Paid</v>
      </c>
      <c r="AN98" s="3" t="s">
        <v>125</v>
      </c>
      <c r="AO98" s="8" t="str">
        <f>PROPER(TRIM(SUBSTITUTE(AN98,".","")))</f>
        <v>Returned</v>
      </c>
      <c r="AP98" t="str">
        <f>IF(COUNTIF($A$2:$A$933, A98) &gt; 1, "Duplicate ID", "Unique")</f>
        <v>Unique</v>
      </c>
      <c r="AR98">
        <f t="shared" si="12"/>
        <v>2822.1000000000004</v>
      </c>
      <c r="AS98">
        <f t="shared" si="13"/>
        <v>1197.5300000000004</v>
      </c>
      <c r="AT98" s="15">
        <f t="shared" si="14"/>
        <v>0.42434003047376079</v>
      </c>
      <c r="AU98" t="str">
        <f t="shared" si="15"/>
        <v>Clean</v>
      </c>
      <c r="AV98" s="8" t="str">
        <f t="shared" si="16"/>
        <v>Active</v>
      </c>
    </row>
    <row r="99" spans="1:48">
      <c r="A99" s="3" t="s">
        <v>1143</v>
      </c>
      <c r="B99" s="3" t="s">
        <v>1144</v>
      </c>
      <c r="C99" s="9">
        <f>IFERROR(DATEVALUE(TEXT(B99,"DD/MM/YYYY")), IF(ISNUMBER(B99), B99, ""))</f>
        <v>45368</v>
      </c>
      <c r="D99" s="9" t="str">
        <f>IF(B99="","Missing", IF(AND(ISNUMBER(B99)=FALSE, C99=""),"Invalid - Could Not Parse", IF(AND(ISNUMBER(B99)=FALSE, C99&lt;&gt;""),"Text - Converted to Date", IF(ISNUMBER(B99),"Valid","Check"))))</f>
        <v>Text - Converted to Date</v>
      </c>
      <c r="E99" s="5">
        <f t="shared" si="9"/>
        <v>3</v>
      </c>
      <c r="F99" s="5">
        <f t="shared" si="10"/>
        <v>2024</v>
      </c>
      <c r="G99" s="3" t="s">
        <v>1145</v>
      </c>
      <c r="H99" s="9">
        <f>IFERROR(DATEVALUE(TEXT(G99,"DD/MM/YYYY")), IF(ISNUMBER(G99), G99, ""))</f>
        <v>45374</v>
      </c>
      <c r="I99" s="9" t="str">
        <f>IF(G99="","Missing", IF(AND(ISNUMBER(G99)=FALSE, H99=""),"Invalid - Could Not Parse", IF(AND(ISNUMBER(G99)=FALSE, H99&lt;&gt;""),"Text - Converted to Date", IF(ISNUMBER(G99),"Valid","Check"))))</f>
        <v>Text - Converted to Date</v>
      </c>
      <c r="J99" s="9" t="str">
        <f>IF(OR(C99="", H99=""), "Cannot Check - Date Missing", IF(H99&lt;C99, "Invalid - Ship Before Order", "Valid"))</f>
        <v>Valid</v>
      </c>
      <c r="K99" s="5">
        <f>IF(OR(C99="", H99=""), "", IF(H99&lt;C99, "", H99-C99))</f>
        <v>6</v>
      </c>
      <c r="L99" s="3" t="s">
        <v>1146</v>
      </c>
      <c r="M99" s="3" t="s">
        <v>148</v>
      </c>
      <c r="N99" s="4" t="str">
        <f>TRIM(SUBSTITUTE(M99,"_"," "))</f>
        <v>Rahul Verma</v>
      </c>
      <c r="O99" s="3" t="s">
        <v>26</v>
      </c>
      <c r="P99" s="6" t="str">
        <f>PROPER(TRIM(SUBSTITUTE(O99,".","")))</f>
        <v>Consumer</v>
      </c>
      <c r="Q99" s="3" t="s">
        <v>27</v>
      </c>
      <c r="R99" s="7" t="str">
        <f>PROPER(TRIM(SUBSTITUTE(Q99,"  "," ")))</f>
        <v>North</v>
      </c>
      <c r="S99" s="3" t="s">
        <v>323</v>
      </c>
      <c r="T99" s="6" t="str">
        <f>PROPER(TRIM(SUBSTITUTE(S99,"  "," ")))</f>
        <v>Haryana</v>
      </c>
      <c r="U99" s="3" t="s">
        <v>324</v>
      </c>
      <c r="V99" s="6" t="str">
        <f>PROPER(TRIM(SUBSTITUTE(U99,"  "," ")))</f>
        <v>Gurugram</v>
      </c>
      <c r="W99" s="3" t="s">
        <v>86</v>
      </c>
      <c r="X99" s="6" t="str">
        <f>PROPER(TRIM(SUBSTITUTE(W99,"  "," ")))</f>
        <v>Technology</v>
      </c>
      <c r="Y99" s="3" t="s">
        <v>87</v>
      </c>
      <c r="Z99" s="6" t="str">
        <f>PROPER(TRIM(SUBSTITUTE(Y99,"  "," ")))</f>
        <v>Accessories</v>
      </c>
      <c r="AA99" s="3" t="s">
        <v>1147</v>
      </c>
      <c r="AB99" s="3" t="s">
        <v>56</v>
      </c>
      <c r="AC99" s="6" t="str">
        <f>PROPER(TRIM(SUBSTITUTE(AB99,"  "," ")))</f>
        <v>First Class</v>
      </c>
      <c r="AD99" s="3">
        <v>3</v>
      </c>
      <c r="AE99" s="3">
        <v>248.18</v>
      </c>
      <c r="AF99" s="3">
        <v>0.05</v>
      </c>
      <c r="AG99" s="17">
        <v>0.05</v>
      </c>
      <c r="AH99" s="6" t="str">
        <f t="shared" si="11"/>
        <v>Valid</v>
      </c>
      <c r="AI99" s="3">
        <v>707.31</v>
      </c>
      <c r="AJ99" s="3">
        <v>569</v>
      </c>
      <c r="AK99" s="3">
        <v>138.31</v>
      </c>
      <c r="AL99" s="3" t="s">
        <v>34</v>
      </c>
      <c r="AM99" s="6" t="str">
        <f>PROPER(TRIM(SUBSTITUTE(AL99,".","")))</f>
        <v>Paid</v>
      </c>
      <c r="AN99" s="3" t="s">
        <v>35</v>
      </c>
      <c r="AO99" s="8" t="str">
        <f>PROPER(TRIM(SUBSTITUTE(AN99,".","")))</f>
        <v>Completed</v>
      </c>
      <c r="AP99" t="str">
        <f>IF(COUNTIF($A$2:$A$933, A99) &gt; 1, "Duplicate ID", "Unique")</f>
        <v>Unique</v>
      </c>
      <c r="AR99">
        <f t="shared" si="12"/>
        <v>707.31299999999999</v>
      </c>
      <c r="AS99">
        <f t="shared" si="13"/>
        <v>138.31299999999999</v>
      </c>
      <c r="AT99" s="15">
        <f t="shared" si="14"/>
        <v>0.19554709159876885</v>
      </c>
      <c r="AU99" t="str">
        <f t="shared" si="15"/>
        <v>Clean</v>
      </c>
      <c r="AV99" s="8" t="str">
        <f t="shared" si="16"/>
        <v>Active</v>
      </c>
    </row>
    <row r="100" spans="1:48">
      <c r="A100" s="3" t="s">
        <v>1702</v>
      </c>
      <c r="B100" s="3" t="s">
        <v>304</v>
      </c>
      <c r="C100" s="9">
        <f>IFERROR(DATEVALUE(TEXT(B100,"DD/MM/YYYY")), IF(ISNUMBER(B100), B100, ""))</f>
        <v>45368</v>
      </c>
      <c r="D100" s="9" t="str">
        <f>IF(B100="","Missing", IF(AND(ISNUMBER(B100)=FALSE, C100=""),"Invalid - Could Not Parse", IF(AND(ISNUMBER(B100)=FALSE, C100&lt;&gt;""),"Text - Converted to Date", IF(ISNUMBER(B100),"Valid","Check"))))</f>
        <v>Text - Converted to Date</v>
      </c>
      <c r="E100" s="5">
        <f t="shared" si="9"/>
        <v>3</v>
      </c>
      <c r="F100" s="5">
        <f t="shared" si="10"/>
        <v>2024</v>
      </c>
      <c r="G100" s="3" t="s">
        <v>1703</v>
      </c>
      <c r="H100" s="9">
        <f>IFERROR(DATEVALUE(MID(G100,4,2) &amp; "/" &amp; LEFT(G100,2) &amp; "/" &amp; RIGHT(G100,4)), IF(ISNUMBER(G100), G100, IFERROR(DATEVALUE(G100), "")))</f>
        <v>45372</v>
      </c>
      <c r="I100" s="9" t="str">
        <f>IF(G100="","Missing", IF(AND(ISNUMBER(G100)=FALSE, H100=""),"Invalid - Could Not Parse", IF(AND(ISNUMBER(G100)=FALSE, H100&lt;&gt;""),"Text - Converted to Date", IF(ISNUMBER(G100),"Valid","Check"))))</f>
        <v>Text - Converted to Date</v>
      </c>
      <c r="J100" s="9" t="str">
        <f>IF(OR(C100="", H100=""), "Cannot Check - Date Missing", IF(H100&lt;C100, "Invalid - Ship Before Order", "Valid"))</f>
        <v>Valid</v>
      </c>
      <c r="K100" s="5">
        <f>IF(OR(C100="", H100=""), "", IF(H100&lt;C100, "", H100-C100))</f>
        <v>4</v>
      </c>
      <c r="L100" s="3" t="s">
        <v>1321</v>
      </c>
      <c r="M100" s="3" t="s">
        <v>162</v>
      </c>
      <c r="N100" s="4" t="str">
        <f>TRIM(SUBSTITUTE(M100,"_"," "))</f>
        <v>Aarav Sharma</v>
      </c>
      <c r="O100" s="3" t="s">
        <v>26</v>
      </c>
      <c r="P100" s="6" t="str">
        <f>PROPER(TRIM(SUBSTITUTE(O100,".","")))</f>
        <v>Consumer</v>
      </c>
      <c r="Q100" s="3" t="s">
        <v>27</v>
      </c>
      <c r="R100" s="7" t="str">
        <f>PROPER(TRIM(SUBSTITUTE(Q100,"  "," ")))</f>
        <v>North</v>
      </c>
      <c r="S100" s="3" t="s">
        <v>28</v>
      </c>
      <c r="T100" s="6" t="str">
        <f>PROPER(TRIM(SUBSTITUTE(S100,"  "," ")))</f>
        <v>Rajasthan</v>
      </c>
      <c r="U100" s="3" t="s">
        <v>29</v>
      </c>
      <c r="V100" s="6" t="str">
        <f>PROPER(TRIM(SUBSTITUTE(U100,"  "," ")))</f>
        <v>Jaipur</v>
      </c>
      <c r="W100" s="3" t="s">
        <v>86</v>
      </c>
      <c r="X100" s="6" t="str">
        <f>PROPER(TRIM(SUBSTITUTE(W100,"  "," ")))</f>
        <v>Technology</v>
      </c>
      <c r="Y100" s="3" t="s">
        <v>94</v>
      </c>
      <c r="Z100" s="6" t="str">
        <f>PROPER(TRIM(SUBSTITUTE(Y100,"  "," ")))</f>
        <v>Copiers</v>
      </c>
      <c r="AA100" s="3" t="s">
        <v>1704</v>
      </c>
      <c r="AB100" s="3" t="s">
        <v>56</v>
      </c>
      <c r="AC100" s="6" t="str">
        <f>PROPER(TRIM(SUBSTITUTE(AB100,"  "," ")))</f>
        <v>First Class</v>
      </c>
      <c r="AD100" s="3">
        <v>8</v>
      </c>
      <c r="AE100" s="3">
        <v>1992.57</v>
      </c>
      <c r="AF100" s="3">
        <v>0</v>
      </c>
      <c r="AG100" s="17">
        <v>0</v>
      </c>
      <c r="AH100" s="6" t="str">
        <f t="shared" si="11"/>
        <v>Valid</v>
      </c>
      <c r="AI100" s="3">
        <v>15940.56</v>
      </c>
      <c r="AJ100" s="3">
        <v>12347.15</v>
      </c>
      <c r="AK100" s="3">
        <v>3593.41</v>
      </c>
      <c r="AL100" s="3" t="s">
        <v>34</v>
      </c>
      <c r="AM100" s="6" t="str">
        <f>PROPER(TRIM(SUBSTITUTE(AL100,".","")))</f>
        <v>Paid</v>
      </c>
      <c r="AN100" s="3" t="s">
        <v>35</v>
      </c>
      <c r="AO100" s="8" t="str">
        <f>PROPER(TRIM(SUBSTITUTE(AN100,".","")))</f>
        <v>Completed</v>
      </c>
      <c r="AP100" t="str">
        <f>IF(COUNTIF($A$2:$A$933, A100) &gt; 1, "Duplicate ID", "Unique")</f>
        <v>Unique</v>
      </c>
      <c r="AR100">
        <f t="shared" si="12"/>
        <v>15940.56</v>
      </c>
      <c r="AS100">
        <f t="shared" si="13"/>
        <v>3593.41</v>
      </c>
      <c r="AT100" s="15">
        <f t="shared" si="14"/>
        <v>0.2254255810335396</v>
      </c>
      <c r="AU100" t="str">
        <f t="shared" si="15"/>
        <v>Clean</v>
      </c>
      <c r="AV100" s="8" t="str">
        <f t="shared" si="16"/>
        <v>Active</v>
      </c>
    </row>
    <row r="101" spans="1:48">
      <c r="A101" s="3" t="s">
        <v>3402</v>
      </c>
      <c r="B101" s="3" t="s">
        <v>3403</v>
      </c>
      <c r="C101" s="9">
        <f>IFERROR(DATEVALUE(TEXT(B101,"DD/MM/YYYY")), IF(ISNUMBER(B101), B101, ""))</f>
        <v>45368</v>
      </c>
      <c r="D101" s="9" t="str">
        <f>IF(B101="","Missing", IF(AND(ISNUMBER(B101)=FALSE, C101=""),"Invalid - Could Not Parse", IF(AND(ISNUMBER(B101)=FALSE, C101&lt;&gt;""),"Text - Converted to Date", IF(ISNUMBER(B101),"Valid","Check"))))</f>
        <v>Text - Converted to Date</v>
      </c>
      <c r="E101" s="5">
        <f t="shared" si="9"/>
        <v>3</v>
      </c>
      <c r="F101" s="5">
        <f t="shared" si="10"/>
        <v>2024</v>
      </c>
      <c r="G101" s="3" t="s">
        <v>3404</v>
      </c>
      <c r="H101" s="9">
        <f>IFERROR(DATEVALUE(TEXT(G101,"DD/MM/YYYY")), IF(ISNUMBER(G101), G101, ""))</f>
        <v>45370</v>
      </c>
      <c r="I101" s="9" t="str">
        <f>IF(G101="","Missing", IF(AND(ISNUMBER(G101)=FALSE, H101=""),"Invalid - Could Not Parse", IF(AND(ISNUMBER(G101)=FALSE, H101&lt;&gt;""),"Text - Converted to Date", IF(ISNUMBER(G101),"Valid","Check"))))</f>
        <v>Text - Converted to Date</v>
      </c>
      <c r="J101" s="9" t="str">
        <f>IF(OR(C101="", H101=""), "Cannot Check - Date Missing", IF(H101&lt;C101, "Invalid - Ship Before Order", "Valid"))</f>
        <v>Valid</v>
      </c>
      <c r="K101" s="5">
        <f>IF(OR(C101="", H101=""), "", IF(H101&lt;C101, "", H101-C101))</f>
        <v>2</v>
      </c>
      <c r="L101" s="3" t="s">
        <v>3405</v>
      </c>
      <c r="M101" s="3" t="s">
        <v>72</v>
      </c>
      <c r="N101" s="4" t="str">
        <f>TRIM(SUBSTITUTE(M101,"_"," "))</f>
        <v>Ananya Rao</v>
      </c>
      <c r="O101" s="3" t="s">
        <v>108</v>
      </c>
      <c r="P101" s="6" t="str">
        <f>PROPER(TRIM(SUBSTITUTE(O101,".","")))</f>
        <v>Corporate</v>
      </c>
      <c r="Q101" s="3" t="s">
        <v>42</v>
      </c>
      <c r="R101" s="7" t="str">
        <f>PROPER(TRIM(SUBSTITUTE(Q101,"  "," ")))</f>
        <v>East</v>
      </c>
      <c r="S101" s="3" t="s">
        <v>43</v>
      </c>
      <c r="T101" s="6" t="str">
        <f>PROPER(TRIM(SUBSTITUTE(S101,"  "," ")))</f>
        <v>Odisha</v>
      </c>
      <c r="U101" s="3" t="s">
        <v>44</v>
      </c>
      <c r="V101" s="6" t="str">
        <f>PROPER(TRIM(SUBSTITUTE(U101,"  "," ")))</f>
        <v>Bhubaneswar</v>
      </c>
      <c r="W101" s="3" t="s">
        <v>30</v>
      </c>
      <c r="X101" s="6" t="str">
        <f>PROPER(TRIM(SUBSTITUTE(W101,"  "," ")))</f>
        <v>Office Supplies</v>
      </c>
      <c r="Y101" s="3" t="s">
        <v>198</v>
      </c>
      <c r="Z101" s="6" t="str">
        <f>PROPER(TRIM(SUBSTITUTE(Y101,"  "," ")))</f>
        <v>Binders</v>
      </c>
      <c r="AA101" s="3" t="s">
        <v>3406</v>
      </c>
      <c r="AB101" s="3" t="s">
        <v>56</v>
      </c>
      <c r="AC101" s="6" t="str">
        <f>PROPER(TRIM(SUBSTITUTE(AB101,"  "," ")))</f>
        <v>First Class</v>
      </c>
      <c r="AD101" s="3">
        <v>4</v>
      </c>
      <c r="AE101" s="3">
        <v>4376.68</v>
      </c>
      <c r="AF101" s="3">
        <v>0.1</v>
      </c>
      <c r="AG101" s="17">
        <v>0.1</v>
      </c>
      <c r="AH101" s="6" t="str">
        <f t="shared" si="11"/>
        <v>Valid</v>
      </c>
      <c r="AI101" s="3">
        <v>15756.05</v>
      </c>
      <c r="AJ101" s="3">
        <v>10245.44</v>
      </c>
      <c r="AK101" s="3">
        <v>5510.61</v>
      </c>
      <c r="AL101" s="3" t="s">
        <v>34</v>
      </c>
      <c r="AM101" s="6" t="str">
        <f>PROPER(TRIM(SUBSTITUTE(AL101,".","")))</f>
        <v>Paid</v>
      </c>
      <c r="AN101" s="3" t="s">
        <v>35</v>
      </c>
      <c r="AO101" s="8" t="str">
        <f>PROPER(TRIM(SUBSTITUTE(AN101,".","")))</f>
        <v>Completed</v>
      </c>
      <c r="AP101" t="str">
        <f>IF(COUNTIF($A$2:$A$933, A101) &gt; 1, "Duplicate ID", "Unique")</f>
        <v>Unique</v>
      </c>
      <c r="AR101">
        <f t="shared" si="12"/>
        <v>15756.048000000001</v>
      </c>
      <c r="AS101">
        <f t="shared" si="13"/>
        <v>5510.6080000000002</v>
      </c>
      <c r="AT101" s="15">
        <f t="shared" si="14"/>
        <v>0.3497455707167178</v>
      </c>
      <c r="AU101" t="str">
        <f t="shared" si="15"/>
        <v>Clean</v>
      </c>
      <c r="AV101" s="8" t="str">
        <f t="shared" si="16"/>
        <v>Active</v>
      </c>
    </row>
    <row r="102" spans="1:48">
      <c r="A102" s="3" t="s">
        <v>3478</v>
      </c>
      <c r="B102" s="3" t="s">
        <v>3479</v>
      </c>
      <c r="C102" s="9">
        <f>IFERROR(DATEVALUE(TEXT(B102,"DD/MM/YYYY")), IF(ISNUMBER(B102), B102, ""))</f>
        <v>45372</v>
      </c>
      <c r="D102" s="9" t="str">
        <f>IF(B102="","Missing", IF(AND(ISNUMBER(B102)=FALSE, C102=""),"Invalid - Could Not Parse", IF(AND(ISNUMBER(B102)=FALSE, C102&lt;&gt;""),"Text - Converted to Date", IF(ISNUMBER(B102),"Valid","Check"))))</f>
        <v>Text - Converted to Date</v>
      </c>
      <c r="E102" s="5">
        <f t="shared" si="9"/>
        <v>3</v>
      </c>
      <c r="F102" s="5">
        <f t="shared" si="10"/>
        <v>2024</v>
      </c>
      <c r="G102" s="3" t="s">
        <v>3480</v>
      </c>
      <c r="H102" s="9">
        <f>IFERROR(DATEVALUE(TEXT(G102,"DD/MM/YYYY")), IF(ISNUMBER(G102), G102, ""))</f>
        <v>45376</v>
      </c>
      <c r="I102" s="9" t="str">
        <f>IF(G102="","Missing", IF(AND(ISNUMBER(G102)=FALSE, H102=""),"Invalid - Could Not Parse", IF(AND(ISNUMBER(G102)=FALSE, H102&lt;&gt;""),"Text - Converted to Date", IF(ISNUMBER(G102),"Valid","Check"))))</f>
        <v>Text - Converted to Date</v>
      </c>
      <c r="J102" s="9" t="str">
        <f>IF(OR(C102="", H102=""), "Cannot Check - Date Missing", IF(H102&lt;C102, "Invalid - Ship Before Order", "Valid"))</f>
        <v>Valid</v>
      </c>
      <c r="K102" s="5">
        <f>IF(OR(C102="", H102=""), "", IF(H102&lt;C102, "", H102-C102))</f>
        <v>4</v>
      </c>
      <c r="L102" s="3" t="s">
        <v>3481</v>
      </c>
      <c r="M102" s="3" t="s">
        <v>107</v>
      </c>
      <c r="N102" s="4" t="str">
        <f>TRIM(SUBSTITUTE(M102,"_"," "))</f>
        <v>Aditi Sen</v>
      </c>
      <c r="O102" s="3" t="s">
        <v>115</v>
      </c>
      <c r="P102" s="6" t="str">
        <f>PROPER(TRIM(SUBSTITUTE(O102,".","")))</f>
        <v>Home Office</v>
      </c>
      <c r="Q102" s="3" t="s">
        <v>42</v>
      </c>
      <c r="R102" s="7" t="str">
        <f>PROPER(TRIM(SUBSTITUTE(Q102,"  "," ")))</f>
        <v>East</v>
      </c>
      <c r="S102" s="3" t="s">
        <v>216</v>
      </c>
      <c r="T102" s="6" t="str">
        <f>PROPER(TRIM(SUBSTITUTE(S102,"  "," ")))</f>
        <v>Assam</v>
      </c>
      <c r="U102" s="3" t="s">
        <v>217</v>
      </c>
      <c r="V102" s="6" t="str">
        <f>PROPER(TRIM(SUBSTITUTE(U102,"  "," ")))</f>
        <v>Guwahati</v>
      </c>
      <c r="W102" s="3" t="s">
        <v>86</v>
      </c>
      <c r="X102" s="6" t="str">
        <f>PROPER(TRIM(SUBSTITUTE(W102,"  "," ")))</f>
        <v>Technology</v>
      </c>
      <c r="Y102" s="3" t="s">
        <v>382</v>
      </c>
      <c r="Z102" s="6" t="str">
        <f>PROPER(TRIM(SUBSTITUTE(Y102,"  "," ")))</f>
        <v>Machines</v>
      </c>
      <c r="AA102" s="3" t="s">
        <v>3482</v>
      </c>
      <c r="AB102" s="3" t="s">
        <v>67</v>
      </c>
      <c r="AC102" s="6" t="str">
        <f>PROPER(TRIM(SUBSTITUTE(AB102,"  "," ")))</f>
        <v>Standard Class</v>
      </c>
      <c r="AD102" s="3">
        <v>1</v>
      </c>
      <c r="AE102" s="3">
        <v>1716.7</v>
      </c>
      <c r="AF102" s="3">
        <v>0.15</v>
      </c>
      <c r="AG102" s="17">
        <v>0.15</v>
      </c>
      <c r="AH102" s="6" t="str">
        <f t="shared" si="11"/>
        <v>Valid</v>
      </c>
      <c r="AI102" s="3">
        <v>1459.19</v>
      </c>
      <c r="AJ102" s="3">
        <v>1055.79</v>
      </c>
      <c r="AK102" s="3">
        <v>403.4</v>
      </c>
      <c r="AL102" s="3" t="s">
        <v>34</v>
      </c>
      <c r="AM102" s="6" t="str">
        <f>PROPER(TRIM(SUBSTITUTE(AL102,".","")))</f>
        <v>Paid</v>
      </c>
      <c r="AN102" s="3" t="s">
        <v>35</v>
      </c>
      <c r="AO102" s="8" t="str">
        <f>PROPER(TRIM(SUBSTITUTE(AN102,".","")))</f>
        <v>Completed</v>
      </c>
      <c r="AP102" t="str">
        <f>IF(COUNTIF($A$2:$A$933, A102) &gt; 1, "Duplicate ID", "Unique")</f>
        <v>Unique</v>
      </c>
      <c r="AR102">
        <f t="shared" si="12"/>
        <v>1459.1949999999999</v>
      </c>
      <c r="AS102">
        <f t="shared" si="13"/>
        <v>403.40499999999997</v>
      </c>
      <c r="AT102" s="15">
        <f t="shared" si="14"/>
        <v>0.27645722470266137</v>
      </c>
      <c r="AU102" t="str">
        <f t="shared" si="15"/>
        <v>Clean</v>
      </c>
      <c r="AV102" s="8" t="str">
        <f t="shared" si="16"/>
        <v>Active</v>
      </c>
    </row>
    <row r="103" spans="1:48">
      <c r="A103" s="3" t="s">
        <v>1991</v>
      </c>
      <c r="B103" s="3" t="s">
        <v>1992</v>
      </c>
      <c r="C103" s="9">
        <f>IFERROR(DATEVALUE(TEXT(B103,"DD/MM/YYYY")), IF(ISNUMBER(B103), B103, ""))</f>
        <v>45373</v>
      </c>
      <c r="D103" s="9" t="str">
        <f>IF(B103="","Missing", IF(AND(ISNUMBER(B103)=FALSE, C103=""),"Invalid - Could Not Parse", IF(AND(ISNUMBER(B103)=FALSE, C103&lt;&gt;""),"Text - Converted to Date", IF(ISNUMBER(B103),"Valid","Check"))))</f>
        <v>Text - Converted to Date</v>
      </c>
      <c r="E103" s="5">
        <f t="shared" si="9"/>
        <v>3</v>
      </c>
      <c r="F103" s="5">
        <f t="shared" si="10"/>
        <v>2024</v>
      </c>
      <c r="G103" s="3" t="s">
        <v>1993</v>
      </c>
      <c r="H103" s="9">
        <f>IFERROR(DATEVALUE(MID(G103,4,2) &amp; "/" &amp; LEFT(G103,2) &amp; "/" &amp; RIGHT(G103,4)), IF(ISNUMBER(G103), G103, IFERROR(DATEVALUE(G103), "")))</f>
        <v>45373</v>
      </c>
      <c r="I103" s="9" t="str">
        <f>IF(G103="","Missing", IF(AND(ISNUMBER(G103)=FALSE, H103=""),"Invalid - Could Not Parse", IF(AND(ISNUMBER(G103)=FALSE, H103&lt;&gt;""),"Text - Converted to Date", IF(ISNUMBER(G103),"Valid","Check"))))</f>
        <v>Text - Converted to Date</v>
      </c>
      <c r="J103" s="9" t="str">
        <f>IF(OR(C103="", H103=""), "Cannot Check - Date Missing", IF(H103&lt;C103, "Invalid - Ship Before Order", "Valid"))</f>
        <v>Valid</v>
      </c>
      <c r="K103" s="5">
        <f>IF(OR(C103="", H103=""), "", IF(H103&lt;C103, "", H103-C103))</f>
        <v>0</v>
      </c>
      <c r="L103" s="3" t="s">
        <v>1994</v>
      </c>
      <c r="M103" s="3" t="s">
        <v>142</v>
      </c>
      <c r="N103" s="4" t="str">
        <f>TRIM(SUBSTITUTE(M103,"_"," "))</f>
        <v>Priya Menon</v>
      </c>
      <c r="O103" s="3" t="s">
        <v>41</v>
      </c>
      <c r="P103" s="6" t="str">
        <f>PROPER(TRIM(SUBSTITUTE(O103,".","")))</f>
        <v>Small Business</v>
      </c>
      <c r="Q103" s="3" t="s">
        <v>62</v>
      </c>
      <c r="R103" s="7" t="str">
        <f>PROPER(TRIM(SUBSTITUTE(Q103,"  "," ")))</f>
        <v>South</v>
      </c>
      <c r="S103" s="3" t="s">
        <v>229</v>
      </c>
      <c r="T103" s="6" t="str">
        <f>PROPER(TRIM(SUBSTITUTE(S103,"  "," ")))</f>
        <v>Karnataka</v>
      </c>
      <c r="U103" s="3" t="s">
        <v>230</v>
      </c>
      <c r="V103" s="6" t="str">
        <f>PROPER(TRIM(SUBSTITUTE(U103,"  "," ")))</f>
        <v>Bengaluru</v>
      </c>
      <c r="W103" s="3" t="s">
        <v>45</v>
      </c>
      <c r="X103" s="6" t="str">
        <f>PROPER(TRIM(SUBSTITUTE(W103,"  "," ")))</f>
        <v>Furniture</v>
      </c>
      <c r="Y103" s="3" t="s">
        <v>46</v>
      </c>
      <c r="Z103" s="6" t="str">
        <f>PROPER(TRIM(SUBSTITUTE(Y103,"  "," ")))</f>
        <v>Tables</v>
      </c>
      <c r="AA103" s="3" t="s">
        <v>1995</v>
      </c>
      <c r="AB103" s="3"/>
      <c r="AC103" s="11" t="str">
        <f>IF(ISBLANK(AB103), "Unknown", AB103)</f>
        <v>Unknown</v>
      </c>
      <c r="AD103" s="3">
        <v>3</v>
      </c>
      <c r="AE103" s="3">
        <v>1365.26</v>
      </c>
      <c r="AF103" s="3">
        <v>0</v>
      </c>
      <c r="AG103" s="17">
        <v>0</v>
      </c>
      <c r="AH103" s="6" t="str">
        <f t="shared" si="11"/>
        <v>Valid</v>
      </c>
      <c r="AI103" s="3">
        <v>4095.78</v>
      </c>
      <c r="AJ103" s="3">
        <v>2807.77</v>
      </c>
      <c r="AK103" s="3">
        <v>1288.01</v>
      </c>
      <c r="AL103" s="3" t="s">
        <v>34</v>
      </c>
      <c r="AM103" s="6" t="str">
        <f>PROPER(TRIM(SUBSTITUTE(AL103,".","")))</f>
        <v>Paid</v>
      </c>
      <c r="AN103" s="3" t="s">
        <v>35</v>
      </c>
      <c r="AO103" s="8" t="str">
        <f>PROPER(TRIM(SUBSTITUTE(AN103,".","")))</f>
        <v>Completed</v>
      </c>
      <c r="AP103" t="str">
        <f>IF(COUNTIF($A$2:$A$933, A103) &gt; 1, "Duplicate ID", "Unique")</f>
        <v>Unique</v>
      </c>
      <c r="AR103">
        <f t="shared" si="12"/>
        <v>4095.7799999999997</v>
      </c>
      <c r="AS103">
        <f t="shared" si="13"/>
        <v>1288.0099999999998</v>
      </c>
      <c r="AT103" s="15">
        <f t="shared" si="14"/>
        <v>0.31447245701673426</v>
      </c>
      <c r="AU103" t="str">
        <f t="shared" si="15"/>
        <v>Clean</v>
      </c>
      <c r="AV103" s="8" t="str">
        <f t="shared" si="16"/>
        <v>Active</v>
      </c>
    </row>
    <row r="104" spans="1:48">
      <c r="A104" s="3" t="s">
        <v>3160</v>
      </c>
      <c r="B104" s="3" t="s">
        <v>3161</v>
      </c>
      <c r="C104" s="9">
        <f>IFERROR(DATEVALUE(TEXT(B104,"DD/MM/YYYY")), IF(ISNUMBER(B104), B104, ""))</f>
        <v>45373</v>
      </c>
      <c r="D104" s="9" t="str">
        <f>IF(B104="","Missing", IF(AND(ISNUMBER(B104)=FALSE, C104=""),"Invalid - Could Not Parse", IF(AND(ISNUMBER(B104)=FALSE, C104&lt;&gt;""),"Text - Converted to Date", IF(ISNUMBER(B104),"Valid","Check"))))</f>
        <v>Text - Converted to Date</v>
      </c>
      <c r="E104" s="5">
        <f t="shared" si="9"/>
        <v>3</v>
      </c>
      <c r="F104" s="5">
        <f t="shared" si="10"/>
        <v>2024</v>
      </c>
      <c r="G104" s="3" t="s">
        <v>3162</v>
      </c>
      <c r="H104" s="9">
        <f>IFERROR(DATEVALUE(TEXT(G104,"DD/MM/YYYY")), IF(ISNUMBER(G104), G104, ""))</f>
        <v>45378</v>
      </c>
      <c r="I104" s="9" t="str">
        <f>IF(G104="","Missing", IF(AND(ISNUMBER(G104)=FALSE, H104=""),"Invalid - Could Not Parse", IF(AND(ISNUMBER(G104)=FALSE, H104&lt;&gt;""),"Text - Converted to Date", IF(ISNUMBER(G104),"Valid","Check"))))</f>
        <v>Text - Converted to Date</v>
      </c>
      <c r="J104" s="9" t="str">
        <f>IF(OR(C104="", H104=""), "Cannot Check - Date Missing", IF(H104&lt;C104, "Invalid - Ship Before Order", "Valid"))</f>
        <v>Valid</v>
      </c>
      <c r="K104" s="5">
        <f>IF(OR(C104="", H104=""), "", IF(H104&lt;C104, "", H104-C104))</f>
        <v>5</v>
      </c>
      <c r="L104" s="3" t="s">
        <v>3163</v>
      </c>
      <c r="M104" s="3" t="s">
        <v>107</v>
      </c>
      <c r="N104" s="4" t="str">
        <f>TRIM(SUBSTITUTE(M104,"_"," "))</f>
        <v>Aditi Sen</v>
      </c>
      <c r="O104" s="3" t="s">
        <v>115</v>
      </c>
      <c r="P104" s="6" t="str">
        <f>PROPER(TRIM(SUBSTITUTE(O104,".","")))</f>
        <v>Home Office</v>
      </c>
      <c r="Q104" s="3" t="s">
        <v>73</v>
      </c>
      <c r="R104" s="7" t="str">
        <f>PROPER(TRIM(SUBSTITUTE(Q104,"  "," ")))</f>
        <v>West</v>
      </c>
      <c r="S104" s="3" t="s">
        <v>249</v>
      </c>
      <c r="T104" s="6" t="str">
        <f>PROPER(TRIM(SUBSTITUTE(S104,"  "," ")))</f>
        <v>Goa</v>
      </c>
      <c r="U104" s="3" t="s">
        <v>250</v>
      </c>
      <c r="V104" s="6" t="str">
        <f>PROPER(TRIM(SUBSTITUTE(U104,"  "," ")))</f>
        <v>Panaji</v>
      </c>
      <c r="W104" s="3" t="s">
        <v>86</v>
      </c>
      <c r="X104" s="6" t="str">
        <f>PROPER(TRIM(SUBSTITUTE(W104,"  "," ")))</f>
        <v>Technology</v>
      </c>
      <c r="Y104" s="3" t="s">
        <v>3164</v>
      </c>
      <c r="Z104" s="6" t="str">
        <f>PROPER(TRIM(SUBSTITUTE(Y104,"  "," ")))</f>
        <v>Copiers</v>
      </c>
      <c r="AA104" s="3" t="s">
        <v>3165</v>
      </c>
      <c r="AB104" s="3" t="s">
        <v>33</v>
      </c>
      <c r="AC104" s="6" t="str">
        <f>PROPER(TRIM(SUBSTITUTE(AB104,"  "," ")))</f>
        <v>Second Class</v>
      </c>
      <c r="AD104" s="3">
        <v>9</v>
      </c>
      <c r="AE104" s="3">
        <v>3649.51</v>
      </c>
      <c r="AF104" s="3">
        <v>0.05</v>
      </c>
      <c r="AG104" s="17">
        <v>0.05</v>
      </c>
      <c r="AH104" s="6" t="str">
        <f t="shared" si="11"/>
        <v>Valid</v>
      </c>
      <c r="AI104" s="3">
        <v>31203.31</v>
      </c>
      <c r="AJ104" s="3">
        <v>17738.13</v>
      </c>
      <c r="AK104" s="3">
        <v>13465.18</v>
      </c>
      <c r="AL104" s="3" t="s">
        <v>34</v>
      </c>
      <c r="AM104" s="6" t="str">
        <f>PROPER(TRIM(SUBSTITUTE(AL104,".","")))</f>
        <v>Paid</v>
      </c>
      <c r="AN104" s="3" t="s">
        <v>35</v>
      </c>
      <c r="AO104" s="8" t="str">
        <f>PROPER(TRIM(SUBSTITUTE(AN104,".","")))</f>
        <v>Completed</v>
      </c>
      <c r="AP104" t="str">
        <f>IF(COUNTIF($A$2:$A$933, A104) &gt; 1, "Duplicate ID", "Unique")</f>
        <v>Unique</v>
      </c>
      <c r="AR104">
        <f t="shared" si="12"/>
        <v>31203.310500000003</v>
      </c>
      <c r="AS104">
        <f t="shared" si="13"/>
        <v>13465.180500000002</v>
      </c>
      <c r="AT104" s="15">
        <f t="shared" si="14"/>
        <v>0.43153051020019179</v>
      </c>
      <c r="AU104" t="str">
        <f t="shared" si="15"/>
        <v>Warning</v>
      </c>
      <c r="AV104" s="8" t="str">
        <f t="shared" si="16"/>
        <v>Active</v>
      </c>
    </row>
    <row r="105" spans="1:48">
      <c r="A105" s="3" t="s">
        <v>795</v>
      </c>
      <c r="B105" s="3" t="s">
        <v>796</v>
      </c>
      <c r="C105" s="9">
        <v>45374</v>
      </c>
      <c r="D105" s="9" t="str">
        <f>IF(B105="","Missing", IF(AND(ISNUMBER(B105)=FALSE, C105=""),"Invalid - Could Not Parse", IF(AND(ISNUMBER(B105)=FALSE, C105&lt;&gt;""),"Text - Converted to Date", IF(ISNUMBER(B105),"Valid","Check"))))</f>
        <v>Text - Converted to Date</v>
      </c>
      <c r="E105" s="5">
        <f t="shared" si="9"/>
        <v>3</v>
      </c>
      <c r="F105" s="5">
        <f t="shared" si="10"/>
        <v>2024</v>
      </c>
      <c r="G105" s="3" t="s">
        <v>797</v>
      </c>
      <c r="H105" s="9">
        <f>IFERROR(DATEVALUE(TEXT(G105,"DD/MM/YYYY")), IF(ISNUMBER(G105), G105, ""))</f>
        <v>45380</v>
      </c>
      <c r="I105" s="9" t="str">
        <f>IF(G105="","Missing", IF(AND(ISNUMBER(G105)=FALSE, H105=""),"Invalid - Could Not Parse", IF(AND(ISNUMBER(G105)=FALSE, H105&lt;&gt;""),"Text - Converted to Date", IF(ISNUMBER(G105),"Valid","Check"))))</f>
        <v>Text - Converted to Date</v>
      </c>
      <c r="J105" s="9" t="str">
        <f>IF(OR(C105="", H105=""), "Cannot Check - Date Missing", IF(H105&lt;C105, "Invalid - Ship Before Order", "Valid"))</f>
        <v>Valid</v>
      </c>
      <c r="K105" s="5">
        <f>IF(OR(C105="", H105=""), "", IF(H105&lt;C105, "", H105-C105))</f>
        <v>6</v>
      </c>
      <c r="L105" s="3" t="s">
        <v>798</v>
      </c>
      <c r="M105" s="3" t="s">
        <v>142</v>
      </c>
      <c r="N105" s="4" t="str">
        <f>TRIM(SUBSTITUTE(M105,"_"," "))</f>
        <v>Priya Menon</v>
      </c>
      <c r="O105" s="3" t="s">
        <v>108</v>
      </c>
      <c r="P105" s="6" t="str">
        <f>PROPER(TRIM(SUBSTITUTE(O105,".","")))</f>
        <v>Corporate</v>
      </c>
      <c r="Q105" s="3" t="s">
        <v>27</v>
      </c>
      <c r="R105" s="7" t="str">
        <f>PROPER(TRIM(SUBSTITUTE(Q105,"  "," ")))</f>
        <v>North</v>
      </c>
      <c r="S105" s="3" t="s">
        <v>506</v>
      </c>
      <c r="T105" s="6" t="str">
        <f>PROPER(TRIM(SUBSTITUTE(S105,"  "," ")))</f>
        <v>Delhi</v>
      </c>
      <c r="U105" s="3" t="s">
        <v>507</v>
      </c>
      <c r="V105" s="6" t="str">
        <f>PROPER(TRIM(SUBSTITUTE(U105,"  "," ")))</f>
        <v>New Delhi</v>
      </c>
      <c r="W105" s="3" t="s">
        <v>45</v>
      </c>
      <c r="X105" s="6" t="str">
        <f>PROPER(TRIM(SUBSTITUTE(W105,"  "," ")))</f>
        <v>Furniture</v>
      </c>
      <c r="Y105" s="3" t="s">
        <v>204</v>
      </c>
      <c r="Z105" s="6" t="str">
        <f>PROPER(TRIM(SUBSTITUTE(Y105,"  "," ")))</f>
        <v>Bookcases</v>
      </c>
      <c r="AA105" s="3" t="s">
        <v>799</v>
      </c>
      <c r="AB105" s="3" t="s">
        <v>48</v>
      </c>
      <c r="AC105" s="6" t="str">
        <f>PROPER(TRIM(SUBSTITUTE(AB105,"  "," ")))</f>
        <v>Same Day</v>
      </c>
      <c r="AD105" s="3">
        <v>7</v>
      </c>
      <c r="AE105" s="3">
        <v>634.29</v>
      </c>
      <c r="AF105" s="3">
        <v>0.1</v>
      </c>
      <c r="AG105" s="17">
        <v>0.1</v>
      </c>
      <c r="AH105" s="6" t="str">
        <f t="shared" si="11"/>
        <v>Valid</v>
      </c>
      <c r="AI105" s="3">
        <v>3996.03</v>
      </c>
      <c r="AJ105" s="3">
        <v>2859.51</v>
      </c>
      <c r="AK105" s="3">
        <v>1136.52</v>
      </c>
      <c r="AL105" s="3" t="s">
        <v>34</v>
      </c>
      <c r="AM105" s="6" t="str">
        <f>PROPER(TRIM(SUBSTITUTE(AL105,".","")))</f>
        <v>Paid</v>
      </c>
      <c r="AN105" s="3" t="s">
        <v>125</v>
      </c>
      <c r="AO105" s="8" t="str">
        <f>PROPER(TRIM(SUBSTITUTE(AN105,".","")))</f>
        <v>Returned</v>
      </c>
      <c r="AP105" t="str">
        <f>IF(COUNTIF($A$2:$A$933, A105) &gt; 1, "Duplicate ID", "Unique")</f>
        <v>Unique</v>
      </c>
      <c r="AR105">
        <f t="shared" si="12"/>
        <v>3996.027</v>
      </c>
      <c r="AS105">
        <f t="shared" si="13"/>
        <v>1136.5169999999998</v>
      </c>
      <c r="AT105" s="15">
        <f t="shared" si="14"/>
        <v>0.28441174196270441</v>
      </c>
      <c r="AU105" t="str">
        <f t="shared" si="15"/>
        <v>Clean</v>
      </c>
      <c r="AV105" s="8" t="str">
        <f t="shared" si="16"/>
        <v>Active</v>
      </c>
    </row>
    <row r="106" spans="1:48">
      <c r="A106" s="3" t="s">
        <v>541</v>
      </c>
      <c r="B106" s="3" t="s">
        <v>542</v>
      </c>
      <c r="C106" s="9">
        <v>45375</v>
      </c>
      <c r="D106" s="9" t="str">
        <f>IF(B106="","Missing", IF(AND(ISNUMBER(B106)=FALSE, C106=""),"Invalid - Could Not Parse", IF(AND(ISNUMBER(B106)=FALSE, C106&lt;&gt;""),"Text - Converted to Date", IF(ISNUMBER(B106),"Valid","Check"))))</f>
        <v>Text - Converted to Date</v>
      </c>
      <c r="E106" s="5">
        <f t="shared" si="9"/>
        <v>3</v>
      </c>
      <c r="F106" s="5">
        <f t="shared" si="10"/>
        <v>2024</v>
      </c>
      <c r="G106" s="3" t="s">
        <v>543</v>
      </c>
      <c r="H106" s="9">
        <f>IFERROR(DATEVALUE(TEXT(G106,"DD/MM/YYYY")), IF(ISNUMBER(G106), G106, ""))</f>
        <v>45378</v>
      </c>
      <c r="I106" s="9" t="str">
        <f>IF(G106="","Missing", IF(AND(ISNUMBER(G106)=FALSE, H106=""),"Invalid - Could Not Parse", IF(AND(ISNUMBER(G106)=FALSE, H106&lt;&gt;""),"Text - Converted to Date", IF(ISNUMBER(G106),"Valid","Check"))))</f>
        <v>Text - Converted to Date</v>
      </c>
      <c r="J106" s="9" t="str">
        <f>IF(OR(C106="", H106=""), "Cannot Check - Date Missing", IF(H106&lt;C106, "Invalid - Ship Before Order", "Valid"))</f>
        <v>Valid</v>
      </c>
      <c r="K106" s="5">
        <f>IF(OR(C106="", H106=""), "", IF(H106&lt;C106, "", H106-C106))</f>
        <v>3</v>
      </c>
      <c r="L106" s="3" t="s">
        <v>544</v>
      </c>
      <c r="M106" s="3" t="s">
        <v>180</v>
      </c>
      <c r="N106" s="4" t="str">
        <f>TRIM(SUBSTITUTE(M106,"_"," "))</f>
        <v>Rohan Mehta</v>
      </c>
      <c r="O106" s="3" t="s">
        <v>41</v>
      </c>
      <c r="P106" s="6" t="str">
        <f>PROPER(TRIM(SUBSTITUTE(O106,".","")))</f>
        <v>Small Business</v>
      </c>
      <c r="Q106" s="3" t="s">
        <v>73</v>
      </c>
      <c r="R106" s="7" t="str">
        <f>PROPER(TRIM(SUBSTITUTE(Q106,"  "," ")))</f>
        <v>West</v>
      </c>
      <c r="S106" s="3" t="s">
        <v>74</v>
      </c>
      <c r="T106" s="6" t="str">
        <f>PROPER(TRIM(SUBSTITUTE(S106,"  "," ")))</f>
        <v>Maharashtra</v>
      </c>
      <c r="U106" s="3" t="s">
        <v>75</v>
      </c>
      <c r="V106" s="6" t="str">
        <f>PROPER(TRIM(SUBSTITUTE(U106,"  "," ")))</f>
        <v>Mumbai</v>
      </c>
      <c r="W106" s="3" t="s">
        <v>45</v>
      </c>
      <c r="X106" s="6" t="str">
        <f>PROPER(TRIM(SUBSTITUTE(W106,"  "," ")))</f>
        <v>Furniture</v>
      </c>
      <c r="Y106" s="3" t="s">
        <v>204</v>
      </c>
      <c r="Z106" s="6" t="str">
        <f>PROPER(TRIM(SUBSTITUTE(Y106,"  "," ")))</f>
        <v>Bookcases</v>
      </c>
      <c r="AA106" s="3" t="s">
        <v>545</v>
      </c>
      <c r="AB106" s="3" t="s">
        <v>67</v>
      </c>
      <c r="AC106" s="6" t="str">
        <f>PROPER(TRIM(SUBSTITUTE(AB106,"  "," ")))</f>
        <v>Standard Class</v>
      </c>
      <c r="AD106" s="3">
        <v>2</v>
      </c>
      <c r="AE106" s="3">
        <v>3284.75</v>
      </c>
      <c r="AF106" s="3">
        <v>0.05</v>
      </c>
      <c r="AG106" s="17">
        <v>0.05</v>
      </c>
      <c r="AH106" s="6" t="str">
        <f t="shared" si="11"/>
        <v>Valid</v>
      </c>
      <c r="AI106" s="3">
        <v>6241.02</v>
      </c>
      <c r="AJ106" s="3">
        <v>5345.88</v>
      </c>
      <c r="AK106" s="3">
        <v>895.14</v>
      </c>
      <c r="AL106" s="3" t="s">
        <v>34</v>
      </c>
      <c r="AM106" s="6" t="str">
        <f>PROPER(TRIM(SUBSTITUTE(AL106,".","")))</f>
        <v>Paid</v>
      </c>
      <c r="AN106" s="3" t="s">
        <v>35</v>
      </c>
      <c r="AO106" s="8" t="str">
        <f>PROPER(TRIM(SUBSTITUTE(AN106,".","")))</f>
        <v>Completed</v>
      </c>
      <c r="AP106" t="str">
        <f>IF(COUNTIF($A$2:$A$933, A106) &gt; 1, "Duplicate ID", "Unique")</f>
        <v>Unique</v>
      </c>
      <c r="AR106">
        <f t="shared" si="12"/>
        <v>6241.0249999999996</v>
      </c>
      <c r="AS106">
        <f t="shared" si="13"/>
        <v>895.14499999999953</v>
      </c>
      <c r="AT106" s="15">
        <f t="shared" si="14"/>
        <v>0.14342916427990587</v>
      </c>
      <c r="AU106" t="str">
        <f t="shared" si="15"/>
        <v>Clean</v>
      </c>
      <c r="AV106" s="8" t="str">
        <f t="shared" si="16"/>
        <v>Active</v>
      </c>
    </row>
    <row r="107" spans="1:48">
      <c r="A107" s="3" t="s">
        <v>805</v>
      </c>
      <c r="B107" s="3" t="s">
        <v>542</v>
      </c>
      <c r="C107" s="9">
        <v>45375</v>
      </c>
      <c r="D107" s="9" t="str">
        <f>IF(B107="","Missing", IF(AND(ISNUMBER(B107)=FALSE, C107=""),"Invalid - Could Not Parse", IF(AND(ISNUMBER(B107)=FALSE, C107&lt;&gt;""),"Text - Converted to Date", IF(ISNUMBER(B107),"Valid","Check"))))</f>
        <v>Text - Converted to Date</v>
      </c>
      <c r="E107" s="5">
        <f t="shared" si="9"/>
        <v>3</v>
      </c>
      <c r="F107" s="5">
        <f t="shared" si="10"/>
        <v>2024</v>
      </c>
      <c r="G107" s="3" t="s">
        <v>806</v>
      </c>
      <c r="H107" s="9">
        <f>IFERROR(DATEVALUE(TEXT(G107,"DD/MM/YYYY")), IF(ISNUMBER(G107), G107, ""))</f>
        <v>45377</v>
      </c>
      <c r="I107" s="9" t="str">
        <f>IF(G107="","Missing", IF(AND(ISNUMBER(G107)=FALSE, H107=""),"Invalid - Could Not Parse", IF(AND(ISNUMBER(G107)=FALSE, H107&lt;&gt;""),"Text - Converted to Date", IF(ISNUMBER(G107),"Valid","Check"))))</f>
        <v>Text - Converted to Date</v>
      </c>
      <c r="J107" s="9" t="str">
        <f>IF(OR(C107="", H107=""), "Cannot Check - Date Missing", IF(H107&lt;C107, "Invalid - Ship Before Order", "Valid"))</f>
        <v>Valid</v>
      </c>
      <c r="K107" s="5">
        <f>IF(OR(C107="", H107=""), "", IF(H107&lt;C107, "", H107-C107))</f>
        <v>2</v>
      </c>
      <c r="L107" s="3" t="s">
        <v>807</v>
      </c>
      <c r="M107" s="3" t="s">
        <v>142</v>
      </c>
      <c r="N107" s="4" t="str">
        <f>TRIM(SUBSTITUTE(M107,"_"," "))</f>
        <v>Priya Menon</v>
      </c>
      <c r="O107" s="3" t="s">
        <v>26</v>
      </c>
      <c r="P107" s="6" t="str">
        <f>PROPER(TRIM(SUBSTITUTE(O107,".","")))</f>
        <v>Consumer</v>
      </c>
      <c r="Q107" s="3" t="s">
        <v>73</v>
      </c>
      <c r="R107" s="7" t="str">
        <f>PROPER(TRIM(SUBSTITUTE(Q107,"  "," ")))</f>
        <v>West</v>
      </c>
      <c r="S107" s="3" t="s">
        <v>235</v>
      </c>
      <c r="T107" s="6" t="str">
        <f>PROPER(TRIM(SUBSTITUTE(S107,"  "," ")))</f>
        <v>Gujarat</v>
      </c>
      <c r="U107" s="3" t="s">
        <v>236</v>
      </c>
      <c r="V107" s="6" t="str">
        <f>PROPER(TRIM(SUBSTITUTE(U107,"  "," ")))</f>
        <v>Ahmedabad</v>
      </c>
      <c r="W107" s="3" t="s">
        <v>30</v>
      </c>
      <c r="X107" s="6" t="str">
        <f>PROPER(TRIM(SUBSTITUTE(W107,"  "," ")))</f>
        <v>Office Supplies</v>
      </c>
      <c r="Y107" s="3" t="s">
        <v>31</v>
      </c>
      <c r="Z107" s="6" t="str">
        <f>PROPER(TRIM(SUBSTITUTE(Y107,"  "," ")))</f>
        <v>Paper</v>
      </c>
      <c r="AA107" s="3" t="s">
        <v>808</v>
      </c>
      <c r="AB107" s="3" t="s">
        <v>33</v>
      </c>
      <c r="AC107" s="6" t="str">
        <f>PROPER(TRIM(SUBSTITUTE(AB107,"  "," ")))</f>
        <v>Second Class</v>
      </c>
      <c r="AD107" s="3">
        <v>1</v>
      </c>
      <c r="AE107" s="3">
        <v>3409.5</v>
      </c>
      <c r="AF107" s="3">
        <v>0.1</v>
      </c>
      <c r="AG107" s="17">
        <v>0.1</v>
      </c>
      <c r="AH107" s="6" t="str">
        <f t="shared" si="11"/>
        <v>Valid</v>
      </c>
      <c r="AI107" s="3">
        <v>3068.55</v>
      </c>
      <c r="AJ107" s="3">
        <v>1916.16</v>
      </c>
      <c r="AK107" s="3">
        <v>1152.3900000000001</v>
      </c>
      <c r="AL107" s="3" t="s">
        <v>34</v>
      </c>
      <c r="AM107" s="6" t="str">
        <f>PROPER(TRIM(SUBSTITUTE(AL107,".","")))</f>
        <v>Paid</v>
      </c>
      <c r="AN107" s="3" t="s">
        <v>125</v>
      </c>
      <c r="AO107" s="8" t="str">
        <f>PROPER(TRIM(SUBSTITUTE(AN107,".","")))</f>
        <v>Returned</v>
      </c>
      <c r="AP107" t="str">
        <f>IF(COUNTIF($A$2:$A$933, A107) &gt; 1, "Duplicate ID", "Unique")</f>
        <v>Unique</v>
      </c>
      <c r="AR107">
        <f t="shared" si="12"/>
        <v>3068.55</v>
      </c>
      <c r="AS107">
        <f t="shared" si="13"/>
        <v>1152.3900000000001</v>
      </c>
      <c r="AT107" s="15">
        <f t="shared" si="14"/>
        <v>0.3755487119323459</v>
      </c>
      <c r="AU107" t="str">
        <f t="shared" si="15"/>
        <v>Clean</v>
      </c>
      <c r="AV107" s="8" t="str">
        <f t="shared" si="16"/>
        <v>Active</v>
      </c>
    </row>
    <row r="108" spans="1:48">
      <c r="A108" s="3" t="s">
        <v>2216</v>
      </c>
      <c r="B108" s="3" t="s">
        <v>2217</v>
      </c>
      <c r="C108" s="9">
        <f>IFERROR(DATEVALUE(TEXT(B108,"DD/MM/YYYY")), IF(ISNUMBER(B108), B108, ""))</f>
        <v>45375</v>
      </c>
      <c r="D108" s="9" t="str">
        <f>IF(B108="","Missing", IF(AND(ISNUMBER(B108)=FALSE, C108=""),"Invalid - Could Not Parse", IF(AND(ISNUMBER(B108)=FALSE, C108&lt;&gt;""),"Text - Converted to Date", IF(ISNUMBER(B108),"Valid","Check"))))</f>
        <v>Text - Converted to Date</v>
      </c>
      <c r="E108" s="5">
        <f t="shared" si="9"/>
        <v>3</v>
      </c>
      <c r="F108" s="5">
        <f t="shared" si="10"/>
        <v>2024</v>
      </c>
      <c r="G108" s="3" t="s">
        <v>2218</v>
      </c>
      <c r="H108" s="9">
        <f>IFERROR(DATEVALUE(TEXT(G108,"DD/MM/YYYY")), IF(ISNUMBER(G108), G108, ""))</f>
        <v>45377</v>
      </c>
      <c r="I108" s="9" t="str">
        <f>IF(G108="","Missing", IF(AND(ISNUMBER(G108)=FALSE, H108=""),"Invalid - Could Not Parse", IF(AND(ISNUMBER(G108)=FALSE, H108&lt;&gt;""),"Text - Converted to Date", IF(ISNUMBER(G108),"Valid","Check"))))</f>
        <v>Text - Converted to Date</v>
      </c>
      <c r="J108" s="9" t="str">
        <f>IF(OR(C108="", H108=""), "Cannot Check - Date Missing", IF(H108&lt;C108, "Invalid - Ship Before Order", "Valid"))</f>
        <v>Valid</v>
      </c>
      <c r="K108" s="5">
        <f>IF(OR(C108="", H108=""), "", IF(H108&lt;C108, "", H108-C108))</f>
        <v>2</v>
      </c>
      <c r="L108" s="3" t="s">
        <v>2219</v>
      </c>
      <c r="M108" s="3" t="s">
        <v>180</v>
      </c>
      <c r="N108" s="4" t="str">
        <f>TRIM(SUBSTITUTE(M108,"_"," "))</f>
        <v>Rohan Mehta</v>
      </c>
      <c r="O108" s="3" t="s">
        <v>41</v>
      </c>
      <c r="P108" s="6" t="str">
        <f>PROPER(TRIM(SUBSTITUTE(O108,".","")))</f>
        <v>Small Business</v>
      </c>
      <c r="Q108" s="3" t="s">
        <v>27</v>
      </c>
      <c r="R108" s="7" t="str">
        <f>PROPER(TRIM(SUBSTITUTE(Q108,"  "," ")))</f>
        <v>North</v>
      </c>
      <c r="S108" s="3" t="s">
        <v>323</v>
      </c>
      <c r="T108" s="6" t="str">
        <f>PROPER(TRIM(SUBSTITUTE(S108,"  "," ")))</f>
        <v>Haryana</v>
      </c>
      <c r="U108" s="3" t="s">
        <v>324</v>
      </c>
      <c r="V108" s="6" t="str">
        <f>PROPER(TRIM(SUBSTITUTE(U108,"  "," ")))</f>
        <v>Gurugram</v>
      </c>
      <c r="W108" s="3" t="s">
        <v>30</v>
      </c>
      <c r="X108" s="6" t="str">
        <f>PROPER(TRIM(SUBSTITUTE(W108,"  "," ")))</f>
        <v>Office Supplies</v>
      </c>
      <c r="Y108" s="3" t="s">
        <v>31</v>
      </c>
      <c r="Z108" s="6" t="str">
        <f>PROPER(TRIM(SUBSTITUTE(Y108,"  "," ")))</f>
        <v>Paper</v>
      </c>
      <c r="AA108" s="3" t="s">
        <v>2220</v>
      </c>
      <c r="AB108" s="3" t="s">
        <v>33</v>
      </c>
      <c r="AC108" s="6" t="str">
        <f>PROPER(TRIM(SUBSTITUTE(AB108,"  "," ")))</f>
        <v>Second Class</v>
      </c>
      <c r="AD108" s="3">
        <v>8</v>
      </c>
      <c r="AE108" s="3">
        <v>1917.64</v>
      </c>
      <c r="AF108" s="3">
        <v>0.15</v>
      </c>
      <c r="AG108" s="17">
        <v>0.15</v>
      </c>
      <c r="AH108" s="6" t="str">
        <f t="shared" si="11"/>
        <v>Valid</v>
      </c>
      <c r="AI108" s="3">
        <v>13039.95</v>
      </c>
      <c r="AJ108" s="3">
        <v>11127.82</v>
      </c>
      <c r="AK108" s="3">
        <v>1912.13</v>
      </c>
      <c r="AL108" s="3" t="s">
        <v>34</v>
      </c>
      <c r="AM108" s="6" t="str">
        <f>PROPER(TRIM(SUBSTITUTE(AL108,".","")))</f>
        <v>Paid</v>
      </c>
      <c r="AN108" s="3" t="s">
        <v>78</v>
      </c>
      <c r="AO108" s="8" t="str">
        <f>PROPER(TRIM(SUBSTITUTE(AN108,".","")))</f>
        <v>Cancelled</v>
      </c>
      <c r="AP108" t="str">
        <f>IF(COUNTIF($A$2:$A$933, A108) &gt; 1, "Duplicate ID", "Unique")</f>
        <v>Unique</v>
      </c>
      <c r="AR108">
        <f t="shared" si="12"/>
        <v>13039.952000000001</v>
      </c>
      <c r="AS108">
        <f t="shared" si="13"/>
        <v>1912.1320000000014</v>
      </c>
      <c r="AT108" s="15">
        <f t="shared" si="14"/>
        <v>0.1466364293365498</v>
      </c>
      <c r="AU108" t="str">
        <f t="shared" si="15"/>
        <v>Clean</v>
      </c>
      <c r="AV108" s="8" t="str">
        <f t="shared" si="16"/>
        <v>Cancelled</v>
      </c>
    </row>
    <row r="109" spans="1:48">
      <c r="A109" s="3" t="s">
        <v>3152</v>
      </c>
      <c r="B109" s="3" t="s">
        <v>3153</v>
      </c>
      <c r="C109" s="9">
        <f>IFERROR(DATEVALUE(TEXT(B109,"DD/MM/YYYY")), IF(ISNUMBER(B109), B109, ""))</f>
        <v>45375</v>
      </c>
      <c r="D109" s="9" t="str">
        <f>IF(B109="","Missing", IF(AND(ISNUMBER(B109)=FALSE, C109=""),"Invalid - Could Not Parse", IF(AND(ISNUMBER(B109)=FALSE, C109&lt;&gt;""),"Text - Converted to Date", IF(ISNUMBER(B109),"Valid","Check"))))</f>
        <v>Text - Converted to Date</v>
      </c>
      <c r="E109" s="5">
        <f t="shared" si="9"/>
        <v>3</v>
      </c>
      <c r="F109" s="5">
        <f t="shared" si="10"/>
        <v>2024</v>
      </c>
      <c r="G109" s="3" t="s">
        <v>3154</v>
      </c>
      <c r="H109" s="9">
        <f>IFERROR(DATEVALUE(TEXT(G109,"DD/MM/YYYY")), IF(ISNUMBER(G109), G109, ""))</f>
        <v>45383</v>
      </c>
      <c r="I109" s="9" t="str">
        <f>IF(G109="","Missing", IF(AND(ISNUMBER(G109)=FALSE, H109=""),"Invalid - Could Not Parse", IF(AND(ISNUMBER(G109)=FALSE, H109&lt;&gt;""),"Text - Converted to Date", IF(ISNUMBER(G109),"Valid","Check"))))</f>
        <v>Text - Converted to Date</v>
      </c>
      <c r="J109" s="9" t="str">
        <f>IF(OR(C109="", H109=""), "Cannot Check - Date Missing", IF(H109&lt;C109, "Invalid - Ship Before Order", "Valid"))</f>
        <v>Valid</v>
      </c>
      <c r="K109" s="5">
        <f>IF(OR(C109="", H109=""), "", IF(H109&lt;C109, "", H109-C109))</f>
        <v>8</v>
      </c>
      <c r="L109" s="3" t="s">
        <v>3155</v>
      </c>
      <c r="M109" s="3" t="s">
        <v>72</v>
      </c>
      <c r="N109" s="4" t="str">
        <f>TRIM(SUBSTITUTE(M109,"_"," "))</f>
        <v>Ananya Rao</v>
      </c>
      <c r="O109" s="3" t="s">
        <v>115</v>
      </c>
      <c r="P109" s="6" t="str">
        <f>PROPER(TRIM(SUBSTITUTE(O109,".","")))</f>
        <v>Home Office</v>
      </c>
      <c r="Q109" s="3" t="s">
        <v>73</v>
      </c>
      <c r="R109" s="7" t="str">
        <f>PROPER(TRIM(SUBSTITUTE(Q109,"  "," ")))</f>
        <v>West</v>
      </c>
      <c r="S109" s="3" t="s">
        <v>74</v>
      </c>
      <c r="T109" s="6" t="str">
        <f>PROPER(TRIM(SUBSTITUTE(S109,"  "," ")))</f>
        <v>Maharashtra</v>
      </c>
      <c r="U109" s="3" t="s">
        <v>75</v>
      </c>
      <c r="V109" s="6" t="str">
        <f>PROPER(TRIM(SUBSTITUTE(U109,"  "," ")))</f>
        <v>Mumbai</v>
      </c>
      <c r="W109" s="3" t="s">
        <v>45</v>
      </c>
      <c r="X109" s="6" t="str">
        <f>PROPER(TRIM(SUBSTITUTE(W109,"  "," ")))</f>
        <v>Furniture</v>
      </c>
      <c r="Y109" s="3" t="s">
        <v>46</v>
      </c>
      <c r="Z109" s="6" t="str">
        <f>PROPER(TRIM(SUBSTITUTE(Y109,"  "," ")))</f>
        <v>Tables</v>
      </c>
      <c r="AA109" s="3" t="s">
        <v>3156</v>
      </c>
      <c r="AB109" s="3" t="s">
        <v>33</v>
      </c>
      <c r="AC109" s="6" t="str">
        <f>PROPER(TRIM(SUBSTITUTE(AB109,"  "," ")))</f>
        <v>Second Class</v>
      </c>
      <c r="AD109" s="3">
        <v>4</v>
      </c>
      <c r="AE109" s="3">
        <v>1700.72</v>
      </c>
      <c r="AF109" s="3">
        <v>0.25</v>
      </c>
      <c r="AG109" s="17">
        <v>0.25</v>
      </c>
      <c r="AH109" s="6" t="str">
        <f t="shared" si="11"/>
        <v>Valid</v>
      </c>
      <c r="AI109" s="3">
        <v>5102.16</v>
      </c>
      <c r="AJ109" s="3">
        <v>3226.45</v>
      </c>
      <c r="AK109" s="3">
        <v>1875.71</v>
      </c>
      <c r="AL109" s="3" t="s">
        <v>34</v>
      </c>
      <c r="AM109" s="6" t="str">
        <f>PROPER(TRIM(SUBSTITUTE(AL109,".","")))</f>
        <v>Paid</v>
      </c>
      <c r="AN109" s="3" t="s">
        <v>35</v>
      </c>
      <c r="AO109" s="8" t="str">
        <f>PROPER(TRIM(SUBSTITUTE(AN109,".","")))</f>
        <v>Completed</v>
      </c>
      <c r="AP109" t="str">
        <f>IF(COUNTIF($A$2:$A$933, A109) &gt; 1, "Duplicate ID", "Unique")</f>
        <v>Unique</v>
      </c>
      <c r="AR109">
        <f t="shared" si="12"/>
        <v>5102.16</v>
      </c>
      <c r="AS109">
        <f t="shared" si="13"/>
        <v>1875.71</v>
      </c>
      <c r="AT109" s="15">
        <f t="shared" si="14"/>
        <v>0.36763057214983458</v>
      </c>
      <c r="AU109" t="str">
        <f t="shared" si="15"/>
        <v>Clean</v>
      </c>
      <c r="AV109" s="8" t="str">
        <f t="shared" si="16"/>
        <v>Active</v>
      </c>
    </row>
    <row r="110" spans="1:48">
      <c r="A110" s="3" t="s">
        <v>3491</v>
      </c>
      <c r="B110" s="3" t="s">
        <v>2217</v>
      </c>
      <c r="C110" s="9">
        <f>IFERROR(DATEVALUE(TEXT(B110,"DD/MM/YYYY")), IF(ISNUMBER(B110), B110, ""))</f>
        <v>45375</v>
      </c>
      <c r="D110" s="9" t="str">
        <f>IF(B110="","Missing", IF(AND(ISNUMBER(B110)=FALSE, C110=""),"Invalid - Could Not Parse", IF(AND(ISNUMBER(B110)=FALSE, C110&lt;&gt;""),"Text - Converted to Date", IF(ISNUMBER(B110),"Valid","Check"))))</f>
        <v>Text - Converted to Date</v>
      </c>
      <c r="E110" s="5">
        <f t="shared" si="9"/>
        <v>3</v>
      </c>
      <c r="F110" s="5">
        <f t="shared" si="10"/>
        <v>2024</v>
      </c>
      <c r="G110" s="3" t="s">
        <v>3162</v>
      </c>
      <c r="H110" s="9">
        <f>IFERROR(DATEVALUE(TEXT(G110,"DD/MM/YYYY")), IF(ISNUMBER(G110), G110, ""))</f>
        <v>45378</v>
      </c>
      <c r="I110" s="9" t="str">
        <f>IF(G110="","Missing", IF(AND(ISNUMBER(G110)=FALSE, H110=""),"Invalid - Could Not Parse", IF(AND(ISNUMBER(G110)=FALSE, H110&lt;&gt;""),"Text - Converted to Date", IF(ISNUMBER(G110),"Valid","Check"))))</f>
        <v>Text - Converted to Date</v>
      </c>
      <c r="J110" s="9" t="str">
        <f>IF(OR(C110="", H110=""), "Cannot Check - Date Missing", IF(H110&lt;C110, "Invalid - Ship Before Order", "Valid"))</f>
        <v>Valid</v>
      </c>
      <c r="K110" s="5">
        <f>IF(OR(C110="", H110=""), "", IF(H110&lt;C110, "", H110-C110))</f>
        <v>3</v>
      </c>
      <c r="L110" s="3" t="s">
        <v>3492</v>
      </c>
      <c r="M110" s="3" t="s">
        <v>107</v>
      </c>
      <c r="N110" s="4" t="str">
        <f>TRIM(SUBSTITUTE(M110,"_"," "))</f>
        <v>Aditi Sen</v>
      </c>
      <c r="O110" s="3" t="s">
        <v>108</v>
      </c>
      <c r="P110" s="6" t="str">
        <f>PROPER(TRIM(SUBSTITUTE(O110,".","")))</f>
        <v>Corporate</v>
      </c>
      <c r="Q110" s="3" t="s">
        <v>73</v>
      </c>
      <c r="R110" s="7" t="str">
        <f>PROPER(TRIM(SUBSTITUTE(Q110,"  "," ")))</f>
        <v>West</v>
      </c>
      <c r="S110" s="3" t="s">
        <v>235</v>
      </c>
      <c r="T110" s="6" t="str">
        <f>PROPER(TRIM(SUBSTITUTE(S110,"  "," ")))</f>
        <v>Gujarat</v>
      </c>
      <c r="U110" s="3" t="s">
        <v>236</v>
      </c>
      <c r="V110" s="6" t="str">
        <f>PROPER(TRIM(SUBSTITUTE(U110,"  "," ")))</f>
        <v>Ahmedabad</v>
      </c>
      <c r="W110" s="3" t="s">
        <v>30</v>
      </c>
      <c r="X110" s="6" t="str">
        <f>PROPER(TRIM(SUBSTITUTE(W110,"  "," ")))</f>
        <v>Office Supplies</v>
      </c>
      <c r="Y110" s="3" t="s">
        <v>156</v>
      </c>
      <c r="Z110" s="6" t="str">
        <f>PROPER(TRIM(SUBSTITUTE(Y110,"  "," ")))</f>
        <v>Storage</v>
      </c>
      <c r="AA110" s="3" t="s">
        <v>3493</v>
      </c>
      <c r="AB110" s="3" t="s">
        <v>56</v>
      </c>
      <c r="AC110" s="6" t="str">
        <f>PROPER(TRIM(SUBSTITUTE(AB110,"  "," ")))</f>
        <v>First Class</v>
      </c>
      <c r="AD110" s="3">
        <v>5</v>
      </c>
      <c r="AE110" s="3">
        <v>2465.2199999999998</v>
      </c>
      <c r="AF110" s="3">
        <v>0.05</v>
      </c>
      <c r="AG110" s="17">
        <v>0.05</v>
      </c>
      <c r="AH110" s="6" t="str">
        <f t="shared" si="11"/>
        <v>Valid</v>
      </c>
      <c r="AI110" s="3">
        <v>11709.79</v>
      </c>
      <c r="AJ110" s="3">
        <v>8372.2900000000009</v>
      </c>
      <c r="AK110" s="3">
        <v>3337.5</v>
      </c>
      <c r="AL110" s="3" t="s">
        <v>34</v>
      </c>
      <c r="AM110" s="6" t="str">
        <f>PROPER(TRIM(SUBSTITUTE(AL110,".","")))</f>
        <v>Paid</v>
      </c>
      <c r="AN110" s="3" t="s">
        <v>35</v>
      </c>
      <c r="AO110" s="8" t="str">
        <f>PROPER(TRIM(SUBSTITUTE(AN110,".","")))</f>
        <v>Completed</v>
      </c>
      <c r="AP110" t="str">
        <f>IF(COUNTIF($A$2:$A$933, A110) &gt; 1, "Duplicate ID", "Unique")</f>
        <v>Unique</v>
      </c>
      <c r="AR110">
        <f t="shared" si="12"/>
        <v>11709.794999999998</v>
      </c>
      <c r="AS110">
        <f t="shared" si="13"/>
        <v>3337.5049999999974</v>
      </c>
      <c r="AT110" s="15">
        <f t="shared" si="14"/>
        <v>0.28501822619439521</v>
      </c>
      <c r="AU110" t="str">
        <f t="shared" si="15"/>
        <v>Clean</v>
      </c>
      <c r="AV110" s="8" t="str">
        <f t="shared" si="16"/>
        <v>Active</v>
      </c>
    </row>
    <row r="111" spans="1:48">
      <c r="A111" s="3" t="s">
        <v>3225</v>
      </c>
      <c r="B111" s="3" t="s">
        <v>3226</v>
      </c>
      <c r="C111" s="9">
        <f>IFERROR(DATEVALUE(TEXT(B111,"DD/MM/YYYY")), IF(ISNUMBER(B111), B111, ""))</f>
        <v>45376</v>
      </c>
      <c r="D111" s="9" t="str">
        <f>IF(B111="","Missing", IF(AND(ISNUMBER(B111)=FALSE, C111=""),"Invalid - Could Not Parse", IF(AND(ISNUMBER(B111)=FALSE, C111&lt;&gt;""),"Text - Converted to Date", IF(ISNUMBER(B111),"Valid","Check"))))</f>
        <v>Text - Converted to Date</v>
      </c>
      <c r="E111" s="5">
        <f t="shared" si="9"/>
        <v>3</v>
      </c>
      <c r="F111" s="5">
        <f t="shared" si="10"/>
        <v>2024</v>
      </c>
      <c r="G111" s="3" t="s">
        <v>2170</v>
      </c>
      <c r="H111" s="9">
        <f>IFERROR(DATEVALUE(TEXT(G111,"DD/MM/YYYY")), IF(ISNUMBER(G111), G111, ""))</f>
        <v>45326</v>
      </c>
      <c r="I111" s="9" t="str">
        <f>IF(G111="","Missing", IF(AND(ISNUMBER(G111)=FALSE, H111=""),"Invalid - Could Not Parse", IF(AND(ISNUMBER(G111)=FALSE, H111&lt;&gt;""),"Text - Converted to Date", IF(ISNUMBER(G111),"Valid","Check"))))</f>
        <v>Text - Converted to Date</v>
      </c>
      <c r="J111" s="9" t="str">
        <f>IF(OR(C111="", H111=""), "Cannot Check - Date Missing", IF(H111&lt;C111, "Invalid - Ship Before Order", "Valid"))</f>
        <v>Invalid - Ship Before Order</v>
      </c>
      <c r="K111" s="5" t="str">
        <f>IF(OR(C111="", H111=""), "", IF(H111&lt;C111, "", H111-C111))</f>
        <v/>
      </c>
      <c r="L111" s="3" t="s">
        <v>3227</v>
      </c>
      <c r="M111" s="3" t="s">
        <v>168</v>
      </c>
      <c r="N111" s="4" t="str">
        <f>TRIM(SUBSTITUTE(M111,"_"," "))</f>
        <v>Sneha Kapoor</v>
      </c>
      <c r="O111" s="3" t="s">
        <v>115</v>
      </c>
      <c r="P111" s="6" t="str">
        <f>PROPER(TRIM(SUBSTITUTE(O111,".","")))</f>
        <v>Home Office</v>
      </c>
      <c r="Q111" s="3" t="s">
        <v>62</v>
      </c>
      <c r="R111" s="7" t="str">
        <f>PROPER(TRIM(SUBSTITUTE(Q111,"  "," ")))</f>
        <v>South</v>
      </c>
      <c r="S111" s="3" t="s">
        <v>339</v>
      </c>
      <c r="T111" s="6" t="str">
        <f>PROPER(TRIM(SUBSTITUTE(S111,"  "," ")))</f>
        <v>Tamil Nadu</v>
      </c>
      <c r="U111" s="3" t="s">
        <v>340</v>
      </c>
      <c r="V111" s="6" t="str">
        <f>PROPER(TRIM(SUBSTITUTE(U111,"  "," ")))</f>
        <v>Chennai</v>
      </c>
      <c r="W111" s="3" t="s">
        <v>86</v>
      </c>
      <c r="X111" s="6" t="str">
        <f>PROPER(TRIM(SUBSTITUTE(W111,"  "," ")))</f>
        <v>Technology</v>
      </c>
      <c r="Y111" s="3" t="s">
        <v>94</v>
      </c>
      <c r="Z111" s="6" t="str">
        <f>PROPER(TRIM(SUBSTITUTE(Y111,"  "," ")))</f>
        <v>Copiers</v>
      </c>
      <c r="AA111" s="3" t="s">
        <v>3228</v>
      </c>
      <c r="AB111" s="3" t="s">
        <v>67</v>
      </c>
      <c r="AC111" s="6" t="str">
        <f>PROPER(TRIM(SUBSTITUTE(AB111,"  "," ")))</f>
        <v>Standard Class</v>
      </c>
      <c r="AD111" s="3">
        <v>2</v>
      </c>
      <c r="AE111" s="3">
        <v>2349.13</v>
      </c>
      <c r="AF111" s="3">
        <v>0</v>
      </c>
      <c r="AG111" s="17">
        <v>0</v>
      </c>
      <c r="AH111" s="6" t="str">
        <f t="shared" si="11"/>
        <v>Valid</v>
      </c>
      <c r="AI111" s="3">
        <v>4698.26</v>
      </c>
      <c r="AJ111" s="3">
        <v>2654.92</v>
      </c>
      <c r="AK111" s="3">
        <v>2043.34</v>
      </c>
      <c r="AL111" s="3" t="s">
        <v>34</v>
      </c>
      <c r="AM111" s="6" t="str">
        <f>PROPER(TRIM(SUBSTITUTE(AL111,".","")))</f>
        <v>Paid</v>
      </c>
      <c r="AN111" s="3" t="s">
        <v>35</v>
      </c>
      <c r="AO111" s="8" t="str">
        <f>PROPER(TRIM(SUBSTITUTE(AN111,".","")))</f>
        <v>Completed</v>
      </c>
      <c r="AP111" t="str">
        <f>IF(COUNTIF($A$2:$A$933, A111) &gt; 1, "Duplicate ID", "Unique")</f>
        <v>Unique</v>
      </c>
      <c r="AR111">
        <f t="shared" si="12"/>
        <v>4698.26</v>
      </c>
      <c r="AS111">
        <f t="shared" si="13"/>
        <v>2043.3400000000001</v>
      </c>
      <c r="AT111" s="15">
        <f t="shared" si="14"/>
        <v>0.43491420227914163</v>
      </c>
      <c r="AU111" t="str">
        <f t="shared" si="15"/>
        <v>Invalid</v>
      </c>
      <c r="AV111" s="8" t="str">
        <f t="shared" si="16"/>
        <v>Active</v>
      </c>
    </row>
    <row r="112" spans="1:48">
      <c r="A112" s="3" t="s">
        <v>3897</v>
      </c>
      <c r="B112" s="3" t="s">
        <v>806</v>
      </c>
      <c r="C112" s="9">
        <f>IFERROR(DATEVALUE(TEXT(B112,"DD/MM/YYYY")), IF(ISNUMBER(B112), B112, ""))</f>
        <v>45377</v>
      </c>
      <c r="D112" s="9" t="str">
        <f>IF(B112="","Missing", IF(AND(ISNUMBER(B112)=FALSE, C112=""),"Invalid - Could Not Parse", IF(AND(ISNUMBER(B112)=FALSE, C112&lt;&gt;""),"Text - Converted to Date", IF(ISNUMBER(B112),"Valid","Check"))))</f>
        <v>Text - Converted to Date</v>
      </c>
      <c r="E112" s="5">
        <f t="shared" si="9"/>
        <v>3</v>
      </c>
      <c r="F112" s="5">
        <f t="shared" si="10"/>
        <v>2024</v>
      </c>
      <c r="G112" s="3" t="s">
        <v>3154</v>
      </c>
      <c r="H112" s="9">
        <f>IFERROR(DATEVALUE(TEXT(G112,"DD/MM/YYYY")), IF(ISNUMBER(G112), G112, ""))</f>
        <v>45383</v>
      </c>
      <c r="I112" s="9" t="str">
        <f>IF(G112="","Missing", IF(AND(ISNUMBER(G112)=FALSE, H112=""),"Invalid - Could Not Parse", IF(AND(ISNUMBER(G112)=FALSE, H112&lt;&gt;""),"Text - Converted to Date", IF(ISNUMBER(G112),"Valid","Check"))))</f>
        <v>Text - Converted to Date</v>
      </c>
      <c r="J112" s="9" t="str">
        <f>IF(OR(C112="", H112=""), "Cannot Check - Date Missing", IF(H112&lt;C112, "Invalid - Ship Before Order", "Valid"))</f>
        <v>Valid</v>
      </c>
      <c r="K112" s="5">
        <f>IF(OR(C112="", H112=""), "", IF(H112&lt;C112, "", H112-C112))</f>
        <v>6</v>
      </c>
      <c r="L112" s="3" t="s">
        <v>3898</v>
      </c>
      <c r="M112" s="3" t="s">
        <v>25</v>
      </c>
      <c r="N112" s="4" t="str">
        <f>TRIM(SUBSTITUTE(M112,"_"," "))</f>
        <v>Karan Malhotra</v>
      </c>
      <c r="O112" s="3" t="s">
        <v>41</v>
      </c>
      <c r="P112" s="6" t="str">
        <f>PROPER(TRIM(SUBSTITUTE(O112,".","")))</f>
        <v>Small Business</v>
      </c>
      <c r="Q112" s="3" t="s">
        <v>73</v>
      </c>
      <c r="R112" s="7" t="str">
        <f>PROPER(TRIM(SUBSTITUTE(Q112,"  "," ")))</f>
        <v>West</v>
      </c>
      <c r="S112" s="3" t="s">
        <v>235</v>
      </c>
      <c r="T112" s="6" t="str">
        <f>PROPER(TRIM(SUBSTITUTE(S112,"  "," ")))</f>
        <v>Gujarat</v>
      </c>
      <c r="U112" s="3" t="s">
        <v>236</v>
      </c>
      <c r="V112" s="6" t="str">
        <f>PROPER(TRIM(SUBSTITUTE(U112,"  "," ")))</f>
        <v>Ahmedabad</v>
      </c>
      <c r="W112" s="3" t="s">
        <v>86</v>
      </c>
      <c r="X112" s="6" t="str">
        <f>PROPER(TRIM(SUBSTITUTE(W112,"  "," ")))</f>
        <v>Technology</v>
      </c>
      <c r="Y112" s="3" t="s">
        <v>87</v>
      </c>
      <c r="Z112" s="6" t="str">
        <f>PROPER(TRIM(SUBSTITUTE(Y112,"  "," ")))</f>
        <v>Accessories</v>
      </c>
      <c r="AA112" s="3" t="s">
        <v>3899</v>
      </c>
      <c r="AB112" s="3" t="s">
        <v>56</v>
      </c>
      <c r="AC112" s="6" t="str">
        <f>PROPER(TRIM(SUBSTITUTE(AB112,"  "," ")))</f>
        <v>First Class</v>
      </c>
      <c r="AD112" s="3">
        <v>2</v>
      </c>
      <c r="AE112" s="3">
        <v>1161.3</v>
      </c>
      <c r="AF112" s="3">
        <v>0.2</v>
      </c>
      <c r="AG112" s="17">
        <v>0.2</v>
      </c>
      <c r="AH112" s="6" t="str">
        <f t="shared" si="11"/>
        <v>Valid</v>
      </c>
      <c r="AI112" s="3">
        <v>1858.08</v>
      </c>
      <c r="AJ112" s="3">
        <v>1590.75</v>
      </c>
      <c r="AK112" s="3">
        <v>267.33</v>
      </c>
      <c r="AL112" s="3" t="s">
        <v>34</v>
      </c>
      <c r="AM112" s="6" t="str">
        <f>PROPER(TRIM(SUBSTITUTE(AL112,".","")))</f>
        <v>Paid</v>
      </c>
      <c r="AN112" s="3" t="s">
        <v>35</v>
      </c>
      <c r="AO112" s="8" t="str">
        <f>PROPER(TRIM(SUBSTITUTE(AN112,".","")))</f>
        <v>Completed</v>
      </c>
      <c r="AP112" t="str">
        <f>IF(COUNTIF($A$2:$A$933, A112) &gt; 1, "Duplicate ID", "Unique")</f>
        <v>Unique</v>
      </c>
      <c r="AR112">
        <f t="shared" si="12"/>
        <v>1858.08</v>
      </c>
      <c r="AS112">
        <f t="shared" si="13"/>
        <v>267.32999999999993</v>
      </c>
      <c r="AT112" s="15">
        <f t="shared" si="14"/>
        <v>0.14387432188065097</v>
      </c>
      <c r="AU112" t="str">
        <f t="shared" si="15"/>
        <v>Clean</v>
      </c>
      <c r="AV112" s="8" t="str">
        <f t="shared" si="16"/>
        <v>Active</v>
      </c>
    </row>
    <row r="113" spans="1:48">
      <c r="A113" s="3" t="s">
        <v>1088</v>
      </c>
      <c r="B113" s="3" t="s">
        <v>1089</v>
      </c>
      <c r="C113" s="9">
        <f>IFERROR(DATEVALUE(TEXT(B113,"DD/MM/YYYY")), IF(ISNUMBER(B113), B113, ""))</f>
        <v>45379</v>
      </c>
      <c r="D113" s="9" t="str">
        <f>IF(B113="","Missing", IF(AND(ISNUMBER(B113)=FALSE, C113=""),"Invalid - Could Not Parse", IF(AND(ISNUMBER(B113)=FALSE, C113&lt;&gt;""),"Text - Converted to Date", IF(ISNUMBER(B113),"Valid","Check"))))</f>
        <v>Text - Converted to Date</v>
      </c>
      <c r="E113" s="5">
        <f t="shared" si="9"/>
        <v>3</v>
      </c>
      <c r="F113" s="5">
        <f t="shared" si="10"/>
        <v>2024</v>
      </c>
      <c r="G113" s="3" t="s">
        <v>1090</v>
      </c>
      <c r="H113" s="9">
        <f>IFERROR(DATEVALUE(TEXT(G113,"DD/MM/YYYY")), IF(ISNUMBER(G113), G113, ""))</f>
        <v>45381</v>
      </c>
      <c r="I113" s="9" t="str">
        <f>IF(G113="","Missing", IF(AND(ISNUMBER(G113)=FALSE, H113=""),"Invalid - Could Not Parse", IF(AND(ISNUMBER(G113)=FALSE, H113&lt;&gt;""),"Text - Converted to Date", IF(ISNUMBER(G113),"Valid","Check"))))</f>
        <v>Text - Converted to Date</v>
      </c>
      <c r="J113" s="9" t="str">
        <f>IF(OR(C113="", H113=""), "Cannot Check - Date Missing", IF(H113&lt;C113, "Invalid - Ship Before Order", "Valid"))</f>
        <v>Valid</v>
      </c>
      <c r="K113" s="5">
        <f>IF(OR(C113="", H113=""), "", IF(H113&lt;C113, "", H113-C113))</f>
        <v>2</v>
      </c>
      <c r="L113" s="3" t="s">
        <v>1091</v>
      </c>
      <c r="M113" s="3" t="s">
        <v>168</v>
      </c>
      <c r="N113" s="4" t="str">
        <f>TRIM(SUBSTITUTE(M113,"_"," "))</f>
        <v>Sneha Kapoor</v>
      </c>
      <c r="O113" s="3" t="s">
        <v>108</v>
      </c>
      <c r="P113" s="6" t="str">
        <f>PROPER(TRIM(SUBSTITUTE(O113,".","")))</f>
        <v>Corporate</v>
      </c>
      <c r="Q113" s="3" t="s">
        <v>73</v>
      </c>
      <c r="R113" s="7" t="str">
        <f>PROPER(TRIM(SUBSTITUTE(Q113,"  "," ")))</f>
        <v>West</v>
      </c>
      <c r="S113" s="3" t="s">
        <v>28</v>
      </c>
      <c r="T113" s="6" t="str">
        <f>PROPER(TRIM(SUBSTITUTE(S113,"  "," ")))</f>
        <v>Rajasthan</v>
      </c>
      <c r="U113" s="3" t="s">
        <v>135</v>
      </c>
      <c r="V113" s="6" t="str">
        <f>PROPER(TRIM(SUBSTITUTE(U113,"  "," ")))</f>
        <v>Udaipur</v>
      </c>
      <c r="W113" s="3" t="s">
        <v>86</v>
      </c>
      <c r="X113" s="6" t="str">
        <f>PROPER(TRIM(SUBSTITUTE(W113,"  "," ")))</f>
        <v>Technology</v>
      </c>
      <c r="Y113" s="3" t="s">
        <v>87</v>
      </c>
      <c r="Z113" s="6" t="str">
        <f>PROPER(TRIM(SUBSTITUTE(Y113,"  "," ")))</f>
        <v>Accessories</v>
      </c>
      <c r="AA113" s="3" t="s">
        <v>1092</v>
      </c>
      <c r="AB113" s="3" t="s">
        <v>33</v>
      </c>
      <c r="AC113" s="6" t="str">
        <f>PROPER(TRIM(SUBSTITUTE(AB113,"  "," ")))</f>
        <v>Second Class</v>
      </c>
      <c r="AD113" s="3">
        <v>1</v>
      </c>
      <c r="AE113" s="3">
        <v>570.34</v>
      </c>
      <c r="AF113" s="3">
        <v>0.15</v>
      </c>
      <c r="AG113" s="17">
        <v>0.15</v>
      </c>
      <c r="AH113" s="6" t="str">
        <f t="shared" si="11"/>
        <v>Valid</v>
      </c>
      <c r="AI113" s="3">
        <v>484.79</v>
      </c>
      <c r="AJ113" s="3">
        <v>333.54</v>
      </c>
      <c r="AK113" s="3">
        <v>151.25</v>
      </c>
      <c r="AL113" s="3" t="s">
        <v>34</v>
      </c>
      <c r="AM113" s="6" t="str">
        <f>PROPER(TRIM(SUBSTITUTE(AL113,".","")))</f>
        <v>Paid</v>
      </c>
      <c r="AN113" s="3" t="s">
        <v>35</v>
      </c>
      <c r="AO113" s="8" t="str">
        <f>PROPER(TRIM(SUBSTITUTE(AN113,".","")))</f>
        <v>Completed</v>
      </c>
      <c r="AP113" t="str">
        <f>IF(COUNTIF($A$2:$A$933, A113) &gt; 1, "Duplicate ID", "Unique")</f>
        <v>Unique</v>
      </c>
      <c r="AR113">
        <f t="shared" si="12"/>
        <v>484.78899999999999</v>
      </c>
      <c r="AS113">
        <f t="shared" si="13"/>
        <v>151.24899999999997</v>
      </c>
      <c r="AT113" s="15">
        <f t="shared" si="14"/>
        <v>0.3119893396921134</v>
      </c>
      <c r="AU113" t="str">
        <f t="shared" si="15"/>
        <v>Clean</v>
      </c>
      <c r="AV113" s="8" t="str">
        <f t="shared" si="16"/>
        <v>Active</v>
      </c>
    </row>
    <row r="114" spans="1:48">
      <c r="A114" s="3" t="s">
        <v>1443</v>
      </c>
      <c r="B114" s="3" t="s">
        <v>1444</v>
      </c>
      <c r="C114" s="9">
        <f>IFERROR(DATEVALUE(MID(B114,4,2) &amp; "/" &amp; LEFT(B114,2) &amp; "/" &amp; RIGHT(B114,4)), IF(ISNUMBER(B114), B114, IFERROR(DATEVALUE(B114), "")))</f>
        <v>45649</v>
      </c>
      <c r="D114" s="9" t="str">
        <f>IF(B114="","Missing", IF(AND(ISNUMBER(B114)=FALSE, C114=""),"Invalid - Could Not Parse", IF(AND(ISNUMBER(B114)=FALSE, C114&lt;&gt;""),"Text - Converted to Date", IF(ISNUMBER(B114),"Valid","Check"))))</f>
        <v>Text - Converted to Date</v>
      </c>
      <c r="E114" s="5">
        <f t="shared" si="9"/>
        <v>12</v>
      </c>
      <c r="F114" s="5">
        <f t="shared" si="10"/>
        <v>2024</v>
      </c>
      <c r="G114" s="3" t="s">
        <v>1445</v>
      </c>
      <c r="H114" s="9">
        <f>IFERROR(DATEVALUE(TEXT(G114,"DD/MM/YYYY")), IF(ISNUMBER(G114), G114, ""))</f>
        <v>45652</v>
      </c>
      <c r="I114" s="9" t="str">
        <f>IF(G114="","Missing", IF(AND(ISNUMBER(G114)=FALSE, H114=""),"Invalid - Could Not Parse", IF(AND(ISNUMBER(G114)=FALSE, H114&lt;&gt;""),"Text - Converted to Date", IF(ISNUMBER(G114),"Valid","Check"))))</f>
        <v>Text - Converted to Date</v>
      </c>
      <c r="J114" s="9" t="str">
        <f>IF(OR(C114="", H114=""), "Cannot Check - Date Missing", IF(H114&lt;C114, "Invalid - Ship Before Order", "Valid"))</f>
        <v>Valid</v>
      </c>
      <c r="K114" s="5">
        <f>IF(OR(C114="", H114=""), "", IF(H114&lt;C114, "", H114-C114))</f>
        <v>3</v>
      </c>
      <c r="L114" s="3" t="s">
        <v>1446</v>
      </c>
      <c r="M114" s="3" t="s">
        <v>107</v>
      </c>
      <c r="N114" s="4" t="str">
        <f>TRIM(SUBSTITUTE(M114,"_"," "))</f>
        <v>Aditi Sen</v>
      </c>
      <c r="O114" s="3" t="s">
        <v>26</v>
      </c>
      <c r="P114" s="6" t="str">
        <f>PROPER(TRIM(SUBSTITUTE(O114,".","")))</f>
        <v>Consumer</v>
      </c>
      <c r="Q114" s="3" t="s">
        <v>62</v>
      </c>
      <c r="R114" s="7" t="str">
        <f>PROPER(TRIM(SUBSTITUTE(Q114,"  "," ")))</f>
        <v>South</v>
      </c>
      <c r="S114" s="3" t="s">
        <v>229</v>
      </c>
      <c r="T114" s="6" t="str">
        <f>PROPER(TRIM(SUBSTITUTE(S114,"  "," ")))</f>
        <v>Karnataka</v>
      </c>
      <c r="U114" s="3" t="s">
        <v>230</v>
      </c>
      <c r="V114" s="6" t="str">
        <f>PROPER(TRIM(SUBSTITUTE(U114,"  "," ")))</f>
        <v>Bengaluru</v>
      </c>
      <c r="W114" s="3" t="s">
        <v>86</v>
      </c>
      <c r="X114" s="6" t="str">
        <f>PROPER(TRIM(SUBSTITUTE(W114,"  "," ")))</f>
        <v>Technology</v>
      </c>
      <c r="Y114" s="3" t="s">
        <v>94</v>
      </c>
      <c r="Z114" s="6" t="str">
        <f>PROPER(TRIM(SUBSTITUTE(Y114,"  "," ")))</f>
        <v>Copiers</v>
      </c>
      <c r="AA114" s="3" t="s">
        <v>1447</v>
      </c>
      <c r="AB114" s="3" t="s">
        <v>67</v>
      </c>
      <c r="AC114" s="6" t="str">
        <f>PROPER(TRIM(SUBSTITUTE(AB114,"  "," ")))</f>
        <v>Standard Class</v>
      </c>
      <c r="AD114" s="3">
        <v>9</v>
      </c>
      <c r="AE114" s="3">
        <v>993.67</v>
      </c>
      <c r="AF114" s="3">
        <v>0</v>
      </c>
      <c r="AG114" s="17">
        <v>0</v>
      </c>
      <c r="AH114" s="6" t="str">
        <f t="shared" si="11"/>
        <v>Valid</v>
      </c>
      <c r="AI114" s="3">
        <v>8943.0300000000007</v>
      </c>
      <c r="AJ114" s="3">
        <v>5165.38</v>
      </c>
      <c r="AK114" s="3">
        <v>3777.65</v>
      </c>
      <c r="AL114" s="3" t="s">
        <v>34</v>
      </c>
      <c r="AM114" s="6" t="str">
        <f>PROPER(TRIM(SUBSTITUTE(AL114,".","")))</f>
        <v>Paid</v>
      </c>
      <c r="AN114" s="3" t="s">
        <v>35</v>
      </c>
      <c r="AO114" s="8" t="str">
        <f>PROPER(TRIM(SUBSTITUTE(AN114,".","")))</f>
        <v>Completed</v>
      </c>
      <c r="AP114" t="str">
        <f>IF(COUNTIF($A$2:$A$933, A114) &gt; 1, "Duplicate ID", "Unique")</f>
        <v>Unique</v>
      </c>
      <c r="AR114">
        <f t="shared" si="12"/>
        <v>8943.0299999999988</v>
      </c>
      <c r="AS114">
        <f t="shared" si="13"/>
        <v>3777.6499999999987</v>
      </c>
      <c r="AT114" s="15">
        <f t="shared" si="14"/>
        <v>0.42241276167026154</v>
      </c>
      <c r="AU114" t="str">
        <f t="shared" si="15"/>
        <v>Clean</v>
      </c>
      <c r="AV114" s="8" t="str">
        <f t="shared" si="16"/>
        <v>Active</v>
      </c>
    </row>
    <row r="115" spans="1:48">
      <c r="A115" s="3" t="s">
        <v>2468</v>
      </c>
      <c r="B115" s="3" t="s">
        <v>2469</v>
      </c>
      <c r="C115" s="9">
        <f>IFERROR(DATEVALUE(TEXT(B115,"DD/MM/YYYY")), IF(ISNUMBER(B115), B115, ""))</f>
        <v>45382</v>
      </c>
      <c r="D115" s="9" t="str">
        <f>IF(B115="","Missing", IF(AND(ISNUMBER(B115)=FALSE, C115=""),"Invalid - Could Not Parse", IF(AND(ISNUMBER(B115)=FALSE, C115&lt;&gt;""),"Text - Converted to Date", IF(ISNUMBER(B115),"Valid","Check"))))</f>
        <v>Text - Converted to Date</v>
      </c>
      <c r="E115" s="5">
        <f t="shared" si="9"/>
        <v>3</v>
      </c>
      <c r="F115" s="5">
        <f t="shared" si="10"/>
        <v>2024</v>
      </c>
      <c r="G115" s="3" t="s">
        <v>1419</v>
      </c>
      <c r="H115" s="9">
        <f>IFERROR(DATEVALUE(TEXT(G115,"DD/MM/YYYY")), IF(ISNUMBER(G115), G115, ""))</f>
        <v>45389</v>
      </c>
      <c r="I115" s="9" t="str">
        <f>IF(G115="","Missing", IF(AND(ISNUMBER(G115)=FALSE, H115=""),"Invalid - Could Not Parse", IF(AND(ISNUMBER(G115)=FALSE, H115&lt;&gt;""),"Text - Converted to Date", IF(ISNUMBER(G115),"Valid","Check"))))</f>
        <v>Text - Converted to Date</v>
      </c>
      <c r="J115" s="9" t="str">
        <f>IF(OR(C115="", H115=""), "Cannot Check - Date Missing", IF(H115&lt;C115, "Invalid - Ship Before Order", "Valid"))</f>
        <v>Valid</v>
      </c>
      <c r="K115" s="5">
        <f>IF(OR(C115="", H115=""), "", IF(H115&lt;C115, "", H115-C115))</f>
        <v>7</v>
      </c>
      <c r="L115" s="3" t="s">
        <v>2470</v>
      </c>
      <c r="M115" s="3" t="s">
        <v>53</v>
      </c>
      <c r="N115" s="4" t="str">
        <f>TRIM(SUBSTITUTE(M115,"_"," "))</f>
        <v>Isha Nair</v>
      </c>
      <c r="O115" s="3" t="s">
        <v>41</v>
      </c>
      <c r="P115" s="6" t="str">
        <f>PROPER(TRIM(SUBSTITUTE(O115,".","")))</f>
        <v>Small Business</v>
      </c>
      <c r="Q115" s="3" t="s">
        <v>27</v>
      </c>
      <c r="R115" s="7" t="str">
        <f>PROPER(TRIM(SUBSTITUTE(Q115,"  "," ")))</f>
        <v>North</v>
      </c>
      <c r="S115" s="3" t="s">
        <v>323</v>
      </c>
      <c r="T115" s="6" t="str">
        <f>PROPER(TRIM(SUBSTITUTE(S115,"  "," ")))</f>
        <v>Haryana</v>
      </c>
      <c r="U115" s="3" t="s">
        <v>324</v>
      </c>
      <c r="V115" s="6" t="str">
        <f>PROPER(TRIM(SUBSTITUTE(U115,"  "," ")))</f>
        <v>Gurugram</v>
      </c>
      <c r="W115" s="3" t="s">
        <v>86</v>
      </c>
      <c r="X115" s="6" t="str">
        <f>PROPER(TRIM(SUBSTITUTE(W115,"  "," ")))</f>
        <v>Technology</v>
      </c>
      <c r="Y115" s="3" t="s">
        <v>382</v>
      </c>
      <c r="Z115" s="6" t="str">
        <f>PROPER(TRIM(SUBSTITUTE(Y115,"  "," ")))</f>
        <v>Machines</v>
      </c>
      <c r="AA115" s="3" t="s">
        <v>2471</v>
      </c>
      <c r="AB115" s="3" t="s">
        <v>33</v>
      </c>
      <c r="AC115" s="6" t="str">
        <f>PROPER(TRIM(SUBSTITUTE(AB115,"  "," ")))</f>
        <v>Second Class</v>
      </c>
      <c r="AD115" s="3">
        <v>4</v>
      </c>
      <c r="AE115" s="3">
        <v>1831</v>
      </c>
      <c r="AF115" s="3">
        <v>0</v>
      </c>
      <c r="AG115" s="17">
        <v>0</v>
      </c>
      <c r="AH115" s="6" t="str">
        <f t="shared" si="11"/>
        <v>Valid</v>
      </c>
      <c r="AI115" s="3">
        <v>7324</v>
      </c>
      <c r="AJ115" s="3">
        <v>4179.63</v>
      </c>
      <c r="AK115" s="3">
        <v>3144.37</v>
      </c>
      <c r="AL115" s="3" t="s">
        <v>34</v>
      </c>
      <c r="AM115" s="6" t="str">
        <f>PROPER(TRIM(SUBSTITUTE(AL115,".","")))</f>
        <v>Paid</v>
      </c>
      <c r="AN115" s="3" t="s">
        <v>35</v>
      </c>
      <c r="AO115" s="8" t="str">
        <f>PROPER(TRIM(SUBSTITUTE(AN115,".","")))</f>
        <v>Completed</v>
      </c>
      <c r="AP115" t="str">
        <f>IF(COUNTIF($A$2:$A$933, A115) &gt; 1, "Duplicate ID", "Unique")</f>
        <v>Unique</v>
      </c>
      <c r="AR115">
        <f t="shared" si="12"/>
        <v>7324</v>
      </c>
      <c r="AS115">
        <f t="shared" si="13"/>
        <v>3144.37</v>
      </c>
      <c r="AT115" s="15">
        <f t="shared" si="14"/>
        <v>0.42932413981430911</v>
      </c>
      <c r="AU115" t="str">
        <f t="shared" si="15"/>
        <v>Clean</v>
      </c>
      <c r="AV115" s="8" t="str">
        <f t="shared" si="16"/>
        <v>Active</v>
      </c>
    </row>
    <row r="116" spans="1:48">
      <c r="A116" s="3" t="s">
        <v>3858</v>
      </c>
      <c r="B116" s="3" t="s">
        <v>3859</v>
      </c>
      <c r="C116" s="9">
        <f>IFERROR(DATEVALUE(TEXT(B116,"DD/MM/YYYY")), IF(ISNUMBER(B116), B116, ""))</f>
        <v>45382</v>
      </c>
      <c r="D116" s="9" t="str">
        <f>IF(B116="","Missing", IF(AND(ISNUMBER(B116)=FALSE, C116=""),"Invalid - Could Not Parse", IF(AND(ISNUMBER(B116)=FALSE, C116&lt;&gt;""),"Text - Converted to Date", IF(ISNUMBER(B116),"Valid","Check"))))</f>
        <v>Text - Converted to Date</v>
      </c>
      <c r="E116" s="5">
        <f t="shared" si="9"/>
        <v>3</v>
      </c>
      <c r="F116" s="5">
        <f t="shared" si="10"/>
        <v>2024</v>
      </c>
      <c r="G116" s="3" t="s">
        <v>3860</v>
      </c>
      <c r="H116" s="9">
        <f>IFERROR(DATEVALUE(MID(G116,4,2) &amp; "/" &amp; LEFT(G116,2) &amp; "/" &amp; RIGHT(G116,4)), IF(ISNUMBER(G116), G116, IFERROR(DATEVALUE(G116), "")))</f>
        <v>45381</v>
      </c>
      <c r="I116" s="9" t="str">
        <f>IF(G116="","Missing", IF(AND(ISNUMBER(G116)=FALSE, H116=""),"Invalid - Could Not Parse", IF(AND(ISNUMBER(G116)=FALSE, H116&lt;&gt;""),"Text - Converted to Date", IF(ISNUMBER(G116),"Valid","Check"))))</f>
        <v>Text - Converted to Date</v>
      </c>
      <c r="J116" s="9" t="str">
        <f>IF(OR(C116="", H116=""), "Cannot Check - Date Missing", IF(H116&lt;C116, "Invalid - Ship Before Order", "Valid"))</f>
        <v>Invalid - Ship Before Order</v>
      </c>
      <c r="K116" s="5" t="str">
        <f>IF(OR(C116="", H116=""), "", IF(H116&lt;C116, "", H116-C116))</f>
        <v/>
      </c>
      <c r="L116" s="3" t="s">
        <v>3861</v>
      </c>
      <c r="M116" s="3" t="s">
        <v>3862</v>
      </c>
      <c r="N116" s="4" t="str">
        <f>TRIM(SUBSTITUTE(M116,"_"," "))</f>
        <v>kabir singh</v>
      </c>
      <c r="O116" s="3" t="s">
        <v>26</v>
      </c>
      <c r="P116" s="6" t="str">
        <f>PROPER(TRIM(SUBSTITUTE(O116,".","")))</f>
        <v>Consumer</v>
      </c>
      <c r="Q116" s="3" t="s">
        <v>27</v>
      </c>
      <c r="R116" s="7" t="str">
        <f>PROPER(TRIM(SUBSTITUTE(Q116,"  "," ")))</f>
        <v>North</v>
      </c>
      <c r="S116" s="3" t="s">
        <v>323</v>
      </c>
      <c r="T116" s="6" t="str">
        <f>PROPER(TRIM(SUBSTITUTE(S116,"  "," ")))</f>
        <v>Haryana</v>
      </c>
      <c r="U116" s="3" t="s">
        <v>324</v>
      </c>
      <c r="V116" s="6" t="str">
        <f>PROPER(TRIM(SUBSTITUTE(U116,"  "," ")))</f>
        <v>Gurugram</v>
      </c>
      <c r="W116" s="3" t="s">
        <v>86</v>
      </c>
      <c r="X116" s="6" t="str">
        <f>PROPER(TRIM(SUBSTITUTE(W116,"  "," ")))</f>
        <v>Technology</v>
      </c>
      <c r="Y116" s="3" t="s">
        <v>382</v>
      </c>
      <c r="Z116" s="6" t="str">
        <f>PROPER(TRIM(SUBSTITUTE(Y116,"  "," ")))</f>
        <v>Machines</v>
      </c>
      <c r="AA116" s="3" t="s">
        <v>3863</v>
      </c>
      <c r="AB116" s="3" t="s">
        <v>56</v>
      </c>
      <c r="AC116" s="6" t="str">
        <f>PROPER(TRIM(SUBSTITUTE(AB116,"  "," ")))</f>
        <v>First Class</v>
      </c>
      <c r="AD116" s="3">
        <v>4</v>
      </c>
      <c r="AE116" s="3">
        <v>2192.08</v>
      </c>
      <c r="AF116" s="3">
        <v>0.15</v>
      </c>
      <c r="AG116" s="17">
        <v>0.15</v>
      </c>
      <c r="AH116" s="6" t="str">
        <f t="shared" si="11"/>
        <v>Valid</v>
      </c>
      <c r="AI116" s="3">
        <v>7453.07</v>
      </c>
      <c r="AJ116" s="3">
        <v>5133.78</v>
      </c>
      <c r="AK116" s="3">
        <v>2319.29</v>
      </c>
      <c r="AL116" s="3" t="s">
        <v>34</v>
      </c>
      <c r="AM116" s="6" t="str">
        <f>PROPER(TRIM(SUBSTITUTE(AL116,".","")))</f>
        <v>Paid</v>
      </c>
      <c r="AN116" s="3" t="s">
        <v>125</v>
      </c>
      <c r="AO116" s="8" t="str">
        <f>PROPER(TRIM(SUBSTITUTE(AN116,".","")))</f>
        <v>Returned</v>
      </c>
      <c r="AP116" t="str">
        <f>IF(COUNTIF($A$2:$A$933, A116) &gt; 1, "Duplicate ID", "Unique")</f>
        <v>Unique</v>
      </c>
      <c r="AR116">
        <f t="shared" si="12"/>
        <v>7453.0719999999992</v>
      </c>
      <c r="AS116">
        <f t="shared" si="13"/>
        <v>2319.2919999999995</v>
      </c>
      <c r="AT116" s="15">
        <f t="shared" si="14"/>
        <v>0.31118604516365866</v>
      </c>
      <c r="AU116" t="str">
        <f t="shared" si="15"/>
        <v>Invalid</v>
      </c>
      <c r="AV116" s="8" t="str">
        <f t="shared" si="16"/>
        <v>Active</v>
      </c>
    </row>
    <row r="117" spans="1:48">
      <c r="A117" s="3" t="s">
        <v>3900</v>
      </c>
      <c r="B117" s="3" t="s">
        <v>3901</v>
      </c>
      <c r="C117" s="9">
        <f>IFERROR(DATEVALUE(TEXT(B117,"DD/MM/YYYY")), IF(ISNUMBER(B117), B117, ""))</f>
        <v>45383</v>
      </c>
      <c r="D117" s="9" t="str">
        <f>IF(B117="","Missing", IF(AND(ISNUMBER(B117)=FALSE, C117=""),"Invalid - Could Not Parse", IF(AND(ISNUMBER(B117)=FALSE, C117&lt;&gt;""),"Text - Converted to Date", IF(ISNUMBER(B117),"Valid","Check"))))</f>
        <v>Text - Converted to Date</v>
      </c>
      <c r="E117" s="5">
        <f t="shared" si="9"/>
        <v>4</v>
      </c>
      <c r="F117" s="5">
        <f t="shared" si="10"/>
        <v>2024</v>
      </c>
      <c r="G117" s="3" t="s">
        <v>3724</v>
      </c>
      <c r="H117" s="9">
        <f>IFERROR(DATEVALUE(TEXT(G117,"DD/MM/YYYY")), IF(ISNUMBER(G117), G117, ""))</f>
        <v>45390</v>
      </c>
      <c r="I117" s="9" t="str">
        <f>IF(G117="","Missing", IF(AND(ISNUMBER(G117)=FALSE, H117=""),"Invalid - Could Not Parse", IF(AND(ISNUMBER(G117)=FALSE, H117&lt;&gt;""),"Text - Converted to Date", IF(ISNUMBER(G117),"Valid","Check"))))</f>
        <v>Text - Converted to Date</v>
      </c>
      <c r="J117" s="9" t="str">
        <f>IF(OR(C117="", H117=""), "Cannot Check - Date Missing", IF(H117&lt;C117, "Invalid - Ship Before Order", "Valid"))</f>
        <v>Valid</v>
      </c>
      <c r="K117" s="5">
        <f>IF(OR(C117="", H117=""), "", IF(H117&lt;C117, "", H117-C117))</f>
        <v>7</v>
      </c>
      <c r="L117" s="3" t="s">
        <v>3902</v>
      </c>
      <c r="M117" s="3" t="s">
        <v>72</v>
      </c>
      <c r="N117" s="4" t="str">
        <f>TRIM(SUBSTITUTE(M117,"_"," "))</f>
        <v>Ananya Rao</v>
      </c>
      <c r="O117" s="3" t="s">
        <v>26</v>
      </c>
      <c r="P117" s="6" t="str">
        <f>PROPER(TRIM(SUBSTITUTE(O117,".","")))</f>
        <v>Consumer</v>
      </c>
      <c r="Q117" s="3" t="s">
        <v>42</v>
      </c>
      <c r="R117" s="7" t="str">
        <f>PROPER(TRIM(SUBSTITUTE(Q117,"  "," ")))</f>
        <v>East</v>
      </c>
      <c r="S117" s="3" t="s">
        <v>216</v>
      </c>
      <c r="T117" s="6" t="str">
        <f>PROPER(TRIM(SUBSTITUTE(S117,"  "," ")))</f>
        <v>Assam</v>
      </c>
      <c r="U117" s="3" t="s">
        <v>217</v>
      </c>
      <c r="V117" s="6" t="str">
        <f>PROPER(TRIM(SUBSTITUTE(U117,"  "," ")))</f>
        <v>Guwahati</v>
      </c>
      <c r="W117" s="3" t="s">
        <v>45</v>
      </c>
      <c r="X117" s="6" t="str">
        <f>PROPER(TRIM(SUBSTITUTE(W117,"  "," ")))</f>
        <v>Furniture</v>
      </c>
      <c r="Y117" s="3" t="s">
        <v>46</v>
      </c>
      <c r="Z117" s="6" t="str">
        <f>PROPER(TRIM(SUBSTITUTE(Y117,"  "," ")))</f>
        <v>Tables</v>
      </c>
      <c r="AA117" s="3" t="s">
        <v>3903</v>
      </c>
      <c r="AB117" s="3" t="s">
        <v>33</v>
      </c>
      <c r="AC117" s="6" t="str">
        <f>PROPER(TRIM(SUBSTITUTE(AB117,"  "," ")))</f>
        <v>Second Class</v>
      </c>
      <c r="AD117" s="3">
        <v>7</v>
      </c>
      <c r="AE117" s="3">
        <v>4205.3500000000004</v>
      </c>
      <c r="AF117" s="3">
        <v>0.15</v>
      </c>
      <c r="AG117" s="17">
        <v>0.15</v>
      </c>
      <c r="AH117" s="6" t="str">
        <f t="shared" si="11"/>
        <v>Valid</v>
      </c>
      <c r="AI117" s="3">
        <v>25021.83</v>
      </c>
      <c r="AJ117" s="3">
        <v>15544.44</v>
      </c>
      <c r="AK117" s="3">
        <v>9477.39</v>
      </c>
      <c r="AL117" s="3" t="s">
        <v>137</v>
      </c>
      <c r="AM117" s="6" t="str">
        <f>PROPER(TRIM(SUBSTITUTE(AL117,".","")))</f>
        <v>Pending</v>
      </c>
      <c r="AN117" s="3" t="s">
        <v>78</v>
      </c>
      <c r="AO117" s="8" t="str">
        <f>PROPER(TRIM(SUBSTITUTE(AN117,".","")))</f>
        <v>Cancelled</v>
      </c>
      <c r="AP117" t="str">
        <f>IF(COUNTIF($A$2:$A$933, A117) &gt; 1, "Duplicate ID", "Unique")</f>
        <v>Unique</v>
      </c>
      <c r="AR117">
        <f t="shared" si="12"/>
        <v>25021.832500000004</v>
      </c>
      <c r="AS117">
        <f t="shared" si="13"/>
        <v>9477.3925000000036</v>
      </c>
      <c r="AT117" s="15">
        <f t="shared" si="14"/>
        <v>0.37876492459135447</v>
      </c>
      <c r="AU117" t="str">
        <f t="shared" si="15"/>
        <v>Clean</v>
      </c>
      <c r="AV117" s="8" t="str">
        <f t="shared" si="16"/>
        <v>Cancelled</v>
      </c>
    </row>
    <row r="118" spans="1:48">
      <c r="A118" s="3" t="s">
        <v>1000</v>
      </c>
      <c r="B118" s="3" t="s">
        <v>1001</v>
      </c>
      <c r="C118" s="9">
        <f>IFERROR(DATEVALUE(TEXT(B118,"DD/MM/YYYY")), IF(ISNUMBER(B118), B118, ""))</f>
        <v>45384</v>
      </c>
      <c r="D118" s="9" t="str">
        <f>IF(B118="","Missing", IF(AND(ISNUMBER(B118)=FALSE, C118=""),"Invalid - Could Not Parse", IF(AND(ISNUMBER(B118)=FALSE, C118&lt;&gt;""),"Text - Converted to Date", IF(ISNUMBER(B118),"Valid","Check"))))</f>
        <v>Text - Converted to Date</v>
      </c>
      <c r="E118" s="5">
        <f t="shared" si="9"/>
        <v>4</v>
      </c>
      <c r="F118" s="5">
        <f t="shared" si="10"/>
        <v>2024</v>
      </c>
      <c r="G118" s="3" t="s">
        <v>348</v>
      </c>
      <c r="H118" s="9">
        <f>IFERROR(DATEVALUE(TEXT(G118,"DD/MM/YYYY")), IF(ISNUMBER(G118), G118, ""))</f>
        <v>45388</v>
      </c>
      <c r="I118" s="9" t="str">
        <f>IF(G118="","Missing", IF(AND(ISNUMBER(G118)=FALSE, H118=""),"Invalid - Could Not Parse", IF(AND(ISNUMBER(G118)=FALSE, H118&lt;&gt;""),"Text - Converted to Date", IF(ISNUMBER(G118),"Valid","Check"))))</f>
        <v>Text - Converted to Date</v>
      </c>
      <c r="J118" s="9" t="str">
        <f>IF(OR(C118="", H118=""), "Cannot Check - Date Missing", IF(H118&lt;C118, "Invalid - Ship Before Order", "Valid"))</f>
        <v>Valid</v>
      </c>
      <c r="K118" s="5">
        <f>IF(OR(C118="", H118=""), "", IF(H118&lt;C118, "", H118-C118))</f>
        <v>4</v>
      </c>
      <c r="L118" s="3" t="s">
        <v>1002</v>
      </c>
      <c r="M118" s="3" t="s">
        <v>83</v>
      </c>
      <c r="N118" s="4" t="str">
        <f>TRIM(SUBSTITUTE(M118,"_"," "))</f>
        <v>Vikram Iyer</v>
      </c>
      <c r="O118" s="3" t="s">
        <v>108</v>
      </c>
      <c r="P118" s="6" t="str">
        <f>PROPER(TRIM(SUBSTITUTE(O118,".","")))</f>
        <v>Corporate</v>
      </c>
      <c r="Q118" s="3" t="s">
        <v>73</v>
      </c>
      <c r="R118" s="7" t="str">
        <f>PROPER(TRIM(SUBSTITUTE(Q118,"  "," ")))</f>
        <v>West</v>
      </c>
      <c r="S118" s="3" t="s">
        <v>84</v>
      </c>
      <c r="T118" s="6" t="str">
        <f>PROPER(TRIM(SUBSTITUTE(S118,"  "," ")))</f>
        <v>Madhya Pradesh</v>
      </c>
      <c r="U118" s="3" t="s">
        <v>85</v>
      </c>
      <c r="V118" s="6" t="str">
        <f>PROPER(TRIM(SUBSTITUTE(U118,"  "," ")))</f>
        <v>Indore</v>
      </c>
      <c r="W118" s="3" t="s">
        <v>45</v>
      </c>
      <c r="X118" s="6" t="str">
        <f>PROPER(TRIM(SUBSTITUTE(W118,"  "," ")))</f>
        <v>Furniture</v>
      </c>
      <c r="Y118" s="3" t="s">
        <v>204</v>
      </c>
      <c r="Z118" s="6" t="str">
        <f>PROPER(TRIM(SUBSTITUTE(Y118,"  "," ")))</f>
        <v>Bookcases</v>
      </c>
      <c r="AA118" s="3" t="s">
        <v>1003</v>
      </c>
      <c r="AB118" s="3" t="s">
        <v>67</v>
      </c>
      <c r="AC118" s="6" t="str">
        <f>PROPER(TRIM(SUBSTITUTE(AB118,"  "," ")))</f>
        <v>Standard Class</v>
      </c>
      <c r="AD118" s="3">
        <v>2</v>
      </c>
      <c r="AE118" s="3">
        <v>888.98</v>
      </c>
      <c r="AF118" s="3">
        <v>0</v>
      </c>
      <c r="AG118" s="17">
        <v>0</v>
      </c>
      <c r="AH118" s="6" t="str">
        <f t="shared" si="11"/>
        <v>Valid</v>
      </c>
      <c r="AI118" s="3">
        <v>1777.96</v>
      </c>
      <c r="AJ118" s="3">
        <v>1021.16</v>
      </c>
      <c r="AK118" s="3">
        <v>756.8</v>
      </c>
      <c r="AL118" s="3" t="s">
        <v>124</v>
      </c>
      <c r="AM118" s="6" t="str">
        <f>PROPER(TRIM(SUBSTITUTE(AL118,".","")))</f>
        <v>Refunded</v>
      </c>
      <c r="AN118" s="3" t="s">
        <v>125</v>
      </c>
      <c r="AO118" s="8" t="str">
        <f>PROPER(TRIM(SUBSTITUTE(AN118,".","")))</f>
        <v>Returned</v>
      </c>
      <c r="AP118" t="str">
        <f>IF(COUNTIF($A$2:$A$933, A118) &gt; 1, "Duplicate ID", "Unique")</f>
        <v>Unique</v>
      </c>
      <c r="AR118">
        <f t="shared" si="12"/>
        <v>1777.96</v>
      </c>
      <c r="AS118">
        <f t="shared" si="13"/>
        <v>756.80000000000007</v>
      </c>
      <c r="AT118" s="15">
        <f t="shared" si="14"/>
        <v>0.42565637022205227</v>
      </c>
      <c r="AU118" t="str">
        <f t="shared" si="15"/>
        <v>Clean</v>
      </c>
      <c r="AV118" s="8" t="str">
        <f t="shared" si="16"/>
        <v>Refund</v>
      </c>
    </row>
    <row r="119" spans="1:48">
      <c r="A119" s="3" t="s">
        <v>2531</v>
      </c>
      <c r="B119" s="3" t="s">
        <v>2532</v>
      </c>
      <c r="C119" s="9">
        <f>IFERROR(DATEVALUE(TEXT(B119,"DD/MM/YYYY")), IF(ISNUMBER(B119), B119, ""))</f>
        <v>45384</v>
      </c>
      <c r="D119" s="9" t="str">
        <f>IF(B119="","Missing", IF(AND(ISNUMBER(B119)=FALSE, C119=""),"Invalid - Could Not Parse", IF(AND(ISNUMBER(B119)=FALSE, C119&lt;&gt;""),"Text - Converted to Date", IF(ISNUMBER(B119),"Valid","Check"))))</f>
        <v>Text - Converted to Date</v>
      </c>
      <c r="E119" s="5">
        <f t="shared" si="9"/>
        <v>4</v>
      </c>
      <c r="F119" s="5">
        <f t="shared" si="10"/>
        <v>2024</v>
      </c>
      <c r="G119" s="3" t="s">
        <v>2533</v>
      </c>
      <c r="H119" s="9">
        <f>IFERROR(DATEVALUE(TEXT(G119,"DD/MM/YYYY")), IF(ISNUMBER(G119), G119, ""))</f>
        <v>45385</v>
      </c>
      <c r="I119" s="9" t="str">
        <f>IF(G119="","Missing", IF(AND(ISNUMBER(G119)=FALSE, H119=""),"Invalid - Could Not Parse", IF(AND(ISNUMBER(G119)=FALSE, H119&lt;&gt;""),"Text - Converted to Date", IF(ISNUMBER(G119),"Valid","Check"))))</f>
        <v>Text - Converted to Date</v>
      </c>
      <c r="J119" s="9" t="str">
        <f>IF(OR(C119="", H119=""), "Cannot Check - Date Missing", IF(H119&lt;C119, "Invalid - Ship Before Order", "Valid"))</f>
        <v>Valid</v>
      </c>
      <c r="K119" s="5">
        <f>IF(OR(C119="", H119=""), "", IF(H119&lt;C119, "", H119-C119))</f>
        <v>1</v>
      </c>
      <c r="L119" s="3" t="s">
        <v>2534</v>
      </c>
      <c r="M119" s="3" t="s">
        <v>366</v>
      </c>
      <c r="N119" s="4" t="str">
        <f>TRIM(SUBSTITUTE(M119,"_"," "))</f>
        <v>Kabir Singh</v>
      </c>
      <c r="O119" s="3" t="s">
        <v>115</v>
      </c>
      <c r="P119" s="6" t="str">
        <f>PROPER(TRIM(SUBSTITUTE(O119,".","")))</f>
        <v>Home Office</v>
      </c>
      <c r="Q119" s="3" t="s">
        <v>73</v>
      </c>
      <c r="R119" s="7" t="str">
        <f>PROPER(TRIM(SUBSTITUTE(Q119,"  "," ")))</f>
        <v>West</v>
      </c>
      <c r="S119" s="3" t="s">
        <v>249</v>
      </c>
      <c r="T119" s="6" t="str">
        <f>PROPER(TRIM(SUBSTITUTE(S119,"  "," ")))</f>
        <v>Goa</v>
      </c>
      <c r="U119" s="3" t="s">
        <v>250</v>
      </c>
      <c r="V119" s="6" t="str">
        <f>PROPER(TRIM(SUBSTITUTE(U119,"  "," ")))</f>
        <v>Panaji</v>
      </c>
      <c r="W119" s="3" t="s">
        <v>30</v>
      </c>
      <c r="X119" s="6" t="str">
        <f>PROPER(TRIM(SUBSTITUTE(W119,"  "," ")))</f>
        <v>Office Supplies</v>
      </c>
      <c r="Y119" s="3" t="s">
        <v>31</v>
      </c>
      <c r="Z119" s="6" t="str">
        <f>PROPER(TRIM(SUBSTITUTE(Y119,"  "," ")))</f>
        <v>Paper</v>
      </c>
      <c r="AA119" s="3" t="s">
        <v>2535</v>
      </c>
      <c r="AB119" s="3" t="s">
        <v>33</v>
      </c>
      <c r="AC119" s="6" t="str">
        <f>PROPER(TRIM(SUBSTITUTE(AB119,"  "," ")))</f>
        <v>Second Class</v>
      </c>
      <c r="AD119" s="3">
        <v>2</v>
      </c>
      <c r="AE119" s="3">
        <v>2902.63</v>
      </c>
      <c r="AF119" s="3">
        <v>0</v>
      </c>
      <c r="AG119" s="17">
        <v>0</v>
      </c>
      <c r="AH119" s="6" t="str">
        <f t="shared" si="11"/>
        <v>Valid</v>
      </c>
      <c r="AI119" s="3">
        <v>5805.26</v>
      </c>
      <c r="AJ119" s="3">
        <v>4654.3599999999997</v>
      </c>
      <c r="AK119" s="3">
        <v>1150.9000000000001</v>
      </c>
      <c r="AL119" s="3" t="s">
        <v>34</v>
      </c>
      <c r="AM119" s="6" t="str">
        <f>PROPER(TRIM(SUBSTITUTE(AL119,".","")))</f>
        <v>Paid</v>
      </c>
      <c r="AN119" s="3" t="s">
        <v>125</v>
      </c>
      <c r="AO119" s="8" t="str">
        <f>PROPER(TRIM(SUBSTITUTE(AN119,".","")))</f>
        <v>Returned</v>
      </c>
      <c r="AP119" t="str">
        <f>IF(COUNTIF($A$2:$A$933, A119) &gt; 1, "Duplicate ID", "Unique")</f>
        <v>Unique</v>
      </c>
      <c r="AR119">
        <f t="shared" si="12"/>
        <v>5805.26</v>
      </c>
      <c r="AS119">
        <f t="shared" si="13"/>
        <v>1150.9000000000005</v>
      </c>
      <c r="AT119" s="15">
        <f t="shared" si="14"/>
        <v>0.19825124111581574</v>
      </c>
      <c r="AU119" t="str">
        <f t="shared" si="15"/>
        <v>Clean</v>
      </c>
      <c r="AV119" s="8" t="str">
        <f t="shared" si="16"/>
        <v>Active</v>
      </c>
    </row>
    <row r="120" spans="1:48">
      <c r="A120" s="3" t="s">
        <v>3439</v>
      </c>
      <c r="B120" s="3" t="s">
        <v>3440</v>
      </c>
      <c r="C120" s="9">
        <f>IFERROR(DATEVALUE(TEXT(B120,"DD/MM/YYYY")), IF(ISNUMBER(B120), B120, ""))</f>
        <v>45384</v>
      </c>
      <c r="D120" s="9" t="str">
        <f>IF(B120="","Missing", IF(AND(ISNUMBER(B120)=FALSE, C120=""),"Invalid - Could Not Parse", IF(AND(ISNUMBER(B120)=FALSE, C120&lt;&gt;""),"Text - Converted to Date", IF(ISNUMBER(B120),"Valid","Check"))))</f>
        <v>Text - Converted to Date</v>
      </c>
      <c r="E120" s="5">
        <f t="shared" si="9"/>
        <v>4</v>
      </c>
      <c r="F120" s="5">
        <f t="shared" si="10"/>
        <v>2024</v>
      </c>
      <c r="G120" s="3" t="s">
        <v>2170</v>
      </c>
      <c r="H120" s="9">
        <f>IFERROR(DATEVALUE(TEXT(G120,"DD/MM/YYYY")), IF(ISNUMBER(G120), G120, ""))</f>
        <v>45326</v>
      </c>
      <c r="I120" s="9" t="str">
        <f>IF(G120="","Missing", IF(AND(ISNUMBER(G120)=FALSE, H120=""),"Invalid - Could Not Parse", IF(AND(ISNUMBER(G120)=FALSE, H120&lt;&gt;""),"Text - Converted to Date", IF(ISNUMBER(G120),"Valid","Check"))))</f>
        <v>Text - Converted to Date</v>
      </c>
      <c r="J120" s="9" t="str">
        <f>IF(OR(C120="", H120=""), "Cannot Check - Date Missing", IF(H120&lt;C120, "Invalid - Ship Before Order", "Valid"))</f>
        <v>Invalid - Ship Before Order</v>
      </c>
      <c r="K120" s="5" t="str">
        <f>IF(OR(C120="", H120=""), "", IF(H120&lt;C120, "", H120-C120))</f>
        <v/>
      </c>
      <c r="L120" s="3" t="s">
        <v>778</v>
      </c>
      <c r="M120" s="3" t="s">
        <v>168</v>
      </c>
      <c r="N120" s="4" t="str">
        <f>TRIM(SUBSTITUTE(M120,"_"," "))</f>
        <v>Sneha Kapoor</v>
      </c>
      <c r="O120" s="3" t="s">
        <v>41</v>
      </c>
      <c r="P120" s="6" t="str">
        <f>PROPER(TRIM(SUBSTITUTE(O120,".","")))</f>
        <v>Small Business</v>
      </c>
      <c r="Q120" s="3" t="s">
        <v>73</v>
      </c>
      <c r="R120" s="7" t="str">
        <f>PROPER(TRIM(SUBSTITUTE(Q120,"  "," ")))</f>
        <v>West</v>
      </c>
      <c r="S120" s="3" t="s">
        <v>74</v>
      </c>
      <c r="T120" s="6" t="str">
        <f>PROPER(TRIM(SUBSTITUTE(S120,"  "," ")))</f>
        <v>Maharashtra</v>
      </c>
      <c r="U120" s="3" t="s">
        <v>75</v>
      </c>
      <c r="V120" s="6" t="str">
        <f>PROPER(TRIM(SUBSTITUTE(U120,"  "," ")))</f>
        <v>Mumbai</v>
      </c>
      <c r="W120" s="3" t="s">
        <v>45</v>
      </c>
      <c r="X120" s="6" t="str">
        <f>PROPER(TRIM(SUBSTITUTE(W120,"  "," ")))</f>
        <v>Furniture</v>
      </c>
      <c r="Y120" s="3" t="s">
        <v>76</v>
      </c>
      <c r="Z120" s="6" t="str">
        <f>PROPER(TRIM(SUBSTITUTE(Y120,"  "," ")))</f>
        <v>Chairs</v>
      </c>
      <c r="AA120" s="3" t="s">
        <v>3441</v>
      </c>
      <c r="AB120" s="3" t="s">
        <v>56</v>
      </c>
      <c r="AC120" s="6" t="str">
        <f>PROPER(TRIM(SUBSTITUTE(AB120,"  "," ")))</f>
        <v>First Class</v>
      </c>
      <c r="AD120" s="3">
        <v>4</v>
      </c>
      <c r="AE120" s="3">
        <v>2583</v>
      </c>
      <c r="AF120" s="3">
        <v>0.1</v>
      </c>
      <c r="AG120" s="17">
        <v>0.1</v>
      </c>
      <c r="AH120" s="6" t="str">
        <f t="shared" si="11"/>
        <v>Valid</v>
      </c>
      <c r="AI120" s="3">
        <v>9298.7999999999993</v>
      </c>
      <c r="AJ120" s="3">
        <v>6548.5</v>
      </c>
      <c r="AK120" s="3">
        <v>2750.3</v>
      </c>
      <c r="AL120" s="3" t="s">
        <v>34</v>
      </c>
      <c r="AM120" s="6" t="str">
        <f>PROPER(TRIM(SUBSTITUTE(AL120,".","")))</f>
        <v>Paid</v>
      </c>
      <c r="AN120" s="3" t="s">
        <v>35</v>
      </c>
      <c r="AO120" s="8" t="str">
        <f>PROPER(TRIM(SUBSTITUTE(AN120,".","")))</f>
        <v>Completed</v>
      </c>
      <c r="AP120" t="str">
        <f>IF(COUNTIF($A$2:$A$933, A120) &gt; 1, "Duplicate ID", "Unique")</f>
        <v>Unique</v>
      </c>
      <c r="AR120">
        <f t="shared" si="12"/>
        <v>9298.8000000000011</v>
      </c>
      <c r="AS120">
        <f t="shared" si="13"/>
        <v>2750.3000000000011</v>
      </c>
      <c r="AT120" s="15">
        <f t="shared" si="14"/>
        <v>0.29576934658235482</v>
      </c>
      <c r="AU120" t="str">
        <f t="shared" si="15"/>
        <v>Invalid</v>
      </c>
      <c r="AV120" s="8" t="str">
        <f t="shared" si="16"/>
        <v>Active</v>
      </c>
    </row>
    <row r="121" spans="1:48">
      <c r="A121" s="3" t="s">
        <v>1953</v>
      </c>
      <c r="B121" s="3" t="s">
        <v>1954</v>
      </c>
      <c r="C121" s="9">
        <f>IFERROR(DATEVALUE(TEXT(B121,"DD/MM/YYYY")), IF(ISNUMBER(B121), B121, ""))</f>
        <v>45385</v>
      </c>
      <c r="D121" s="9" t="str">
        <f>IF(B121="","Missing", IF(AND(ISNUMBER(B121)=FALSE, C121=""),"Invalid - Could Not Parse", IF(AND(ISNUMBER(B121)=FALSE, C121&lt;&gt;""),"Text - Converted to Date", IF(ISNUMBER(B121),"Valid","Check"))))</f>
        <v>Text - Converted to Date</v>
      </c>
      <c r="E121" s="5">
        <f t="shared" si="9"/>
        <v>4</v>
      </c>
      <c r="F121" s="5">
        <f t="shared" si="10"/>
        <v>2024</v>
      </c>
      <c r="G121" s="3" t="s">
        <v>1955</v>
      </c>
      <c r="H121" s="9">
        <f>IFERROR(DATEVALUE(TEXT(G121,"DD/MM/YYYY")), IF(ISNUMBER(G121), G121, ""))</f>
        <v>45386</v>
      </c>
      <c r="I121" s="9" t="str">
        <f>IF(G121="","Missing", IF(AND(ISNUMBER(G121)=FALSE, H121=""),"Invalid - Could Not Parse", IF(AND(ISNUMBER(G121)=FALSE, H121&lt;&gt;""),"Text - Converted to Date", IF(ISNUMBER(G121),"Valid","Check"))))</f>
        <v>Text - Converted to Date</v>
      </c>
      <c r="J121" s="9" t="str">
        <f>IF(OR(C121="", H121=""), "Cannot Check - Date Missing", IF(H121&lt;C121, "Invalid - Ship Before Order", "Valid"))</f>
        <v>Valid</v>
      </c>
      <c r="K121" s="5">
        <f>IF(OR(C121="", H121=""), "", IF(H121&lt;C121, "", H121-C121))</f>
        <v>1</v>
      </c>
      <c r="L121" s="3" t="s">
        <v>1956</v>
      </c>
      <c r="M121" s="3" t="s">
        <v>366</v>
      </c>
      <c r="N121" s="4" t="str">
        <f>TRIM(SUBSTITUTE(M121,"_"," "))</f>
        <v>Kabir Singh</v>
      </c>
      <c r="O121" s="3" t="s">
        <v>26</v>
      </c>
      <c r="P121" s="6" t="str">
        <f>PROPER(TRIM(SUBSTITUTE(O121,".","")))</f>
        <v>Consumer</v>
      </c>
      <c r="Q121" s="3" t="s">
        <v>73</v>
      </c>
      <c r="R121" s="7" t="str">
        <f>PROPER(TRIM(SUBSTITUTE(Q121,"  "," ")))</f>
        <v>West</v>
      </c>
      <c r="S121" s="3" t="s">
        <v>74</v>
      </c>
      <c r="T121" s="6" t="str">
        <f>PROPER(TRIM(SUBSTITUTE(S121,"  "," ")))</f>
        <v>Maharashtra</v>
      </c>
      <c r="U121" s="3" t="s">
        <v>75</v>
      </c>
      <c r="V121" s="6" t="str">
        <f>PROPER(TRIM(SUBSTITUTE(U121,"  "," ")))</f>
        <v>Mumbai</v>
      </c>
      <c r="W121" s="3" t="s">
        <v>45</v>
      </c>
      <c r="X121" s="6" t="str">
        <f>PROPER(TRIM(SUBSTITUTE(W121,"  "," ")))</f>
        <v>Furniture</v>
      </c>
      <c r="Y121" s="3" t="s">
        <v>65</v>
      </c>
      <c r="Z121" s="6" t="str">
        <f>PROPER(TRIM(SUBSTITUTE(Y121,"  "," ")))</f>
        <v>Furnishings</v>
      </c>
      <c r="AA121" s="3" t="s">
        <v>1957</v>
      </c>
      <c r="AB121" s="3" t="s">
        <v>56</v>
      </c>
      <c r="AC121" s="6" t="str">
        <f>PROPER(TRIM(SUBSTITUTE(AB121,"  "," ")))</f>
        <v>First Class</v>
      </c>
      <c r="AD121" s="3">
        <v>7</v>
      </c>
      <c r="AE121" s="3">
        <v>3945.21</v>
      </c>
      <c r="AF121" s="3">
        <v>0</v>
      </c>
      <c r="AG121" s="17">
        <v>0</v>
      </c>
      <c r="AH121" s="6" t="str">
        <f t="shared" si="11"/>
        <v>Valid</v>
      </c>
      <c r="AI121" s="3">
        <v>27616.47</v>
      </c>
      <c r="AJ121" s="3">
        <v>21225.26</v>
      </c>
      <c r="AK121" s="3">
        <v>6391.21</v>
      </c>
      <c r="AL121" s="3" t="s">
        <v>34</v>
      </c>
      <c r="AM121" s="6" t="str">
        <f>PROPER(TRIM(SUBSTITUTE(AL121,".","")))</f>
        <v>Paid</v>
      </c>
      <c r="AN121" s="3" t="s">
        <v>35</v>
      </c>
      <c r="AO121" s="8" t="str">
        <f>PROPER(TRIM(SUBSTITUTE(AN121,".","")))</f>
        <v>Completed</v>
      </c>
      <c r="AP121" t="str">
        <f>IF(COUNTIF($A$2:$A$933, A121) &gt; 1, "Duplicate ID", "Unique")</f>
        <v>Unique</v>
      </c>
      <c r="AR121">
        <f t="shared" si="12"/>
        <v>27616.47</v>
      </c>
      <c r="AS121">
        <f t="shared" si="13"/>
        <v>6391.2100000000028</v>
      </c>
      <c r="AT121" s="15">
        <f t="shared" si="14"/>
        <v>0.23142747787823725</v>
      </c>
      <c r="AU121" t="str">
        <f t="shared" si="15"/>
        <v>Clean</v>
      </c>
      <c r="AV121" s="8" t="str">
        <f t="shared" si="16"/>
        <v>Active</v>
      </c>
    </row>
    <row r="122" spans="1:48">
      <c r="A122" s="3" t="s">
        <v>2182</v>
      </c>
      <c r="B122" s="3" t="s">
        <v>2183</v>
      </c>
      <c r="C122" s="9">
        <f>IFERROR(DATEVALUE(TEXT(B122,"DD/MM/YYYY")), IF(ISNUMBER(B122), B122, ""))</f>
        <v>45386</v>
      </c>
      <c r="D122" s="9" t="str">
        <f>IF(B122="","Missing", IF(AND(ISNUMBER(B122)=FALSE, C122=""),"Invalid - Could Not Parse", IF(AND(ISNUMBER(B122)=FALSE, C122&lt;&gt;""),"Text - Converted to Date", IF(ISNUMBER(B122),"Valid","Check"))))</f>
        <v>Text - Converted to Date</v>
      </c>
      <c r="E122" s="5">
        <f t="shared" si="9"/>
        <v>4</v>
      </c>
      <c r="F122" s="5">
        <f t="shared" si="10"/>
        <v>2024</v>
      </c>
      <c r="G122" s="3" t="s">
        <v>1894</v>
      </c>
      <c r="H122" s="9">
        <f>IFERROR(DATEVALUE(TEXT(G122,"DD/MM/YYYY")), IF(ISNUMBER(G122), G122, ""))</f>
        <v>45389</v>
      </c>
      <c r="I122" s="9" t="str">
        <f>IF(G122="","Missing", IF(AND(ISNUMBER(G122)=FALSE, H122=""),"Invalid - Could Not Parse", IF(AND(ISNUMBER(G122)=FALSE, H122&lt;&gt;""),"Text - Converted to Date", IF(ISNUMBER(G122),"Valid","Check"))))</f>
        <v>Text - Converted to Date</v>
      </c>
      <c r="J122" s="9" t="str">
        <f>IF(OR(C122="", H122=""), "Cannot Check - Date Missing", IF(H122&lt;C122, "Invalid - Ship Before Order", "Valid"))</f>
        <v>Valid</v>
      </c>
      <c r="K122" s="5">
        <f>IF(OR(C122="", H122=""), "", IF(H122&lt;C122, "", H122-C122))</f>
        <v>3</v>
      </c>
      <c r="L122" s="3" t="s">
        <v>2184</v>
      </c>
      <c r="M122" s="3" t="s">
        <v>180</v>
      </c>
      <c r="N122" s="4" t="str">
        <f>TRIM(SUBSTITUTE(M122,"_"," "))</f>
        <v>Rohan Mehta</v>
      </c>
      <c r="O122" s="3" t="s">
        <v>115</v>
      </c>
      <c r="P122" s="6" t="str">
        <f>PROPER(TRIM(SUBSTITUTE(O122,".","")))</f>
        <v>Home Office</v>
      </c>
      <c r="Q122" s="3" t="s">
        <v>42</v>
      </c>
      <c r="R122" s="7" t="str">
        <f>PROPER(TRIM(SUBSTITUTE(Q122,"  "," ")))</f>
        <v>East</v>
      </c>
      <c r="S122" s="3" t="s">
        <v>43</v>
      </c>
      <c r="T122" s="6" t="str">
        <f>PROPER(TRIM(SUBSTITUTE(S122,"  "," ")))</f>
        <v>Odisha</v>
      </c>
      <c r="U122" s="3" t="s">
        <v>44</v>
      </c>
      <c r="V122" s="6" t="str">
        <f>PROPER(TRIM(SUBSTITUTE(U122,"  "," ")))</f>
        <v>Bhubaneswar</v>
      </c>
      <c r="W122" s="3" t="s">
        <v>45</v>
      </c>
      <c r="X122" s="6" t="str">
        <f>PROPER(TRIM(SUBSTITUTE(W122,"  "," ")))</f>
        <v>Furniture</v>
      </c>
      <c r="Y122" s="3" t="s">
        <v>65</v>
      </c>
      <c r="Z122" s="6" t="str">
        <f>PROPER(TRIM(SUBSTITUTE(Y122,"  "," ")))</f>
        <v>Furnishings</v>
      </c>
      <c r="AA122" s="3" t="s">
        <v>2185</v>
      </c>
      <c r="AB122" s="3" t="s">
        <v>56</v>
      </c>
      <c r="AC122" s="6" t="str">
        <f>PROPER(TRIM(SUBSTITUTE(AB122,"  "," ")))</f>
        <v>First Class</v>
      </c>
      <c r="AD122" s="3">
        <v>1</v>
      </c>
      <c r="AE122" s="3">
        <v>3683.75</v>
      </c>
      <c r="AF122" s="3">
        <v>0.1</v>
      </c>
      <c r="AG122" s="17">
        <v>0.1</v>
      </c>
      <c r="AH122" s="6" t="str">
        <f t="shared" si="11"/>
        <v>Valid</v>
      </c>
      <c r="AI122" s="3">
        <v>3315.38</v>
      </c>
      <c r="AJ122" s="3">
        <v>2347.6799999999998</v>
      </c>
      <c r="AK122" s="3">
        <v>967.7</v>
      </c>
      <c r="AL122" s="3" t="s">
        <v>34</v>
      </c>
      <c r="AM122" s="6" t="str">
        <f>PROPER(TRIM(SUBSTITUTE(AL122,".","")))</f>
        <v>Paid</v>
      </c>
      <c r="AN122" s="3" t="s">
        <v>35</v>
      </c>
      <c r="AO122" s="8" t="str">
        <f>PROPER(TRIM(SUBSTITUTE(AN122,".","")))</f>
        <v>Completed</v>
      </c>
      <c r="AP122" t="str">
        <f>IF(COUNTIF($A$2:$A$933, A122) &gt; 1, "Duplicate ID", "Unique")</f>
        <v>Unique</v>
      </c>
      <c r="AR122">
        <f t="shared" si="12"/>
        <v>3315.375</v>
      </c>
      <c r="AS122">
        <f t="shared" si="13"/>
        <v>967.69500000000016</v>
      </c>
      <c r="AT122" s="15">
        <f t="shared" si="14"/>
        <v>0.29188100893564084</v>
      </c>
      <c r="AU122" t="str">
        <f t="shared" si="15"/>
        <v>Clean</v>
      </c>
      <c r="AV122" s="8" t="str">
        <f t="shared" si="16"/>
        <v>Active</v>
      </c>
    </row>
    <row r="123" spans="1:48">
      <c r="A123" s="3" t="s">
        <v>1931</v>
      </c>
      <c r="B123" s="3" t="s">
        <v>1932</v>
      </c>
      <c r="C123" s="9">
        <f>IFERROR(DATEVALUE(TEXT(B123,"DD/MM/YYYY")), IF(ISNUMBER(B123), B123, ""))</f>
        <v>45387</v>
      </c>
      <c r="D123" s="9" t="str">
        <f>IF(B123="","Missing", IF(AND(ISNUMBER(B123)=FALSE, C123=""),"Invalid - Could Not Parse", IF(AND(ISNUMBER(B123)=FALSE, C123&lt;&gt;""),"Text - Converted to Date", IF(ISNUMBER(B123),"Valid","Check"))))</f>
        <v>Text - Converted to Date</v>
      </c>
      <c r="E123" s="5">
        <f t="shared" si="9"/>
        <v>4</v>
      </c>
      <c r="F123" s="5">
        <f t="shared" si="10"/>
        <v>2024</v>
      </c>
      <c r="G123" s="3" t="s">
        <v>349</v>
      </c>
      <c r="H123" s="9">
        <f>IFERROR(DATEVALUE(TEXT(G123,"DD/MM/YYYY")), IF(ISNUMBER(G123), G123, ""))</f>
        <v>45395</v>
      </c>
      <c r="I123" s="9" t="str">
        <f>IF(G123="","Missing", IF(AND(ISNUMBER(G123)=FALSE, H123=""),"Invalid - Could Not Parse", IF(AND(ISNUMBER(G123)=FALSE, H123&lt;&gt;""),"Text - Converted to Date", IF(ISNUMBER(G123),"Valid","Check"))))</f>
        <v>Text - Converted to Date</v>
      </c>
      <c r="J123" s="9" t="str">
        <f>IF(OR(C123="", H123=""), "Cannot Check - Date Missing", IF(H123&lt;C123, "Invalid - Ship Before Order", "Valid"))</f>
        <v>Valid</v>
      </c>
      <c r="K123" s="5">
        <f>IF(OR(C123="", H123=""), "", IF(H123&lt;C123, "", H123-C123))</f>
        <v>8</v>
      </c>
      <c r="L123" s="3" t="s">
        <v>1933</v>
      </c>
      <c r="M123" s="3" t="s">
        <v>210</v>
      </c>
      <c r="N123" s="4" t="str">
        <f>TRIM(SUBSTITUTE(M123,"_"," "))</f>
        <v>Diya Patel</v>
      </c>
      <c r="O123" s="3" t="s">
        <v>108</v>
      </c>
      <c r="P123" s="6" t="str">
        <f>PROPER(TRIM(SUBSTITUTE(O123,".","")))</f>
        <v>Corporate</v>
      </c>
      <c r="Q123" s="3" t="s">
        <v>73</v>
      </c>
      <c r="R123" s="7" t="str">
        <f>PROPER(TRIM(SUBSTITUTE(Q123,"  "," ")))</f>
        <v>West</v>
      </c>
      <c r="S123" s="3" t="s">
        <v>235</v>
      </c>
      <c r="T123" s="6" t="str">
        <f>PROPER(TRIM(SUBSTITUTE(S123,"  "," ")))</f>
        <v>Gujarat</v>
      </c>
      <c r="U123" s="3" t="s">
        <v>236</v>
      </c>
      <c r="V123" s="6" t="str">
        <f>PROPER(TRIM(SUBSTITUTE(U123,"  "," ")))</f>
        <v>Ahmedabad</v>
      </c>
      <c r="W123" s="3" t="s">
        <v>86</v>
      </c>
      <c r="X123" s="6" t="str">
        <f>PROPER(TRIM(SUBSTITUTE(W123,"  "," ")))</f>
        <v>Technology</v>
      </c>
      <c r="Y123" s="3" t="s">
        <v>382</v>
      </c>
      <c r="Z123" s="6" t="str">
        <f>PROPER(TRIM(SUBSTITUTE(Y123,"  "," ")))</f>
        <v>Machines</v>
      </c>
      <c r="AA123" s="3" t="s">
        <v>1934</v>
      </c>
      <c r="AB123" s="3" t="s">
        <v>33</v>
      </c>
      <c r="AC123" s="6" t="str">
        <f>PROPER(TRIM(SUBSTITUTE(AB123,"  "," ")))</f>
        <v>Second Class</v>
      </c>
      <c r="AD123" s="3">
        <v>5</v>
      </c>
      <c r="AE123" s="3">
        <v>1937.54</v>
      </c>
      <c r="AF123" s="3">
        <v>0.2</v>
      </c>
      <c r="AG123" s="17">
        <v>0.2</v>
      </c>
      <c r="AH123" s="6" t="str">
        <f t="shared" si="11"/>
        <v>Valid</v>
      </c>
      <c r="AI123" s="3">
        <v>7750.16</v>
      </c>
      <c r="AJ123" s="3">
        <v>5434.3</v>
      </c>
      <c r="AK123" s="3">
        <v>2315.86</v>
      </c>
      <c r="AL123" s="3" t="s">
        <v>137</v>
      </c>
      <c r="AM123" s="6" t="str">
        <f>PROPER(TRIM(SUBSTITUTE(AL123,".","")))</f>
        <v>Pending</v>
      </c>
      <c r="AN123" s="3" t="s">
        <v>78</v>
      </c>
      <c r="AO123" s="8" t="str">
        <f>PROPER(TRIM(SUBSTITUTE(AN123,".","")))</f>
        <v>Cancelled</v>
      </c>
      <c r="AP123" t="str">
        <f>IF(COUNTIF($A$2:$A$933, A123) &gt; 1, "Duplicate ID", "Unique")</f>
        <v>Unique</v>
      </c>
      <c r="AR123">
        <f t="shared" si="12"/>
        <v>7750.1600000000008</v>
      </c>
      <c r="AS123">
        <f t="shared" si="13"/>
        <v>2315.8600000000006</v>
      </c>
      <c r="AT123" s="15">
        <f t="shared" si="14"/>
        <v>0.29881447608823564</v>
      </c>
      <c r="AU123" t="str">
        <f t="shared" si="15"/>
        <v>Clean</v>
      </c>
      <c r="AV123" s="8" t="str">
        <f t="shared" si="16"/>
        <v>Cancelled</v>
      </c>
    </row>
    <row r="124" spans="1:48">
      <c r="A124" s="3" t="s">
        <v>2243</v>
      </c>
      <c r="B124" s="3" t="s">
        <v>2244</v>
      </c>
      <c r="C124" s="9">
        <f>IFERROR(DATEVALUE(TEXT(B124,"DD/MM/YYYY")), IF(ISNUMBER(B124), B124, ""))</f>
        <v>45387</v>
      </c>
      <c r="D124" s="9" t="str">
        <f>IF(B124="","Missing", IF(AND(ISNUMBER(B124)=FALSE, C124=""),"Invalid - Could Not Parse", IF(AND(ISNUMBER(B124)=FALSE, C124&lt;&gt;""),"Text - Converted to Date", IF(ISNUMBER(B124),"Valid","Check"))))</f>
        <v>Text - Converted to Date</v>
      </c>
      <c r="E124" s="5">
        <f t="shared" si="9"/>
        <v>4</v>
      </c>
      <c r="F124" s="5">
        <f t="shared" si="10"/>
        <v>2024</v>
      </c>
      <c r="G124" s="3" t="s">
        <v>2245</v>
      </c>
      <c r="H124" s="9">
        <f>IFERROR(DATEVALUE(TEXT(G124,"DD/MM/YYYY")), IF(ISNUMBER(G124), G124, ""))</f>
        <v>45416</v>
      </c>
      <c r="I124" s="9" t="str">
        <f>IF(G124="","Missing", IF(AND(ISNUMBER(G124)=FALSE, H124=""),"Invalid - Could Not Parse", IF(AND(ISNUMBER(G124)=FALSE, H124&lt;&gt;""),"Text - Converted to Date", IF(ISNUMBER(G124),"Valid","Check"))))</f>
        <v>Text - Converted to Date</v>
      </c>
      <c r="J124" s="9" t="str">
        <f>IF(OR(C124="", H124=""), "Cannot Check - Date Missing", IF(H124&lt;C124, "Invalid - Ship Before Order", "Valid"))</f>
        <v>Valid</v>
      </c>
      <c r="K124" s="5">
        <f>IF(OR(C124="", H124=""), "", IF(H124&lt;C124, "", H124-C124))</f>
        <v>29</v>
      </c>
      <c r="L124" s="3" t="s">
        <v>2246</v>
      </c>
      <c r="M124" s="3" t="s">
        <v>40</v>
      </c>
      <c r="N124" s="4" t="str">
        <f>TRIM(SUBSTITUTE(M124,"_"," "))</f>
        <v>Mira Das</v>
      </c>
      <c r="O124" s="3" t="s">
        <v>41</v>
      </c>
      <c r="P124" s="6" t="str">
        <f>PROPER(TRIM(SUBSTITUTE(O124,".","")))</f>
        <v>Small Business</v>
      </c>
      <c r="Q124" s="3" t="s">
        <v>73</v>
      </c>
      <c r="R124" s="7" t="str">
        <f>PROPER(TRIM(SUBSTITUTE(Q124,"  "," ")))</f>
        <v>West</v>
      </c>
      <c r="S124" s="3" t="s">
        <v>249</v>
      </c>
      <c r="T124" s="6" t="str">
        <f>PROPER(TRIM(SUBSTITUTE(S124,"  "," ")))</f>
        <v>Goa</v>
      </c>
      <c r="U124" s="3" t="s">
        <v>250</v>
      </c>
      <c r="V124" s="6" t="str">
        <f>PROPER(TRIM(SUBSTITUTE(U124,"  "," ")))</f>
        <v>Panaji</v>
      </c>
      <c r="W124" s="3" t="s">
        <v>45</v>
      </c>
      <c r="X124" s="6" t="str">
        <f>PROPER(TRIM(SUBSTITUTE(W124,"  "," ")))</f>
        <v>Furniture</v>
      </c>
      <c r="Y124" s="3" t="s">
        <v>46</v>
      </c>
      <c r="Z124" s="6" t="str">
        <f>PROPER(TRIM(SUBSTITUTE(Y124,"  "," ")))</f>
        <v>Tables</v>
      </c>
      <c r="AA124" s="3" t="s">
        <v>2247</v>
      </c>
      <c r="AB124" s="3" t="s">
        <v>67</v>
      </c>
      <c r="AC124" s="6" t="str">
        <f>PROPER(TRIM(SUBSTITUTE(AB124,"  "," ")))</f>
        <v>Standard Class</v>
      </c>
      <c r="AD124" s="3">
        <v>7</v>
      </c>
      <c r="AE124" s="3">
        <v>2851.51</v>
      </c>
      <c r="AF124" s="3">
        <v>0</v>
      </c>
      <c r="AG124" s="17">
        <v>0</v>
      </c>
      <c r="AH124" s="6" t="str">
        <f t="shared" si="11"/>
        <v>Valid</v>
      </c>
      <c r="AI124" s="3">
        <v>19960.57</v>
      </c>
      <c r="AJ124" s="3">
        <v>16603.599999999999</v>
      </c>
      <c r="AK124" s="3">
        <v>3356.97</v>
      </c>
      <c r="AL124" s="3" t="s">
        <v>34</v>
      </c>
      <c r="AM124" s="6" t="str">
        <f>PROPER(TRIM(SUBSTITUTE(AL124,".","")))</f>
        <v>Paid</v>
      </c>
      <c r="AN124" s="3" t="s">
        <v>35</v>
      </c>
      <c r="AO124" s="8" t="str">
        <f>PROPER(TRIM(SUBSTITUTE(AN124,".","")))</f>
        <v>Completed</v>
      </c>
      <c r="AP124" t="str">
        <f>IF(COUNTIF($A$2:$A$933, A124) &gt; 1, "Duplicate ID", "Unique")</f>
        <v>Unique</v>
      </c>
      <c r="AR124">
        <f t="shared" si="12"/>
        <v>19960.57</v>
      </c>
      <c r="AS124">
        <f t="shared" si="13"/>
        <v>3356.9700000000012</v>
      </c>
      <c r="AT124" s="15">
        <f t="shared" si="14"/>
        <v>0.1681800670020947</v>
      </c>
      <c r="AU124" t="str">
        <f t="shared" si="15"/>
        <v>Clean</v>
      </c>
      <c r="AV124" s="8" t="str">
        <f t="shared" si="16"/>
        <v>Active</v>
      </c>
    </row>
    <row r="125" spans="1:48">
      <c r="A125" s="3" t="s">
        <v>347</v>
      </c>
      <c r="B125" s="3" t="s">
        <v>348</v>
      </c>
      <c r="C125" s="9">
        <f>IFERROR(DATEVALUE(TEXT(B125,"DD/MM/YYYY")), IF(ISNUMBER(B125), B125, ""))</f>
        <v>45388</v>
      </c>
      <c r="D125" s="9" t="str">
        <f>IF(B125="","Missing", IF(AND(ISNUMBER(B125)=FALSE, C125=""),"Invalid - Could Not Parse", IF(AND(ISNUMBER(B125)=FALSE, C125&lt;&gt;""),"Text - Converted to Date", IF(ISNUMBER(B125),"Valid","Check"))))</f>
        <v>Text - Converted to Date</v>
      </c>
      <c r="E125" s="5">
        <f t="shared" si="9"/>
        <v>4</v>
      </c>
      <c r="F125" s="5">
        <f t="shared" si="10"/>
        <v>2024</v>
      </c>
      <c r="G125" s="3" t="s">
        <v>349</v>
      </c>
      <c r="H125" s="9">
        <f>IFERROR(DATEVALUE(TEXT(G125,"DD/MM/YYYY")), IF(ISNUMBER(G125), G125, ""))</f>
        <v>45395</v>
      </c>
      <c r="I125" s="9" t="str">
        <f>IF(G125="","Missing", IF(AND(ISNUMBER(G125)=FALSE, H125=""),"Invalid - Could Not Parse", IF(AND(ISNUMBER(G125)=FALSE, H125&lt;&gt;""),"Text - Converted to Date", IF(ISNUMBER(G125),"Valid","Check"))))</f>
        <v>Text - Converted to Date</v>
      </c>
      <c r="J125" s="9" t="str">
        <f>IF(OR(C125="", H125=""), "Cannot Check - Date Missing", IF(H125&lt;C125, "Invalid - Ship Before Order", "Valid"))</f>
        <v>Valid</v>
      </c>
      <c r="K125" s="5">
        <f>IF(OR(C125="", H125=""), "", IF(H125&lt;C125, "", H125-C125))</f>
        <v>7</v>
      </c>
      <c r="L125" s="3" t="s">
        <v>350</v>
      </c>
      <c r="M125" s="3" t="s">
        <v>162</v>
      </c>
      <c r="N125" s="4" t="str">
        <f>TRIM(SUBSTITUTE(M125,"_"," "))</f>
        <v>Aarav Sharma</v>
      </c>
      <c r="O125" s="3" t="s">
        <v>115</v>
      </c>
      <c r="P125" s="6" t="str">
        <f>PROPER(TRIM(SUBSTITUTE(O125,".","")))</f>
        <v>Home Office</v>
      </c>
      <c r="Q125" s="3" t="s">
        <v>27</v>
      </c>
      <c r="R125" s="7" t="str">
        <f>PROPER(TRIM(SUBSTITUTE(Q125,"  "," ")))</f>
        <v>North</v>
      </c>
      <c r="S125" s="3" t="s">
        <v>174</v>
      </c>
      <c r="T125" s="6" t="str">
        <f>PROPER(TRIM(SUBSTITUTE(S125,"  "," ")))</f>
        <v>Uttar Pradesh</v>
      </c>
      <c r="U125" s="3" t="s">
        <v>175</v>
      </c>
      <c r="V125" s="6" t="str">
        <f>PROPER(TRIM(SUBSTITUTE(U125,"  "," ")))</f>
        <v>Noida</v>
      </c>
      <c r="W125" s="3" t="s">
        <v>86</v>
      </c>
      <c r="X125" s="6" t="str">
        <f>PROPER(TRIM(SUBSTITUTE(W125,"  "," ")))</f>
        <v>Technology</v>
      </c>
      <c r="Y125" s="3" t="s">
        <v>94</v>
      </c>
      <c r="Z125" s="6" t="str">
        <f>PROPER(TRIM(SUBSTITUTE(Y125,"  "," ")))</f>
        <v>Copiers</v>
      </c>
      <c r="AA125" s="3" t="s">
        <v>351</v>
      </c>
      <c r="AB125" s="3" t="s">
        <v>33</v>
      </c>
      <c r="AC125" s="6" t="str">
        <f>PROPER(TRIM(SUBSTITUTE(AB125,"  "," ")))</f>
        <v>Second Class</v>
      </c>
      <c r="AD125" s="3">
        <v>9</v>
      </c>
      <c r="AE125" s="3">
        <v>792.11</v>
      </c>
      <c r="AF125" s="3">
        <v>0.05</v>
      </c>
      <c r="AG125" s="17">
        <v>0.05</v>
      </c>
      <c r="AH125" s="6" t="str">
        <f t="shared" si="11"/>
        <v>Valid</v>
      </c>
      <c r="AI125" s="3">
        <v>6772.54</v>
      </c>
      <c r="AJ125" s="3">
        <v>5755.46</v>
      </c>
      <c r="AK125" s="3">
        <v>1017.08</v>
      </c>
      <c r="AL125" s="3" t="s">
        <v>34</v>
      </c>
      <c r="AM125" s="6" t="str">
        <f>PROPER(TRIM(SUBSTITUTE(AL125,".","")))</f>
        <v>Paid</v>
      </c>
      <c r="AN125" s="3" t="s">
        <v>35</v>
      </c>
      <c r="AO125" s="8" t="str">
        <f>PROPER(TRIM(SUBSTITUTE(AN125,".","")))</f>
        <v>Completed</v>
      </c>
      <c r="AP125" t="str">
        <f>IF(COUNTIF($A$2:$A$933, A125) &gt; 1, "Duplicate ID", "Unique")</f>
        <v>Unique</v>
      </c>
      <c r="AR125">
        <f t="shared" si="12"/>
        <v>6772.5404999999992</v>
      </c>
      <c r="AS125">
        <f t="shared" si="13"/>
        <v>1017.0804999999991</v>
      </c>
      <c r="AT125" s="15">
        <f t="shared" si="14"/>
        <v>0.15017710119267641</v>
      </c>
      <c r="AU125" t="str">
        <f t="shared" si="15"/>
        <v>Clean</v>
      </c>
      <c r="AV125" s="8" t="str">
        <f t="shared" si="16"/>
        <v>Active</v>
      </c>
    </row>
    <row r="126" spans="1:48">
      <c r="A126" s="3" t="s">
        <v>1418</v>
      </c>
      <c r="B126" s="3" t="s">
        <v>1419</v>
      </c>
      <c r="C126" s="9">
        <f>IFERROR(DATEVALUE(TEXT(B126,"DD/MM/YYYY")), IF(ISNUMBER(B126), B126, ""))</f>
        <v>45389</v>
      </c>
      <c r="D126" s="9" t="str">
        <f>IF(B126="","Missing", IF(AND(ISNUMBER(B126)=FALSE, C126=""),"Invalid - Could Not Parse", IF(AND(ISNUMBER(B126)=FALSE, C126&lt;&gt;""),"Text - Converted to Date", IF(ISNUMBER(B126),"Valid","Check"))))</f>
        <v>Text - Converted to Date</v>
      </c>
      <c r="E126" s="5">
        <f t="shared" si="9"/>
        <v>4</v>
      </c>
      <c r="F126" s="5">
        <f t="shared" si="10"/>
        <v>2024</v>
      </c>
      <c r="G126" s="3" t="s">
        <v>1420</v>
      </c>
      <c r="H126" s="9">
        <f>IFERROR(DATEVALUE(TEXT(G126,"DD/MM/YYYY")), IF(ISNUMBER(G126), G126, ""))</f>
        <v>45396</v>
      </c>
      <c r="I126" s="9" t="str">
        <f>IF(G126="","Missing", IF(AND(ISNUMBER(G126)=FALSE, H126=""),"Invalid - Could Not Parse", IF(AND(ISNUMBER(G126)=FALSE, H126&lt;&gt;""),"Text - Converted to Date", IF(ISNUMBER(G126),"Valid","Check"))))</f>
        <v>Text - Converted to Date</v>
      </c>
      <c r="J126" s="9" t="str">
        <f>IF(OR(C126="", H126=""), "Cannot Check - Date Missing", IF(H126&lt;C126, "Invalid - Ship Before Order", "Valid"))</f>
        <v>Valid</v>
      </c>
      <c r="K126" s="5">
        <f>IF(OR(C126="", H126=""), "", IF(H126&lt;C126, "", H126-C126))</f>
        <v>7</v>
      </c>
      <c r="L126" s="3" t="s">
        <v>1421</v>
      </c>
      <c r="M126" s="3" t="s">
        <v>180</v>
      </c>
      <c r="N126" s="4" t="str">
        <f>TRIM(SUBSTITUTE(M126,"_"," "))</f>
        <v>Rohan Mehta</v>
      </c>
      <c r="O126" s="3" t="s">
        <v>26</v>
      </c>
      <c r="P126" s="6" t="str">
        <f>PROPER(TRIM(SUBSTITUTE(O126,".","")))</f>
        <v>Consumer</v>
      </c>
      <c r="Q126" s="3" t="s">
        <v>62</v>
      </c>
      <c r="R126" s="7" t="str">
        <f>PROPER(TRIM(SUBSTITUTE(Q126,"  "," ")))</f>
        <v>South</v>
      </c>
      <c r="S126" s="3" t="s">
        <v>242</v>
      </c>
      <c r="T126" s="6" t="str">
        <f>PROPER(TRIM(SUBSTITUTE(S126,"  "," ")))</f>
        <v>Kerala</v>
      </c>
      <c r="U126" s="3" t="s">
        <v>243</v>
      </c>
      <c r="V126" s="6" t="str">
        <f>PROPER(TRIM(SUBSTITUTE(U126,"  "," ")))</f>
        <v>Kochi</v>
      </c>
      <c r="W126" s="3" t="s">
        <v>86</v>
      </c>
      <c r="X126" s="6" t="str">
        <f>PROPER(TRIM(SUBSTITUTE(W126,"  "," ")))</f>
        <v>Technology</v>
      </c>
      <c r="Y126" s="3" t="s">
        <v>94</v>
      </c>
      <c r="Z126" s="6" t="str">
        <f>PROPER(TRIM(SUBSTITUTE(Y126,"  "," ")))</f>
        <v>Copiers</v>
      </c>
      <c r="AA126" s="3" t="s">
        <v>1422</v>
      </c>
      <c r="AB126" s="3" t="s">
        <v>67</v>
      </c>
      <c r="AC126" s="6" t="str">
        <f>PROPER(TRIM(SUBSTITUTE(AB126,"  "," ")))</f>
        <v>Standard Class</v>
      </c>
      <c r="AD126" s="3">
        <v>6</v>
      </c>
      <c r="AE126" s="3">
        <v>4246.71</v>
      </c>
      <c r="AF126" s="3">
        <v>0.15</v>
      </c>
      <c r="AG126" s="17">
        <v>0.15</v>
      </c>
      <c r="AH126" s="6" t="str">
        <f t="shared" si="11"/>
        <v>Valid</v>
      </c>
      <c r="AI126" s="3">
        <v>21658.22</v>
      </c>
      <c r="AJ126" s="3">
        <v>15490.69</v>
      </c>
      <c r="AK126" s="3">
        <v>6167.53</v>
      </c>
      <c r="AL126" s="3" t="s">
        <v>200</v>
      </c>
      <c r="AM126" s="6" t="str">
        <f>PROPER(TRIM(SUBSTITUTE(AL126,".","")))</f>
        <v>Failed</v>
      </c>
      <c r="AN126" s="3" t="s">
        <v>125</v>
      </c>
      <c r="AO126" s="8" t="str">
        <f>PROPER(TRIM(SUBSTITUTE(AN126,".","")))</f>
        <v>Returned</v>
      </c>
      <c r="AP126" t="str">
        <f>IF(COUNTIF($A$2:$A$933, A126) &gt; 1, "Duplicate ID", "Unique")</f>
        <v>Unique</v>
      </c>
      <c r="AR126">
        <f t="shared" si="12"/>
        <v>21658.221000000001</v>
      </c>
      <c r="AS126">
        <f t="shared" si="13"/>
        <v>6167.5310000000009</v>
      </c>
      <c r="AT126" s="15">
        <f t="shared" si="14"/>
        <v>0.28476627881856043</v>
      </c>
      <c r="AU126" t="str">
        <f t="shared" si="15"/>
        <v>Clean</v>
      </c>
      <c r="AV126" s="8" t="str">
        <f t="shared" si="16"/>
        <v>Active</v>
      </c>
    </row>
    <row r="127" spans="1:48">
      <c r="A127" s="3" t="s">
        <v>1893</v>
      </c>
      <c r="B127" s="3" t="s">
        <v>1894</v>
      </c>
      <c r="C127" s="9">
        <f>IFERROR(DATEVALUE(TEXT(B127,"DD/MM/YYYY")), IF(ISNUMBER(B127), B127, ""))</f>
        <v>45389</v>
      </c>
      <c r="D127" s="9" t="str">
        <f>IF(B127="","Missing", IF(AND(ISNUMBER(B127)=FALSE, C127=""),"Invalid - Could Not Parse", IF(AND(ISNUMBER(B127)=FALSE, C127&lt;&gt;""),"Text - Converted to Date", IF(ISNUMBER(B127),"Valid","Check"))))</f>
        <v>Text - Converted to Date</v>
      </c>
      <c r="E127" s="5">
        <f t="shared" si="9"/>
        <v>4</v>
      </c>
      <c r="F127" s="5">
        <f t="shared" si="10"/>
        <v>2024</v>
      </c>
      <c r="G127" s="3" t="s">
        <v>1420</v>
      </c>
      <c r="H127" s="9">
        <f>IFERROR(DATEVALUE(TEXT(G127,"DD/MM/YYYY")), IF(ISNUMBER(G127), G127, ""))</f>
        <v>45396</v>
      </c>
      <c r="I127" s="9" t="str">
        <f>IF(G127="","Missing", IF(AND(ISNUMBER(G127)=FALSE, H127=""),"Invalid - Could Not Parse", IF(AND(ISNUMBER(G127)=FALSE, H127&lt;&gt;""),"Text - Converted to Date", IF(ISNUMBER(G127),"Valid","Check"))))</f>
        <v>Text - Converted to Date</v>
      </c>
      <c r="J127" s="9" t="str">
        <f>IF(OR(C127="", H127=""), "Cannot Check - Date Missing", IF(H127&lt;C127, "Invalid - Ship Before Order", "Valid"))</f>
        <v>Valid</v>
      </c>
      <c r="K127" s="5">
        <f>IF(OR(C127="", H127=""), "", IF(H127&lt;C127, "", H127-C127))</f>
        <v>7</v>
      </c>
      <c r="L127" s="3" t="s">
        <v>1895</v>
      </c>
      <c r="M127" s="3" t="s">
        <v>83</v>
      </c>
      <c r="N127" s="4" t="str">
        <f>TRIM(SUBSTITUTE(M127,"_"," "))</f>
        <v>Vikram Iyer</v>
      </c>
      <c r="O127" s="3" t="s">
        <v>26</v>
      </c>
      <c r="P127" s="6" t="str">
        <f>PROPER(TRIM(SUBSTITUTE(O127,".","")))</f>
        <v>Consumer</v>
      </c>
      <c r="Q127" s="3" t="s">
        <v>73</v>
      </c>
      <c r="R127" s="7" t="str">
        <f>PROPER(TRIM(SUBSTITUTE(Q127,"  "," ")))</f>
        <v>West</v>
      </c>
      <c r="S127" s="3" t="s">
        <v>74</v>
      </c>
      <c r="T127" s="6" t="str">
        <f>PROPER(TRIM(SUBSTITUTE(S127,"  "," ")))</f>
        <v>Maharashtra</v>
      </c>
      <c r="U127" s="3" t="s">
        <v>75</v>
      </c>
      <c r="V127" s="6" t="str">
        <f>PROPER(TRIM(SUBSTITUTE(U127,"  "," ")))</f>
        <v>Mumbai</v>
      </c>
      <c r="W127" s="3" t="s">
        <v>45</v>
      </c>
      <c r="X127" s="6" t="str">
        <f>PROPER(TRIM(SUBSTITUTE(W127,"  "," ")))</f>
        <v>Furniture</v>
      </c>
      <c r="Y127" s="3" t="s">
        <v>204</v>
      </c>
      <c r="Z127" s="6" t="str">
        <f>PROPER(TRIM(SUBSTITUTE(Y127,"  "," ")))</f>
        <v>Bookcases</v>
      </c>
      <c r="AA127" s="3" t="s">
        <v>1896</v>
      </c>
      <c r="AB127" s="3" t="s">
        <v>48</v>
      </c>
      <c r="AC127" s="6" t="str">
        <f>PROPER(TRIM(SUBSTITUTE(AB127,"  "," ")))</f>
        <v>Same Day</v>
      </c>
      <c r="AD127" s="3">
        <v>5</v>
      </c>
      <c r="AE127" s="3">
        <v>2235.85</v>
      </c>
      <c r="AF127" s="3">
        <v>0.25</v>
      </c>
      <c r="AG127" s="17">
        <v>0.25</v>
      </c>
      <c r="AH127" s="6" t="str">
        <f t="shared" si="11"/>
        <v>Valid</v>
      </c>
      <c r="AI127" s="3">
        <v>8384.44</v>
      </c>
      <c r="AJ127" s="3">
        <v>4765.96</v>
      </c>
      <c r="AK127" s="3">
        <v>3618.48</v>
      </c>
      <c r="AL127" s="3" t="s">
        <v>34</v>
      </c>
      <c r="AM127" s="6" t="str">
        <f>PROPER(TRIM(SUBSTITUTE(AL127,".","")))</f>
        <v>Paid</v>
      </c>
      <c r="AN127" s="3" t="s">
        <v>125</v>
      </c>
      <c r="AO127" s="8" t="str">
        <f>PROPER(TRIM(SUBSTITUTE(AN127,".","")))</f>
        <v>Returned</v>
      </c>
      <c r="AP127" t="str">
        <f>IF(COUNTIF($A$2:$A$933, A127) &gt; 1, "Duplicate ID", "Unique")</f>
        <v>Unique</v>
      </c>
      <c r="AR127">
        <f t="shared" si="12"/>
        <v>8384.4375</v>
      </c>
      <c r="AS127">
        <f t="shared" si="13"/>
        <v>3618.4775</v>
      </c>
      <c r="AT127" s="15">
        <f t="shared" si="14"/>
        <v>0.43157069272685256</v>
      </c>
      <c r="AU127" t="str">
        <f t="shared" si="15"/>
        <v>Clean</v>
      </c>
      <c r="AV127" s="8" t="str">
        <f t="shared" si="16"/>
        <v>Active</v>
      </c>
    </row>
    <row r="128" spans="1:48">
      <c r="A128" s="3" t="s">
        <v>3205</v>
      </c>
      <c r="B128" s="3" t="s">
        <v>3206</v>
      </c>
      <c r="C128" s="9">
        <f>IFERROR(DATEVALUE(TEXT(B128,"DD/MM/YYYY")), IF(ISNUMBER(B128), B128, ""))</f>
        <v>45389</v>
      </c>
      <c r="D128" s="9" t="str">
        <f>IF(B128="","Missing", IF(AND(ISNUMBER(B128)=FALSE, C128=""),"Invalid - Could Not Parse", IF(AND(ISNUMBER(B128)=FALSE, C128&lt;&gt;""),"Text - Converted to Date", IF(ISNUMBER(B128),"Valid","Check"))))</f>
        <v>Text - Converted to Date</v>
      </c>
      <c r="E128" s="5">
        <f t="shared" si="9"/>
        <v>4</v>
      </c>
      <c r="F128" s="5">
        <f t="shared" si="10"/>
        <v>2024</v>
      </c>
      <c r="G128" s="3" t="s">
        <v>3207</v>
      </c>
      <c r="H128" s="9">
        <f>IFERROR(DATEVALUE(TEXT(G128,"DD/MM/YYYY")), IF(ISNUMBER(G128), G128, ""))</f>
        <v>45483</v>
      </c>
      <c r="I128" s="9" t="str">
        <f>IF(G128="","Missing", IF(AND(ISNUMBER(G128)=FALSE, H128=""),"Invalid - Could Not Parse", IF(AND(ISNUMBER(G128)=FALSE, H128&lt;&gt;""),"Text - Converted to Date", IF(ISNUMBER(G128),"Valid","Check"))))</f>
        <v>Text - Converted to Date</v>
      </c>
      <c r="J128" s="9" t="str">
        <f>IF(OR(C128="", H128=""), "Cannot Check - Date Missing", IF(H128&lt;C128, "Invalid - Ship Before Order", "Valid"))</f>
        <v>Valid</v>
      </c>
      <c r="K128" s="5">
        <f>IF(OR(C128="", H128=""), "", IF(H128&lt;C128, "", H128-C128))</f>
        <v>94</v>
      </c>
      <c r="L128" s="3" t="s">
        <v>3208</v>
      </c>
      <c r="M128" s="3" t="s">
        <v>83</v>
      </c>
      <c r="N128" s="4" t="str">
        <f>TRIM(SUBSTITUTE(M128,"_"," "))</f>
        <v>Vikram Iyer</v>
      </c>
      <c r="O128" s="3" t="s">
        <v>108</v>
      </c>
      <c r="P128" s="6" t="str">
        <f>PROPER(TRIM(SUBSTITUTE(O128,".","")))</f>
        <v>Corporate</v>
      </c>
      <c r="Q128" s="3" t="s">
        <v>27</v>
      </c>
      <c r="R128" s="7" t="str">
        <f>PROPER(TRIM(SUBSTITUTE(Q128,"  "," ")))</f>
        <v>North</v>
      </c>
      <c r="S128" s="3" t="s">
        <v>506</v>
      </c>
      <c r="T128" s="6" t="str">
        <f>PROPER(TRIM(SUBSTITUTE(S128,"  "," ")))</f>
        <v>Delhi</v>
      </c>
      <c r="U128" s="3" t="s">
        <v>507</v>
      </c>
      <c r="V128" s="6" t="str">
        <f>PROPER(TRIM(SUBSTITUTE(U128,"  "," ")))</f>
        <v>New Delhi</v>
      </c>
      <c r="W128" s="3" t="s">
        <v>45</v>
      </c>
      <c r="X128" s="6" t="str">
        <f>PROPER(TRIM(SUBSTITUTE(W128,"  "," ")))</f>
        <v>Furniture</v>
      </c>
      <c r="Y128" s="3" t="s">
        <v>46</v>
      </c>
      <c r="Z128" s="6" t="str">
        <f>PROPER(TRIM(SUBSTITUTE(Y128,"  "," ")))</f>
        <v>Tables</v>
      </c>
      <c r="AA128" s="3" t="s">
        <v>3209</v>
      </c>
      <c r="AB128" s="3" t="s">
        <v>33</v>
      </c>
      <c r="AC128" s="6" t="str">
        <f>PROPER(TRIM(SUBSTITUTE(AB128,"  "," ")))</f>
        <v>Second Class</v>
      </c>
      <c r="AD128" s="3">
        <v>5</v>
      </c>
      <c r="AE128" s="3">
        <v>1200.27</v>
      </c>
      <c r="AF128" s="3">
        <v>0</v>
      </c>
      <c r="AG128" s="17">
        <v>0</v>
      </c>
      <c r="AH128" s="6" t="str">
        <f t="shared" si="11"/>
        <v>Valid</v>
      </c>
      <c r="AI128" s="3">
        <v>6001.35</v>
      </c>
      <c r="AJ128" s="3">
        <v>4182.99</v>
      </c>
      <c r="AK128" s="3">
        <v>1818.36</v>
      </c>
      <c r="AL128" s="3" t="s">
        <v>34</v>
      </c>
      <c r="AM128" s="6" t="str">
        <f>PROPER(TRIM(SUBSTITUTE(AL128,".","")))</f>
        <v>Paid</v>
      </c>
      <c r="AN128" s="3" t="s">
        <v>78</v>
      </c>
      <c r="AO128" s="8" t="str">
        <f>PROPER(TRIM(SUBSTITUTE(AN128,".","")))</f>
        <v>Cancelled</v>
      </c>
      <c r="AP128" t="str">
        <f>IF(COUNTIF($A$2:$A$933, A128) &gt; 1, "Duplicate ID", "Unique")</f>
        <v>Unique</v>
      </c>
      <c r="AR128">
        <f t="shared" si="12"/>
        <v>6001.35</v>
      </c>
      <c r="AS128">
        <f t="shared" si="13"/>
        <v>1818.3600000000006</v>
      </c>
      <c r="AT128" s="15">
        <f t="shared" si="14"/>
        <v>0.30299182683896131</v>
      </c>
      <c r="AU128" t="str">
        <f t="shared" si="15"/>
        <v>Clean</v>
      </c>
      <c r="AV128" s="8" t="str">
        <f t="shared" si="16"/>
        <v>Cancelled</v>
      </c>
    </row>
    <row r="129" spans="1:48">
      <c r="A129" s="3" t="s">
        <v>2796</v>
      </c>
      <c r="B129" s="3" t="s">
        <v>2797</v>
      </c>
      <c r="C129" s="9">
        <f>IFERROR(DATEVALUE(TEXT(B129,"DD/MM/YYYY")), IF(ISNUMBER(B129), B129, ""))</f>
        <v>45390</v>
      </c>
      <c r="D129" s="9" t="str">
        <f>IF(B129="","Missing", IF(AND(ISNUMBER(B129)=FALSE, C129=""),"Invalid - Could Not Parse", IF(AND(ISNUMBER(B129)=FALSE, C129&lt;&gt;""),"Text - Converted to Date", IF(ISNUMBER(B129),"Valid","Check"))))</f>
        <v>Text - Converted to Date</v>
      </c>
      <c r="E129" s="5">
        <f t="shared" si="9"/>
        <v>4</v>
      </c>
      <c r="F129" s="5">
        <f t="shared" si="10"/>
        <v>2024</v>
      </c>
      <c r="G129" s="3" t="s">
        <v>2798</v>
      </c>
      <c r="H129" s="9">
        <f>IFERROR(DATEVALUE(TEXT(G129,"DD/MM/YYYY")), IF(ISNUMBER(G129), G129, ""))</f>
        <v>45514</v>
      </c>
      <c r="I129" s="9" t="str">
        <f>IF(G129="","Missing", IF(AND(ISNUMBER(G129)=FALSE, H129=""),"Invalid - Could Not Parse", IF(AND(ISNUMBER(G129)=FALSE, H129&lt;&gt;""),"Text - Converted to Date", IF(ISNUMBER(G129),"Valid","Check"))))</f>
        <v>Text - Converted to Date</v>
      </c>
      <c r="J129" s="9" t="str">
        <f>IF(OR(C129="", H129=""), "Cannot Check - Date Missing", IF(H129&lt;C129, "Invalid - Ship Before Order", "Valid"))</f>
        <v>Valid</v>
      </c>
      <c r="K129" s="5">
        <f>IF(OR(C129="", H129=""), "", IF(H129&lt;C129, "", H129-C129))</f>
        <v>124</v>
      </c>
      <c r="L129" s="3" t="s">
        <v>2799</v>
      </c>
      <c r="M129" s="3" t="s">
        <v>83</v>
      </c>
      <c r="N129" s="4" t="str">
        <f>TRIM(SUBSTITUTE(M129,"_"," "))</f>
        <v>Vikram Iyer</v>
      </c>
      <c r="O129" s="3" t="s">
        <v>26</v>
      </c>
      <c r="P129" s="6" t="str">
        <f>PROPER(TRIM(SUBSTITUTE(O129,".","")))</f>
        <v>Consumer</v>
      </c>
      <c r="Q129" s="3" t="s">
        <v>42</v>
      </c>
      <c r="R129" s="7" t="str">
        <f>PROPER(TRIM(SUBSTITUTE(Q129,"  "," ")))</f>
        <v>East</v>
      </c>
      <c r="S129" s="3" t="s">
        <v>186</v>
      </c>
      <c r="T129" s="6" t="str">
        <f>PROPER(TRIM(SUBSTITUTE(S129,"  "," ")))</f>
        <v>Bihar</v>
      </c>
      <c r="U129" s="3" t="s">
        <v>187</v>
      </c>
      <c r="V129" s="6" t="str">
        <f>PROPER(TRIM(SUBSTITUTE(U129,"  "," ")))</f>
        <v>Patna</v>
      </c>
      <c r="W129" s="3" t="s">
        <v>30</v>
      </c>
      <c r="X129" s="6" t="str">
        <f>PROPER(TRIM(SUBSTITUTE(W129,"  "," ")))</f>
        <v>Office Supplies</v>
      </c>
      <c r="Y129" s="3" t="s">
        <v>54</v>
      </c>
      <c r="Z129" s="6" t="str">
        <f>PROPER(TRIM(SUBSTITUTE(Y129,"  "," ")))</f>
        <v>Art</v>
      </c>
      <c r="AA129" s="3" t="s">
        <v>2800</v>
      </c>
      <c r="AB129" s="3" t="s">
        <v>48</v>
      </c>
      <c r="AC129" s="6" t="str">
        <f>PROPER(TRIM(SUBSTITUTE(AB129,"  "," ")))</f>
        <v>Same Day</v>
      </c>
      <c r="AD129" s="3">
        <v>1</v>
      </c>
      <c r="AE129" s="3">
        <v>984.93</v>
      </c>
      <c r="AF129" s="3">
        <v>0.15</v>
      </c>
      <c r="AG129" s="17">
        <v>0.15</v>
      </c>
      <c r="AH129" s="6" t="str">
        <f t="shared" si="11"/>
        <v>Valid</v>
      </c>
      <c r="AI129" s="3">
        <v>837.19</v>
      </c>
      <c r="AJ129" s="3">
        <v>583.79</v>
      </c>
      <c r="AK129" s="3">
        <v>253.4</v>
      </c>
      <c r="AL129" s="3" t="s">
        <v>137</v>
      </c>
      <c r="AM129" s="6" t="str">
        <f>PROPER(TRIM(SUBSTITUTE(AL129,".","")))</f>
        <v>Pending</v>
      </c>
      <c r="AN129" s="3" t="s">
        <v>125</v>
      </c>
      <c r="AO129" s="8" t="str">
        <f>PROPER(TRIM(SUBSTITUTE(AN129,".","")))</f>
        <v>Returned</v>
      </c>
      <c r="AP129" t="str">
        <f>IF(COUNTIF($A$2:$A$933, A129) &gt; 1, "Duplicate ID", "Unique")</f>
        <v>Unique</v>
      </c>
      <c r="AR129">
        <f t="shared" si="12"/>
        <v>837.19049999999993</v>
      </c>
      <c r="AS129">
        <f t="shared" si="13"/>
        <v>253.40049999999997</v>
      </c>
      <c r="AT129" s="15">
        <f t="shared" si="14"/>
        <v>0.30267961712417901</v>
      </c>
      <c r="AU129" t="str">
        <f t="shared" si="15"/>
        <v>Clean</v>
      </c>
      <c r="AV129" s="8" t="str">
        <f t="shared" si="16"/>
        <v>Active</v>
      </c>
    </row>
    <row r="130" spans="1:48">
      <c r="A130" s="3" t="s">
        <v>448</v>
      </c>
      <c r="B130" s="3" t="s">
        <v>449</v>
      </c>
      <c r="C130" s="9">
        <f>IFERROR(DATEVALUE(TEXT(B130,"DD/MM/YYYY")), IF(ISNUMBER(B130), B130, ""))</f>
        <v>45391</v>
      </c>
      <c r="D130" s="9" t="str">
        <f>IF(B130="","Missing", IF(AND(ISNUMBER(B130)=FALSE, C130=""),"Invalid - Could Not Parse", IF(AND(ISNUMBER(B130)=FALSE, C130&lt;&gt;""),"Text - Converted to Date", IF(ISNUMBER(B130),"Valid","Check"))))</f>
        <v>Text - Converted to Date</v>
      </c>
      <c r="E130" s="5">
        <f t="shared" si="9"/>
        <v>4</v>
      </c>
      <c r="F130" s="5">
        <f t="shared" si="10"/>
        <v>2024</v>
      </c>
      <c r="G130" s="3" t="s">
        <v>450</v>
      </c>
      <c r="H130" s="9">
        <f>IFERROR(DATEVALUE(MID(G130,4,2) &amp; "/" &amp; LEFT(G130,2) &amp; "/" &amp; RIGHT(G130,4)), IF(ISNUMBER(G130), G130, IFERROR(DATEVALUE(G130), "")))</f>
        <v>45396</v>
      </c>
      <c r="I130" s="9" t="str">
        <f>IF(G130="","Missing", IF(AND(ISNUMBER(G130)=FALSE, H130=""),"Invalid - Could Not Parse", IF(AND(ISNUMBER(G130)=FALSE, H130&lt;&gt;""),"Text - Converted to Date", IF(ISNUMBER(G130),"Valid","Check"))))</f>
        <v>Text - Converted to Date</v>
      </c>
      <c r="J130" s="9" t="str">
        <f>IF(OR(C130="", H130=""), "Cannot Check - Date Missing", IF(H130&lt;C130, "Invalid - Ship Before Order", "Valid"))</f>
        <v>Valid</v>
      </c>
      <c r="K130" s="5">
        <f>IF(OR(C130="", H130=""), "", IF(H130&lt;C130, "", H130-C130))</f>
        <v>5</v>
      </c>
      <c r="L130" s="3" t="s">
        <v>451</v>
      </c>
      <c r="M130" s="3" t="s">
        <v>93</v>
      </c>
      <c r="N130" s="4" t="str">
        <f>TRIM(SUBSTITUTE(M130,"_"," "))</f>
        <v>Neha Gupta</v>
      </c>
      <c r="O130" s="3" t="s">
        <v>41</v>
      </c>
      <c r="P130" s="6" t="str">
        <f>PROPER(TRIM(SUBSTITUTE(O130,".","")))</f>
        <v>Small Business</v>
      </c>
      <c r="Q130" s="3" t="s">
        <v>73</v>
      </c>
      <c r="R130" s="7" t="str">
        <f>PROPER(TRIM(SUBSTITUTE(Q130,"  "," ")))</f>
        <v>West</v>
      </c>
      <c r="S130" s="3" t="s">
        <v>235</v>
      </c>
      <c r="T130" s="6" t="str">
        <f>PROPER(TRIM(SUBSTITUTE(S130,"  "," ")))</f>
        <v>Gujarat</v>
      </c>
      <c r="U130" s="3" t="s">
        <v>236</v>
      </c>
      <c r="V130" s="6" t="str">
        <f>PROPER(TRIM(SUBSTITUTE(U130,"  "," ")))</f>
        <v>Ahmedabad</v>
      </c>
      <c r="W130" s="3" t="s">
        <v>86</v>
      </c>
      <c r="X130" s="6" t="str">
        <f>PROPER(TRIM(SUBSTITUTE(W130,"  "," ")))</f>
        <v>Technology</v>
      </c>
      <c r="Y130" s="3" t="s">
        <v>382</v>
      </c>
      <c r="Z130" s="6" t="str">
        <f>PROPER(TRIM(SUBSTITUTE(Y130,"  "," ")))</f>
        <v>Machines</v>
      </c>
      <c r="AA130" s="3" t="s">
        <v>452</v>
      </c>
      <c r="AB130" s="3" t="s">
        <v>48</v>
      </c>
      <c r="AC130" s="6" t="str">
        <f>PROPER(TRIM(SUBSTITUTE(AB130,"  "," ")))</f>
        <v>Same Day</v>
      </c>
      <c r="AD130" s="3">
        <v>7</v>
      </c>
      <c r="AE130" s="3">
        <v>3417.09</v>
      </c>
      <c r="AF130" s="3">
        <v>0.1</v>
      </c>
      <c r="AG130" s="17">
        <v>0.1</v>
      </c>
      <c r="AH130" s="6" t="str">
        <f t="shared" si="11"/>
        <v>Valid</v>
      </c>
      <c r="AI130" s="3">
        <v>21527.67</v>
      </c>
      <c r="AJ130" s="3">
        <v>18287.580000000002</v>
      </c>
      <c r="AK130" s="3">
        <v>3240.09</v>
      </c>
      <c r="AL130" s="3" t="s">
        <v>124</v>
      </c>
      <c r="AM130" s="6" t="str">
        <f>PROPER(TRIM(SUBSTITUTE(AL130,".","")))</f>
        <v>Refunded</v>
      </c>
      <c r="AN130" s="3" t="s">
        <v>125</v>
      </c>
      <c r="AO130" s="8" t="str">
        <f>PROPER(TRIM(SUBSTITUTE(AN130,".","")))</f>
        <v>Returned</v>
      </c>
      <c r="AP130" t="str">
        <f>IF(COUNTIF($A$2:$A$933, A130) &gt; 1, "Duplicate ID", "Unique")</f>
        <v>Unique</v>
      </c>
      <c r="AR130">
        <f t="shared" si="12"/>
        <v>21527.667000000001</v>
      </c>
      <c r="AS130">
        <f t="shared" si="13"/>
        <v>3240.0869999999995</v>
      </c>
      <c r="AT130" s="15">
        <f t="shared" si="14"/>
        <v>0.15050804158202555</v>
      </c>
      <c r="AU130" t="str">
        <f t="shared" si="15"/>
        <v>Clean</v>
      </c>
      <c r="AV130" s="8" t="str">
        <f t="shared" si="16"/>
        <v>Refund</v>
      </c>
    </row>
    <row r="131" spans="1:48">
      <c r="A131" s="3" t="s">
        <v>2988</v>
      </c>
      <c r="B131" s="3" t="s">
        <v>2443</v>
      </c>
      <c r="C131" s="9">
        <f>IFERROR(DATEVALUE(TEXT(B131,"DD/MM/YYYY")), IF(ISNUMBER(B131), B131, ""))</f>
        <v>45391</v>
      </c>
      <c r="D131" s="9" t="str">
        <f>IF(B131="","Missing", IF(AND(ISNUMBER(B131)=FALSE, C131=""),"Invalid - Could Not Parse", IF(AND(ISNUMBER(B131)=FALSE, C131&lt;&gt;""),"Text - Converted to Date", IF(ISNUMBER(B131),"Valid","Check"))))</f>
        <v>Text - Converted to Date</v>
      </c>
      <c r="E131" s="5">
        <f t="shared" ref="E131:E194" si="17">IFERROR(MONTH(C131), "")</f>
        <v>4</v>
      </c>
      <c r="F131" s="5">
        <f t="shared" ref="F131:F194" si="18">IFERROR(YEAR(C131), "")</f>
        <v>2024</v>
      </c>
      <c r="G131" s="3" t="s">
        <v>1497</v>
      </c>
      <c r="H131" s="9">
        <f>IFERROR(DATEVALUE(TEXT(G131,"DD/MM/YYYY")), IF(ISNUMBER(G131), G131, ""))</f>
        <v>45392</v>
      </c>
      <c r="I131" s="9" t="str">
        <f>IF(G131="","Missing", IF(AND(ISNUMBER(G131)=FALSE, H131=""),"Invalid - Could Not Parse", IF(AND(ISNUMBER(G131)=FALSE, H131&lt;&gt;""),"Text - Converted to Date", IF(ISNUMBER(G131),"Valid","Check"))))</f>
        <v>Text - Converted to Date</v>
      </c>
      <c r="J131" s="9" t="str">
        <f>IF(OR(C131="", H131=""), "Cannot Check - Date Missing", IF(H131&lt;C131, "Invalid - Ship Before Order", "Valid"))</f>
        <v>Valid</v>
      </c>
      <c r="K131" s="5">
        <f>IF(OR(C131="", H131=""), "", IF(H131&lt;C131, "", H131-C131))</f>
        <v>1</v>
      </c>
      <c r="L131" s="3" t="s">
        <v>2989</v>
      </c>
      <c r="M131" s="3" t="s">
        <v>142</v>
      </c>
      <c r="N131" s="4" t="str">
        <f>TRIM(SUBSTITUTE(M131,"_"," "))</f>
        <v>Priya Menon</v>
      </c>
      <c r="O131" s="3" t="s">
        <v>108</v>
      </c>
      <c r="P131" s="6" t="str">
        <f>PROPER(TRIM(SUBSTITUTE(O131,".","")))</f>
        <v>Corporate</v>
      </c>
      <c r="Q131" s="3" t="s">
        <v>42</v>
      </c>
      <c r="R131" s="7" t="str">
        <f>PROPER(TRIM(SUBSTITUTE(Q131,"  "," ")))</f>
        <v>East</v>
      </c>
      <c r="S131" s="3" t="s">
        <v>216</v>
      </c>
      <c r="T131" s="6" t="str">
        <f>PROPER(TRIM(SUBSTITUTE(S131,"  "," ")))</f>
        <v>Assam</v>
      </c>
      <c r="U131" s="3" t="s">
        <v>217</v>
      </c>
      <c r="V131" s="6" t="str">
        <f>PROPER(TRIM(SUBSTITUTE(U131,"  "," ")))</f>
        <v>Guwahati</v>
      </c>
      <c r="W131" s="3" t="s">
        <v>30</v>
      </c>
      <c r="X131" s="6" t="str">
        <f>PROPER(TRIM(SUBSTITUTE(W131,"  "," ")))</f>
        <v>Office Supplies</v>
      </c>
      <c r="Y131" s="3" t="s">
        <v>31</v>
      </c>
      <c r="Z131" s="6" t="str">
        <f>PROPER(TRIM(SUBSTITUTE(Y131,"  "," ")))</f>
        <v>Paper</v>
      </c>
      <c r="AA131" s="3" t="s">
        <v>2990</v>
      </c>
      <c r="AB131" s="3" t="s">
        <v>67</v>
      </c>
      <c r="AC131" s="6" t="str">
        <f>PROPER(TRIM(SUBSTITUTE(AB131,"  "," ")))</f>
        <v>Standard Class</v>
      </c>
      <c r="AD131" s="3">
        <v>4</v>
      </c>
      <c r="AE131" s="3">
        <v>3047.05</v>
      </c>
      <c r="AF131" s="3">
        <v>0.1</v>
      </c>
      <c r="AG131" s="17">
        <v>0.1</v>
      </c>
      <c r="AH131" s="6" t="str">
        <f t="shared" ref="AH131:AH194" si="19">IF(ISBLANK(AF131), "Missing", IF(AF131 &lt; 0, "Invalid - Negative", IF(AF131 &gt; 0.5, "Invalid - Above Range", "Valid")))</f>
        <v>Valid</v>
      </c>
      <c r="AI131" s="3">
        <v>10969.38</v>
      </c>
      <c r="AJ131" s="3">
        <v>9254.4599999999991</v>
      </c>
      <c r="AK131" s="3">
        <v>1714.92</v>
      </c>
      <c r="AL131" s="3" t="s">
        <v>34</v>
      </c>
      <c r="AM131" s="6" t="str">
        <f>PROPER(TRIM(SUBSTITUTE(AL131,".","")))</f>
        <v>Paid</v>
      </c>
      <c r="AN131" s="3" t="s">
        <v>35</v>
      </c>
      <c r="AO131" s="8" t="str">
        <f>PROPER(TRIM(SUBSTITUTE(AN131,".","")))</f>
        <v>Completed</v>
      </c>
      <c r="AP131" t="str">
        <f>IF(COUNTIF($A$2:$A$933, A131) &gt; 1, "Duplicate ID", "Unique")</f>
        <v>Unique</v>
      </c>
      <c r="AR131">
        <f t="shared" ref="AR131:AR194" si="20">AD131 * AE131 * (1 - AG131)</f>
        <v>10969.380000000001</v>
      </c>
      <c r="AS131">
        <f t="shared" ref="AS131:AS194" si="21">AR131-AJ131</f>
        <v>1714.9200000000019</v>
      </c>
      <c r="AT131" s="15">
        <f t="shared" ref="AT131:AT194" si="22">IFERROR(AS131 / AR131, "")</f>
        <v>0.15633700354988173</v>
      </c>
      <c r="AU131" t="str">
        <f t="shared" ref="AU131:AU194" si="23">IF(OR(AH131="Invalid - Negative",AH131="Invalid - Above Range", J131="Invalid - Ship Before Order", AQ131="Conflicting Duplicate - Flagged"), "Invalid", IF(OR(R130="Unknown", AC130="Unknown", AH131="Missing"), "Warning", "Clean"))</f>
        <v>Clean</v>
      </c>
      <c r="AV131" s="8" t="str">
        <f t="shared" ref="AV131:AV194" si="24">IF(AM131 = "Refunded", "Refund", IF(AO131 = "Cancelled", "Cancelled", "Active"))</f>
        <v>Active</v>
      </c>
    </row>
    <row r="132" spans="1:48">
      <c r="A132" s="3" t="s">
        <v>2849</v>
      </c>
      <c r="B132" s="3" t="s">
        <v>1440</v>
      </c>
      <c r="C132" s="9">
        <f>IFERROR(DATEVALUE(TEXT(B132,"DD/MM/YYYY")), IF(ISNUMBER(B132), B132, ""))</f>
        <v>45392</v>
      </c>
      <c r="D132" s="9" t="str">
        <f>IF(B132="","Missing", IF(AND(ISNUMBER(B132)=FALSE, C132=""),"Invalid - Could Not Parse", IF(AND(ISNUMBER(B132)=FALSE, C132&lt;&gt;""),"Text - Converted to Date", IF(ISNUMBER(B132),"Valid","Check"))))</f>
        <v>Text - Converted to Date</v>
      </c>
      <c r="E132" s="5">
        <f t="shared" si="17"/>
        <v>4</v>
      </c>
      <c r="F132" s="5">
        <f t="shared" si="18"/>
        <v>2024</v>
      </c>
      <c r="G132" s="3" t="s">
        <v>411</v>
      </c>
      <c r="H132" s="9">
        <f>IFERROR(DATEVALUE(MID(G132,4,2) &amp; "/" &amp; LEFT(G132,2) &amp; "/" &amp; RIGHT(G132,4)), IF(ISNUMBER(G132), G132, IFERROR(DATEVALUE(G132), "")))</f>
        <v>45398</v>
      </c>
      <c r="I132" s="9" t="str">
        <f>IF(G132="","Missing", IF(AND(ISNUMBER(G132)=FALSE, H132=""),"Invalid - Could Not Parse", IF(AND(ISNUMBER(G132)=FALSE, H132&lt;&gt;""),"Text - Converted to Date", IF(ISNUMBER(G132),"Valid","Check"))))</f>
        <v>Text - Converted to Date</v>
      </c>
      <c r="J132" s="9" t="str">
        <f>IF(OR(C132="", H132=""), "Cannot Check - Date Missing", IF(H132&lt;C132, "Invalid - Ship Before Order", "Valid"))</f>
        <v>Valid</v>
      </c>
      <c r="K132" s="5">
        <f>IF(OR(C132="", H132=""), "", IF(H132&lt;C132, "", H132-C132))</f>
        <v>6</v>
      </c>
      <c r="L132" s="3" t="s">
        <v>2850</v>
      </c>
      <c r="M132" s="3" t="s">
        <v>107</v>
      </c>
      <c r="N132" s="4" t="str">
        <f>TRIM(SUBSTITUTE(M132,"_"," "))</f>
        <v>Aditi Sen</v>
      </c>
      <c r="O132" s="3" t="s">
        <v>26</v>
      </c>
      <c r="P132" s="6" t="str">
        <f>PROPER(TRIM(SUBSTITUTE(O132,".","")))</f>
        <v>Consumer</v>
      </c>
      <c r="Q132" s="3" t="s">
        <v>62</v>
      </c>
      <c r="R132" s="7" t="str">
        <f>PROPER(TRIM(SUBSTITUTE(Q132,"  "," ")))</f>
        <v>South</v>
      </c>
      <c r="S132" s="3" t="s">
        <v>242</v>
      </c>
      <c r="T132" s="6" t="str">
        <f>PROPER(TRIM(SUBSTITUTE(S132,"  "," ")))</f>
        <v>Kerala</v>
      </c>
      <c r="U132" s="3" t="s">
        <v>243</v>
      </c>
      <c r="V132" s="6" t="str">
        <f>PROPER(TRIM(SUBSTITUTE(U132,"  "," ")))</f>
        <v>Kochi</v>
      </c>
      <c r="W132" s="3" t="s">
        <v>45</v>
      </c>
      <c r="X132" s="6" t="str">
        <f>PROPER(TRIM(SUBSTITUTE(W132,"  "," ")))</f>
        <v>Furniture</v>
      </c>
      <c r="Y132" s="3" t="s">
        <v>76</v>
      </c>
      <c r="Z132" s="6" t="str">
        <f>PROPER(TRIM(SUBSTITUTE(Y132,"  "," ")))</f>
        <v>Chairs</v>
      </c>
      <c r="AA132" s="3" t="s">
        <v>2851</v>
      </c>
      <c r="AB132" s="3" t="s">
        <v>33</v>
      </c>
      <c r="AC132" s="6" t="str">
        <f>PROPER(TRIM(SUBSTITUTE(AB132,"  "," ")))</f>
        <v>Second Class</v>
      </c>
      <c r="AD132" s="3">
        <v>9</v>
      </c>
      <c r="AE132" s="3">
        <v>2723.26</v>
      </c>
      <c r="AF132" s="3">
        <v>0.25</v>
      </c>
      <c r="AG132" s="17">
        <v>0.25</v>
      </c>
      <c r="AH132" s="6" t="str">
        <f t="shared" si="19"/>
        <v>Valid</v>
      </c>
      <c r="AI132" s="3">
        <v>18382.009999999998</v>
      </c>
      <c r="AJ132" s="3">
        <v>13108.2</v>
      </c>
      <c r="AK132" s="3">
        <v>5273.81</v>
      </c>
      <c r="AL132" s="3" t="s">
        <v>34</v>
      </c>
      <c r="AM132" s="6" t="str">
        <f>PROPER(TRIM(SUBSTITUTE(AL132,".","")))</f>
        <v>Paid</v>
      </c>
      <c r="AN132" s="3" t="s">
        <v>35</v>
      </c>
      <c r="AO132" s="8" t="str">
        <f>PROPER(TRIM(SUBSTITUTE(AN132,".","")))</f>
        <v>Completed</v>
      </c>
      <c r="AP132" t="str">
        <f>IF(COUNTIF($A$2:$A$933, A132) &gt; 1, "Duplicate ID", "Unique")</f>
        <v>Unique</v>
      </c>
      <c r="AR132">
        <f t="shared" si="20"/>
        <v>18382.005000000005</v>
      </c>
      <c r="AS132">
        <f t="shared" si="21"/>
        <v>5273.8050000000039</v>
      </c>
      <c r="AT132" s="15">
        <f t="shared" si="22"/>
        <v>0.28690042245119629</v>
      </c>
      <c r="AU132" t="str">
        <f t="shared" si="23"/>
        <v>Clean</v>
      </c>
      <c r="AV132" s="8" t="str">
        <f t="shared" si="24"/>
        <v>Active</v>
      </c>
    </row>
    <row r="133" spans="1:48">
      <c r="A133" s="3" t="s">
        <v>2991</v>
      </c>
      <c r="B133" s="3" t="s">
        <v>1440</v>
      </c>
      <c r="C133" s="9">
        <f>IFERROR(DATEVALUE(TEXT(B133,"DD/MM/YYYY")), IF(ISNUMBER(B133), B133, ""))</f>
        <v>45392</v>
      </c>
      <c r="D133" s="9" t="str">
        <f>IF(B133="","Missing", IF(AND(ISNUMBER(B133)=FALSE, C133=""),"Invalid - Could Not Parse", IF(AND(ISNUMBER(B133)=FALSE, C133&lt;&gt;""),"Text - Converted to Date", IF(ISNUMBER(B133),"Valid","Check"))))</f>
        <v>Text - Converted to Date</v>
      </c>
      <c r="E133" s="5">
        <f t="shared" si="17"/>
        <v>4</v>
      </c>
      <c r="F133" s="5">
        <f t="shared" si="18"/>
        <v>2024</v>
      </c>
      <c r="G133" s="3" t="s">
        <v>1540</v>
      </c>
      <c r="H133" s="9">
        <f>IFERROR(DATEVALUE(TEXT(G133,"DD/MM/YYYY")), IF(ISNUMBER(G133), G133, ""))</f>
        <v>45397</v>
      </c>
      <c r="I133" s="9" t="str">
        <f>IF(G133="","Missing", IF(AND(ISNUMBER(G133)=FALSE, H133=""),"Invalid - Could Not Parse", IF(AND(ISNUMBER(G133)=FALSE, H133&lt;&gt;""),"Text - Converted to Date", IF(ISNUMBER(G133),"Valid","Check"))))</f>
        <v>Text - Converted to Date</v>
      </c>
      <c r="J133" s="9" t="str">
        <f>IF(OR(C133="", H133=""), "Cannot Check - Date Missing", IF(H133&lt;C133, "Invalid - Ship Before Order", "Valid"))</f>
        <v>Valid</v>
      </c>
      <c r="K133" s="5">
        <f>IF(OR(C133="", H133=""), "", IF(H133&lt;C133, "", H133-C133))</f>
        <v>5</v>
      </c>
      <c r="L133" s="3" t="s">
        <v>2992</v>
      </c>
      <c r="M133" s="3" t="s">
        <v>162</v>
      </c>
      <c r="N133" s="4" t="str">
        <f>TRIM(SUBSTITUTE(M133,"_"," "))</f>
        <v>Aarav Sharma</v>
      </c>
      <c r="O133" s="3" t="s">
        <v>115</v>
      </c>
      <c r="P133" s="6" t="str">
        <f>PROPER(TRIM(SUBSTITUTE(O133,".","")))</f>
        <v>Home Office</v>
      </c>
      <c r="Q133" s="3" t="s">
        <v>73</v>
      </c>
      <c r="R133" s="7" t="str">
        <f>PROPER(TRIM(SUBSTITUTE(Q133,"  "," ")))</f>
        <v>West</v>
      </c>
      <c r="S133" s="3" t="s">
        <v>28</v>
      </c>
      <c r="T133" s="6" t="str">
        <f>PROPER(TRIM(SUBSTITUTE(S133,"  "," ")))</f>
        <v>Rajasthan</v>
      </c>
      <c r="U133" s="3" t="s">
        <v>135</v>
      </c>
      <c r="V133" s="6" t="str">
        <f>PROPER(TRIM(SUBSTITUTE(U133,"  "," ")))</f>
        <v>Udaipur</v>
      </c>
      <c r="W133" s="3" t="s">
        <v>45</v>
      </c>
      <c r="X133" s="6" t="str">
        <f>PROPER(TRIM(SUBSTITUTE(W133,"  "," ")))</f>
        <v>Furniture</v>
      </c>
      <c r="Y133" s="3" t="s">
        <v>76</v>
      </c>
      <c r="Z133" s="6" t="str">
        <f>PROPER(TRIM(SUBSTITUTE(Y133,"  "," ")))</f>
        <v>Chairs</v>
      </c>
      <c r="AA133" s="3" t="s">
        <v>2993</v>
      </c>
      <c r="AB133" s="3" t="s">
        <v>67</v>
      </c>
      <c r="AC133" s="6" t="str">
        <f>PROPER(TRIM(SUBSTITUTE(AB133,"  "," ")))</f>
        <v>Standard Class</v>
      </c>
      <c r="AD133" s="3">
        <v>8</v>
      </c>
      <c r="AE133" s="3">
        <v>4362.4799999999996</v>
      </c>
      <c r="AF133" s="3">
        <v>0.1</v>
      </c>
      <c r="AG133" s="17">
        <v>0.1</v>
      </c>
      <c r="AH133" s="6" t="str">
        <f t="shared" si="19"/>
        <v>Valid</v>
      </c>
      <c r="AI133" s="3">
        <v>31409.86</v>
      </c>
      <c r="AJ133" s="3">
        <v>22523.54</v>
      </c>
      <c r="AK133" s="3">
        <v>8886.32</v>
      </c>
      <c r="AL133" s="3" t="s">
        <v>34</v>
      </c>
      <c r="AM133" s="6" t="str">
        <f>PROPER(TRIM(SUBSTITUTE(AL133,".","")))</f>
        <v>Paid</v>
      </c>
      <c r="AN133" s="3" t="s">
        <v>35</v>
      </c>
      <c r="AO133" s="8" t="str">
        <f>PROPER(TRIM(SUBSTITUTE(AN133,".","")))</f>
        <v>Completed</v>
      </c>
      <c r="AP133" t="str">
        <f>IF(COUNTIF($A$2:$A$933, A133) &gt; 1, "Duplicate ID", "Unique")</f>
        <v>Unique</v>
      </c>
      <c r="AR133">
        <f t="shared" si="20"/>
        <v>31409.855999999996</v>
      </c>
      <c r="AS133">
        <f t="shared" si="21"/>
        <v>8886.3159999999953</v>
      </c>
      <c r="AT133" s="15">
        <f t="shared" si="22"/>
        <v>0.2829148914277097</v>
      </c>
      <c r="AU133" t="str">
        <f t="shared" si="23"/>
        <v>Clean</v>
      </c>
      <c r="AV133" s="8" t="str">
        <f t="shared" si="24"/>
        <v>Active</v>
      </c>
    </row>
    <row r="134" spans="1:48">
      <c r="A134" s="3" t="s">
        <v>1630</v>
      </c>
      <c r="B134" s="3" t="s">
        <v>1631</v>
      </c>
      <c r="C134" s="9">
        <f>IFERROR(DATEVALUE(TEXT(B134,"DD/MM/YYYY")), IF(ISNUMBER(B134), B134, ""))</f>
        <v>45394</v>
      </c>
      <c r="D134" s="9" t="str">
        <f>IF(B134="","Missing", IF(AND(ISNUMBER(B134)=FALSE, C134=""),"Invalid - Could Not Parse", IF(AND(ISNUMBER(B134)=FALSE, C134&lt;&gt;""),"Text - Converted to Date", IF(ISNUMBER(B134),"Valid","Check"))))</f>
        <v>Text - Converted to Date</v>
      </c>
      <c r="E134" s="5">
        <f t="shared" si="17"/>
        <v>4</v>
      </c>
      <c r="F134" s="5">
        <f t="shared" si="18"/>
        <v>2024</v>
      </c>
      <c r="G134" s="3" t="s">
        <v>1632</v>
      </c>
      <c r="H134" s="9">
        <f>IFERROR(DATEVALUE(TEXT(G134,"DD/MM/YYYY")), IF(ISNUMBER(G134), G134, ""))</f>
        <v>45455</v>
      </c>
      <c r="I134" s="9" t="str">
        <f>IF(G134="","Missing", IF(AND(ISNUMBER(G134)=FALSE, H134=""),"Invalid - Could Not Parse", IF(AND(ISNUMBER(G134)=FALSE, H134&lt;&gt;""),"Text - Converted to Date", IF(ISNUMBER(G134),"Valid","Check"))))</f>
        <v>Text - Converted to Date</v>
      </c>
      <c r="J134" s="9" t="str">
        <f>IF(OR(C134="", H134=""), "Cannot Check - Date Missing", IF(H134&lt;C134, "Invalid - Ship Before Order", "Valid"))</f>
        <v>Valid</v>
      </c>
      <c r="K134" s="5">
        <f>IF(OR(C134="", H134=""), "", IF(H134&lt;C134, "", H134-C134))</f>
        <v>61</v>
      </c>
      <c r="L134" s="3" t="s">
        <v>1633</v>
      </c>
      <c r="M134" s="3" t="s">
        <v>162</v>
      </c>
      <c r="N134" s="4" t="str">
        <f>TRIM(SUBSTITUTE(M134,"_"," "))</f>
        <v>Aarav Sharma</v>
      </c>
      <c r="O134" s="3" t="s">
        <v>115</v>
      </c>
      <c r="P134" s="6" t="str">
        <f>PROPER(TRIM(SUBSTITUTE(O134,".","")))</f>
        <v>Home Office</v>
      </c>
      <c r="Q134" s="3" t="s">
        <v>42</v>
      </c>
      <c r="R134" s="7" t="str">
        <f>PROPER(TRIM(SUBSTITUTE(Q134,"  "," ")))</f>
        <v>East</v>
      </c>
      <c r="S134" s="3" t="s">
        <v>121</v>
      </c>
      <c r="T134" s="6" t="str">
        <f>PROPER(TRIM(SUBSTITUTE(S134,"  "," ")))</f>
        <v>West Bengal</v>
      </c>
      <c r="U134" s="3" t="s">
        <v>122</v>
      </c>
      <c r="V134" s="6" t="str">
        <f>PROPER(TRIM(SUBSTITUTE(U134,"  "," ")))</f>
        <v>Kolkata</v>
      </c>
      <c r="W134" s="3" t="s">
        <v>30</v>
      </c>
      <c r="X134" s="6" t="str">
        <f>PROPER(TRIM(SUBSTITUTE(W134,"  "," ")))</f>
        <v>Office Supplies</v>
      </c>
      <c r="Y134" s="3" t="s">
        <v>54</v>
      </c>
      <c r="Z134" s="6" t="str">
        <f>PROPER(TRIM(SUBSTITUTE(Y134,"  "," ")))</f>
        <v>Art</v>
      </c>
      <c r="AA134" s="3" t="s">
        <v>1634</v>
      </c>
      <c r="AB134" s="3" t="s">
        <v>33</v>
      </c>
      <c r="AC134" s="6" t="str">
        <f>PROPER(TRIM(SUBSTITUTE(AB134,"  "," ")))</f>
        <v>Second Class</v>
      </c>
      <c r="AD134" s="3">
        <v>3</v>
      </c>
      <c r="AE134" s="3">
        <v>876.14</v>
      </c>
      <c r="AF134" s="3" t="s">
        <v>681</v>
      </c>
      <c r="AG134" s="17" t="s">
        <v>681</v>
      </c>
      <c r="AH134" s="6" t="str">
        <f t="shared" si="19"/>
        <v>Invalid - Above Range</v>
      </c>
      <c r="AI134" s="3">
        <v>2628.42</v>
      </c>
      <c r="AJ134" s="3">
        <v>1541.54</v>
      </c>
      <c r="AK134" s="3">
        <v>1086.8800000000001</v>
      </c>
      <c r="AL134" s="3" t="s">
        <v>137</v>
      </c>
      <c r="AM134" s="6" t="str">
        <f>PROPER(TRIM(SUBSTITUTE(AL134,".","")))</f>
        <v>Pending</v>
      </c>
      <c r="AN134" s="3" t="s">
        <v>125</v>
      </c>
      <c r="AO134" s="8" t="str">
        <f>PROPER(TRIM(SUBSTITUTE(AN134,".","")))</f>
        <v>Returned</v>
      </c>
      <c r="AP134" t="str">
        <f>IF(COUNTIF($A$2:$A$933, A134) &gt; 1, "Duplicate ID", "Unique")</f>
        <v>Unique</v>
      </c>
      <c r="AR134">
        <f t="shared" si="20"/>
        <v>788.52600000000018</v>
      </c>
      <c r="AS134">
        <f t="shared" si="21"/>
        <v>-753.01399999999978</v>
      </c>
      <c r="AT134" s="15">
        <f t="shared" si="22"/>
        <v>-0.95496407220560842</v>
      </c>
      <c r="AU134" t="str">
        <f t="shared" si="23"/>
        <v>Invalid</v>
      </c>
      <c r="AV134" s="8" t="str">
        <f t="shared" si="24"/>
        <v>Active</v>
      </c>
    </row>
    <row r="135" spans="1:48">
      <c r="A135" s="3" t="s">
        <v>2027</v>
      </c>
      <c r="B135" s="3" t="s">
        <v>2028</v>
      </c>
      <c r="C135" s="9">
        <f>IFERROR(DATEVALUE(TEXT(B135,"DD/MM/YYYY")), IF(ISNUMBER(B135), B135, ""))</f>
        <v>45394</v>
      </c>
      <c r="D135" s="9" t="str">
        <f>IF(B135="","Missing", IF(AND(ISNUMBER(B135)=FALSE, C135=""),"Invalid - Could Not Parse", IF(AND(ISNUMBER(B135)=FALSE, C135&lt;&gt;""),"Text - Converted to Date", IF(ISNUMBER(B135),"Valid","Check"))))</f>
        <v>Text - Converted to Date</v>
      </c>
      <c r="E135" s="5">
        <f t="shared" si="17"/>
        <v>4</v>
      </c>
      <c r="F135" s="5">
        <f t="shared" si="18"/>
        <v>2024</v>
      </c>
      <c r="G135" s="3" t="s">
        <v>2029</v>
      </c>
      <c r="H135" s="9">
        <f>IFERROR(DATEVALUE(TEXT(G135,"DD/MM/YYYY")), IF(ISNUMBER(G135), G135, ""))</f>
        <v>45402</v>
      </c>
      <c r="I135" s="9" t="str">
        <f>IF(G135="","Missing", IF(AND(ISNUMBER(G135)=FALSE, H135=""),"Invalid - Could Not Parse", IF(AND(ISNUMBER(G135)=FALSE, H135&lt;&gt;""),"Text - Converted to Date", IF(ISNUMBER(G135),"Valid","Check"))))</f>
        <v>Text - Converted to Date</v>
      </c>
      <c r="J135" s="9" t="str">
        <f>IF(OR(C135="", H135=""), "Cannot Check - Date Missing", IF(H135&lt;C135, "Invalid - Ship Before Order", "Valid"))</f>
        <v>Valid</v>
      </c>
      <c r="K135" s="5">
        <f>IF(OR(C135="", H135=""), "", IF(H135&lt;C135, "", H135-C135))</f>
        <v>8</v>
      </c>
      <c r="L135" s="3" t="s">
        <v>2030</v>
      </c>
      <c r="M135" s="3" t="s">
        <v>210</v>
      </c>
      <c r="N135" s="4" t="str">
        <f>TRIM(SUBSTITUTE(M135,"_"," "))</f>
        <v>Diya Patel</v>
      </c>
      <c r="O135" s="3" t="s">
        <v>26</v>
      </c>
      <c r="P135" s="6" t="str">
        <f>PROPER(TRIM(SUBSTITUTE(O135,".","")))</f>
        <v>Consumer</v>
      </c>
      <c r="Q135" s="3" t="s">
        <v>73</v>
      </c>
      <c r="R135" s="7" t="str">
        <f>PROPER(TRIM(SUBSTITUTE(Q135,"  "," ")))</f>
        <v>West</v>
      </c>
      <c r="S135" s="3" t="s">
        <v>249</v>
      </c>
      <c r="T135" s="6" t="str">
        <f>PROPER(TRIM(SUBSTITUTE(S135,"  "," ")))</f>
        <v>Goa</v>
      </c>
      <c r="U135" s="3" t="s">
        <v>250</v>
      </c>
      <c r="V135" s="6" t="str">
        <f>PROPER(TRIM(SUBSTITUTE(U135,"  "," ")))</f>
        <v>Panaji</v>
      </c>
      <c r="W135" s="3" t="s">
        <v>45</v>
      </c>
      <c r="X135" s="6" t="str">
        <f>PROPER(TRIM(SUBSTITUTE(W135,"  "," ")))</f>
        <v>Furniture</v>
      </c>
      <c r="Y135" s="3" t="s">
        <v>46</v>
      </c>
      <c r="Z135" s="6" t="str">
        <f>PROPER(TRIM(SUBSTITUTE(Y135,"  "," ")))</f>
        <v>Tables</v>
      </c>
      <c r="AA135" s="3" t="s">
        <v>2031</v>
      </c>
      <c r="AB135" s="3" t="s">
        <v>56</v>
      </c>
      <c r="AC135" s="6" t="str">
        <f>PROPER(TRIM(SUBSTITUTE(AB135,"  "," ")))</f>
        <v>First Class</v>
      </c>
      <c r="AD135" s="3">
        <v>9</v>
      </c>
      <c r="AE135" s="3">
        <v>1302.6099999999999</v>
      </c>
      <c r="AF135" s="3">
        <v>0.2</v>
      </c>
      <c r="AG135" s="17">
        <v>0.2</v>
      </c>
      <c r="AH135" s="6" t="str">
        <f t="shared" si="19"/>
        <v>Valid</v>
      </c>
      <c r="AI135" s="3">
        <v>9378.7900000000009</v>
      </c>
      <c r="AJ135" s="3">
        <v>6774.48</v>
      </c>
      <c r="AK135" s="3">
        <v>2604.31</v>
      </c>
      <c r="AL135" s="3" t="s">
        <v>34</v>
      </c>
      <c r="AM135" s="6" t="str">
        <f>PROPER(TRIM(SUBSTITUTE(AL135,".","")))</f>
        <v>Paid</v>
      </c>
      <c r="AN135" s="3" t="s">
        <v>35</v>
      </c>
      <c r="AO135" s="8" t="str">
        <f>PROPER(TRIM(SUBSTITUTE(AN135,".","")))</f>
        <v>Completed</v>
      </c>
      <c r="AP135" t="str">
        <f>IF(COUNTIF($A$2:$A$933, A135) &gt; 1, "Duplicate ID", "Unique")</f>
        <v>Unique</v>
      </c>
      <c r="AR135">
        <f t="shared" si="20"/>
        <v>9378.7919999999995</v>
      </c>
      <c r="AS135">
        <f t="shared" si="21"/>
        <v>2604.3119999999999</v>
      </c>
      <c r="AT135" s="15">
        <f t="shared" si="22"/>
        <v>0.27768096360384154</v>
      </c>
      <c r="AU135" t="str">
        <f t="shared" si="23"/>
        <v>Clean</v>
      </c>
      <c r="AV135" s="8" t="str">
        <f t="shared" si="24"/>
        <v>Active</v>
      </c>
    </row>
    <row r="136" spans="1:48">
      <c r="A136" s="3" t="s">
        <v>3581</v>
      </c>
      <c r="B136" s="3" t="s">
        <v>3582</v>
      </c>
      <c r="C136" s="9">
        <f>IFERROR(DATEVALUE(TEXT(B136,"DD/MM/YYYY")), IF(ISNUMBER(B136), B136, ""))</f>
        <v>45396</v>
      </c>
      <c r="D136" s="9" t="str">
        <f>IF(B136="","Missing", IF(AND(ISNUMBER(B136)=FALSE, C136=""),"Invalid - Could Not Parse", IF(AND(ISNUMBER(B136)=FALSE, C136&lt;&gt;""),"Text - Converted to Date", IF(ISNUMBER(B136),"Valid","Check"))))</f>
        <v>Text - Converted to Date</v>
      </c>
      <c r="E136" s="5">
        <f t="shared" si="17"/>
        <v>4</v>
      </c>
      <c r="F136" s="5">
        <f t="shared" si="18"/>
        <v>2024</v>
      </c>
      <c r="G136" s="3" t="s">
        <v>3583</v>
      </c>
      <c r="H136" s="9">
        <f>IFERROR(DATEVALUE(TEXT(G136,"DD/MM/YYYY")), IF(ISNUMBER(G136), G136, ""))</f>
        <v>45404</v>
      </c>
      <c r="I136" s="9" t="str">
        <f>IF(G136="","Missing", IF(AND(ISNUMBER(G136)=FALSE, H136=""),"Invalid - Could Not Parse", IF(AND(ISNUMBER(G136)=FALSE, H136&lt;&gt;""),"Text - Converted to Date", IF(ISNUMBER(G136),"Valid","Check"))))</f>
        <v>Text - Converted to Date</v>
      </c>
      <c r="J136" s="9" t="str">
        <f>IF(OR(C136="", H136=""), "Cannot Check - Date Missing", IF(H136&lt;C136, "Invalid - Ship Before Order", "Valid"))</f>
        <v>Valid</v>
      </c>
      <c r="K136" s="5">
        <f>IF(OR(C136="", H136=""), "", IF(H136&lt;C136, "", H136-C136))</f>
        <v>8</v>
      </c>
      <c r="L136" s="3" t="s">
        <v>3584</v>
      </c>
      <c r="M136" s="3" t="s">
        <v>61</v>
      </c>
      <c r="N136" s="4" t="str">
        <f>TRIM(SUBSTITUTE(M136,"_"," "))</f>
        <v>Arjun Bose</v>
      </c>
      <c r="O136" s="3" t="s">
        <v>26</v>
      </c>
      <c r="P136" s="6" t="str">
        <f>PROPER(TRIM(SUBSTITUTE(O136,".","")))</f>
        <v>Consumer</v>
      </c>
      <c r="Q136" s="3" t="s">
        <v>27</v>
      </c>
      <c r="R136" s="7" t="str">
        <f>PROPER(TRIM(SUBSTITUTE(Q136,"  "," ")))</f>
        <v>North</v>
      </c>
      <c r="S136" s="3" t="s">
        <v>323</v>
      </c>
      <c r="T136" s="6" t="str">
        <f>PROPER(TRIM(SUBSTITUTE(S136,"  "," ")))</f>
        <v>Haryana</v>
      </c>
      <c r="U136" s="3" t="s">
        <v>324</v>
      </c>
      <c r="V136" s="6" t="str">
        <f>PROPER(TRIM(SUBSTITUTE(U136,"  "," ")))</f>
        <v>Gurugram</v>
      </c>
      <c r="W136" s="3" t="s">
        <v>86</v>
      </c>
      <c r="X136" s="6" t="str">
        <f>PROPER(TRIM(SUBSTITUTE(W136,"  "," ")))</f>
        <v>Technology</v>
      </c>
      <c r="Y136" s="3" t="s">
        <v>87</v>
      </c>
      <c r="Z136" s="6" t="str">
        <f>PROPER(TRIM(SUBSTITUTE(Y136,"  "," ")))</f>
        <v>Accessories</v>
      </c>
      <c r="AA136" s="3" t="s">
        <v>3585</v>
      </c>
      <c r="AB136" s="3" t="s">
        <v>67</v>
      </c>
      <c r="AC136" s="6" t="str">
        <f>PROPER(TRIM(SUBSTITUTE(AB136,"  "," ")))</f>
        <v>Standard Class</v>
      </c>
      <c r="AD136" s="3">
        <v>8</v>
      </c>
      <c r="AE136" s="3">
        <v>3956.12</v>
      </c>
      <c r="AF136" s="3">
        <v>0.25</v>
      </c>
      <c r="AG136" s="17">
        <v>0.25</v>
      </c>
      <c r="AH136" s="6" t="str">
        <f t="shared" si="19"/>
        <v>Valid</v>
      </c>
      <c r="AI136" s="3">
        <v>23736.720000000001</v>
      </c>
      <c r="AJ136" s="3">
        <v>13890.9</v>
      </c>
      <c r="AK136" s="3">
        <v>9845.82</v>
      </c>
      <c r="AL136" s="3" t="s">
        <v>34</v>
      </c>
      <c r="AM136" s="6" t="str">
        <f>PROPER(TRIM(SUBSTITUTE(AL136,".","")))</f>
        <v>Paid</v>
      </c>
      <c r="AN136" s="3" t="s">
        <v>35</v>
      </c>
      <c r="AO136" s="8" t="str">
        <f>PROPER(TRIM(SUBSTITUTE(AN136,".","")))</f>
        <v>Completed</v>
      </c>
      <c r="AP136" t="str">
        <f>IF(COUNTIF($A$2:$A$933, A136) &gt; 1, "Duplicate ID", "Unique")</f>
        <v>Unique</v>
      </c>
      <c r="AR136">
        <f t="shared" si="20"/>
        <v>23736.720000000001</v>
      </c>
      <c r="AS136">
        <f t="shared" si="21"/>
        <v>9845.8200000000015</v>
      </c>
      <c r="AT136" s="15">
        <f t="shared" si="22"/>
        <v>0.41479277676106896</v>
      </c>
      <c r="AU136" t="str">
        <f t="shared" si="23"/>
        <v>Clean</v>
      </c>
      <c r="AV136" s="8" t="str">
        <f t="shared" si="24"/>
        <v>Active</v>
      </c>
    </row>
    <row r="137" spans="1:48">
      <c r="A137" s="3" t="s">
        <v>3876</v>
      </c>
      <c r="B137" s="3" t="s">
        <v>3877</v>
      </c>
      <c r="C137" s="9">
        <f>IFERROR(DATEVALUE(TEXT(B137,"DD/MM/YYYY")), IF(ISNUMBER(B137), B137, ""))</f>
        <v>45396</v>
      </c>
      <c r="D137" s="9" t="str">
        <f>IF(B137="","Missing", IF(AND(ISNUMBER(B137)=FALSE, C137=""),"Invalid - Could Not Parse", IF(AND(ISNUMBER(B137)=FALSE, C137&lt;&gt;""),"Text - Converted to Date", IF(ISNUMBER(B137),"Valid","Check"))))</f>
        <v>Text - Converted to Date</v>
      </c>
      <c r="E137" s="5">
        <f t="shared" si="17"/>
        <v>4</v>
      </c>
      <c r="F137" s="5">
        <f t="shared" si="18"/>
        <v>2024</v>
      </c>
      <c r="G137" s="3" t="s">
        <v>3878</v>
      </c>
      <c r="H137" s="9">
        <f>IFERROR(DATEVALUE(TEXT(G137,"DD/MM/YYYY")), IF(ISNUMBER(G137), G137, ""))</f>
        <v>45404</v>
      </c>
      <c r="I137" s="9" t="str">
        <f>IF(G137="","Missing", IF(AND(ISNUMBER(G137)=FALSE, H137=""),"Invalid - Could Not Parse", IF(AND(ISNUMBER(G137)=FALSE, H137&lt;&gt;""),"Text - Converted to Date", IF(ISNUMBER(G137),"Valid","Check"))))</f>
        <v>Text - Converted to Date</v>
      </c>
      <c r="J137" s="9" t="str">
        <f>IF(OR(C137="", H137=""), "Cannot Check - Date Missing", IF(H137&lt;C137, "Invalid - Ship Before Order", "Valid"))</f>
        <v>Valid</v>
      </c>
      <c r="K137" s="5">
        <f>IF(OR(C137="", H137=""), "", IF(H137&lt;C137, "", H137-C137))</f>
        <v>8</v>
      </c>
      <c r="L137" s="3" t="s">
        <v>3879</v>
      </c>
      <c r="M137" s="3" t="s">
        <v>142</v>
      </c>
      <c r="N137" s="4" t="str">
        <f>TRIM(SUBSTITUTE(M137,"_"," "))</f>
        <v>Priya Menon</v>
      </c>
      <c r="O137" s="3" t="s">
        <v>41</v>
      </c>
      <c r="P137" s="6" t="str">
        <f>PROPER(TRIM(SUBSTITUTE(O137,".","")))</f>
        <v>Small Business</v>
      </c>
      <c r="Q137" s="3" t="s">
        <v>73</v>
      </c>
      <c r="R137" s="7" t="str">
        <f>PROPER(TRIM(SUBSTITUTE(Q137,"  "," ")))</f>
        <v>West</v>
      </c>
      <c r="S137" s="3" t="s">
        <v>235</v>
      </c>
      <c r="T137" s="6" t="str">
        <f>PROPER(TRIM(SUBSTITUTE(S137,"  "," ")))</f>
        <v>Gujarat</v>
      </c>
      <c r="U137" s="3" t="s">
        <v>236</v>
      </c>
      <c r="V137" s="6" t="str">
        <f>PROPER(TRIM(SUBSTITUTE(U137,"  "," ")))</f>
        <v>Ahmedabad</v>
      </c>
      <c r="W137" s="3" t="s">
        <v>45</v>
      </c>
      <c r="X137" s="6" t="str">
        <f>PROPER(TRIM(SUBSTITUTE(W137,"  "," ")))</f>
        <v>Furniture</v>
      </c>
      <c r="Y137" s="3" t="s">
        <v>204</v>
      </c>
      <c r="Z137" s="6" t="str">
        <f>PROPER(TRIM(SUBSTITUTE(Y137,"  "," ")))</f>
        <v>Bookcases</v>
      </c>
      <c r="AA137" s="3" t="s">
        <v>3880</v>
      </c>
      <c r="AB137" s="3" t="s">
        <v>67</v>
      </c>
      <c r="AC137" s="6" t="str">
        <f>PROPER(TRIM(SUBSTITUTE(AB137,"  "," ")))</f>
        <v>Standard Class</v>
      </c>
      <c r="AD137" s="3">
        <v>2</v>
      </c>
      <c r="AE137" s="3">
        <v>3977.52</v>
      </c>
      <c r="AF137" s="3">
        <v>0</v>
      </c>
      <c r="AG137" s="17">
        <v>0</v>
      </c>
      <c r="AH137" s="6" t="str">
        <f t="shared" si="19"/>
        <v>Valid</v>
      </c>
      <c r="AI137" s="3">
        <v>7955.04</v>
      </c>
      <c r="AJ137" s="3">
        <v>5580.68</v>
      </c>
      <c r="AK137" s="3">
        <v>2374.36</v>
      </c>
      <c r="AL137" s="3" t="s">
        <v>137</v>
      </c>
      <c r="AM137" s="6" t="str">
        <f>PROPER(TRIM(SUBSTITUTE(AL137,".","")))</f>
        <v>Pending</v>
      </c>
      <c r="AN137" s="3" t="s">
        <v>125</v>
      </c>
      <c r="AO137" s="8" t="str">
        <f>PROPER(TRIM(SUBSTITUTE(AN137,".","")))</f>
        <v>Returned</v>
      </c>
      <c r="AP137" t="str">
        <f>IF(COUNTIF($A$2:$A$933, A137) &gt; 1, "Duplicate ID", "Unique")</f>
        <v>Unique</v>
      </c>
      <c r="AR137">
        <f t="shared" si="20"/>
        <v>7955.04</v>
      </c>
      <c r="AS137">
        <f t="shared" si="21"/>
        <v>2374.3599999999997</v>
      </c>
      <c r="AT137" s="15">
        <f t="shared" si="22"/>
        <v>0.29847241497214339</v>
      </c>
      <c r="AU137" t="str">
        <f t="shared" si="23"/>
        <v>Clean</v>
      </c>
      <c r="AV137" s="8" t="str">
        <f t="shared" si="24"/>
        <v>Active</v>
      </c>
    </row>
    <row r="138" spans="1:48">
      <c r="A138" s="3" t="s">
        <v>1539</v>
      </c>
      <c r="B138" s="3" t="s">
        <v>1540</v>
      </c>
      <c r="C138" s="9">
        <f>IFERROR(DATEVALUE(TEXT(B138,"DD/MM/YYYY")), IF(ISNUMBER(B138), B138, ""))</f>
        <v>45397</v>
      </c>
      <c r="D138" s="9" t="str">
        <f>IF(B138="","Missing", IF(AND(ISNUMBER(B138)=FALSE, C138=""),"Invalid - Could Not Parse", IF(AND(ISNUMBER(B138)=FALSE, C138&lt;&gt;""),"Text - Converted to Date", IF(ISNUMBER(B138),"Valid","Check"))))</f>
        <v>Text - Converted to Date</v>
      </c>
      <c r="E138" s="5">
        <f t="shared" si="17"/>
        <v>4</v>
      </c>
      <c r="F138" s="5">
        <f t="shared" si="18"/>
        <v>2024</v>
      </c>
      <c r="G138" s="3" t="s">
        <v>1541</v>
      </c>
      <c r="H138" s="9">
        <f>IFERROR(DATEVALUE(MID(G138,4,2) &amp; "/" &amp; LEFT(G138,2) &amp; "/" &amp; RIGHT(G138,4)), IF(ISNUMBER(G138), G138, IFERROR(DATEVALUE(G138), "")))</f>
        <v>45405</v>
      </c>
      <c r="I138" s="9" t="str">
        <f>IF(G138="","Missing", IF(AND(ISNUMBER(G138)=FALSE, H138=""),"Invalid - Could Not Parse", IF(AND(ISNUMBER(G138)=FALSE, H138&lt;&gt;""),"Text - Converted to Date", IF(ISNUMBER(G138),"Valid","Check"))))</f>
        <v>Text - Converted to Date</v>
      </c>
      <c r="J138" s="9" t="str">
        <f>IF(OR(C138="", H138=""), "Cannot Check - Date Missing", IF(H138&lt;C138, "Invalid - Ship Before Order", "Valid"))</f>
        <v>Valid</v>
      </c>
      <c r="K138" s="5">
        <f>IF(OR(C138="", H138=""), "", IF(H138&lt;C138, "", H138-C138))</f>
        <v>8</v>
      </c>
      <c r="L138" s="3" t="s">
        <v>1542</v>
      </c>
      <c r="M138" s="3" t="s">
        <v>210</v>
      </c>
      <c r="N138" s="4" t="str">
        <f>TRIM(SUBSTITUTE(M138,"_"," "))</f>
        <v>Diya Patel</v>
      </c>
      <c r="O138" s="3" t="s">
        <v>41</v>
      </c>
      <c r="P138" s="6" t="str">
        <f>PROPER(TRIM(SUBSTITUTE(O138,".","")))</f>
        <v>Small Business</v>
      </c>
      <c r="Q138" s="3" t="s">
        <v>27</v>
      </c>
      <c r="R138" s="7" t="str">
        <f>PROPER(TRIM(SUBSTITUTE(Q138,"  "," ")))</f>
        <v>North</v>
      </c>
      <c r="S138" s="3" t="s">
        <v>154</v>
      </c>
      <c r="T138" s="6" t="str">
        <f>PROPER(TRIM(SUBSTITUTE(S138,"  "," ")))</f>
        <v>Punjab</v>
      </c>
      <c r="U138" s="3" t="s">
        <v>155</v>
      </c>
      <c r="V138" s="6" t="str">
        <f>PROPER(TRIM(SUBSTITUTE(U138,"  "," ")))</f>
        <v>Ludhiana</v>
      </c>
      <c r="W138" s="3" t="s">
        <v>86</v>
      </c>
      <c r="X138" s="6" t="str">
        <f>PROPER(TRIM(SUBSTITUTE(W138,"  "," ")))</f>
        <v>Technology</v>
      </c>
      <c r="Y138" s="3" t="s">
        <v>87</v>
      </c>
      <c r="Z138" s="6" t="str">
        <f>PROPER(TRIM(SUBSTITUTE(Y138,"  "," ")))</f>
        <v>Accessories</v>
      </c>
      <c r="AA138" s="3" t="s">
        <v>1543</v>
      </c>
      <c r="AB138" s="3" t="s">
        <v>33</v>
      </c>
      <c r="AC138" s="6" t="str">
        <f>PROPER(TRIM(SUBSTITUTE(AB138,"  "," ")))</f>
        <v>Second Class</v>
      </c>
      <c r="AD138" s="3">
        <v>9</v>
      </c>
      <c r="AE138" s="3">
        <v>3893.74</v>
      </c>
      <c r="AF138" s="3">
        <v>0.1</v>
      </c>
      <c r="AG138" s="17">
        <v>0.1</v>
      </c>
      <c r="AH138" s="6" t="str">
        <f t="shared" si="19"/>
        <v>Valid</v>
      </c>
      <c r="AI138" s="3">
        <v>31539.29</v>
      </c>
      <c r="AJ138" s="3">
        <v>22100.14</v>
      </c>
      <c r="AK138" s="3">
        <v>9439.15</v>
      </c>
      <c r="AL138" s="3" t="s">
        <v>34</v>
      </c>
      <c r="AM138" s="6" t="str">
        <f>PROPER(TRIM(SUBSTITUTE(AL138,".","")))</f>
        <v>Paid</v>
      </c>
      <c r="AN138" s="3" t="s">
        <v>35</v>
      </c>
      <c r="AO138" s="8" t="str">
        <f>PROPER(TRIM(SUBSTITUTE(AN138,".","")))</f>
        <v>Completed</v>
      </c>
      <c r="AP138" t="str">
        <f>IF(COUNTIF($A$2:$A$933, A138) &gt; 1, "Duplicate ID", "Unique")</f>
        <v>Unique</v>
      </c>
      <c r="AR138">
        <f t="shared" si="20"/>
        <v>31539.293999999998</v>
      </c>
      <c r="AS138">
        <f t="shared" si="21"/>
        <v>9439.1539999999986</v>
      </c>
      <c r="AT138" s="15">
        <f t="shared" si="22"/>
        <v>0.29928234918638313</v>
      </c>
      <c r="AU138" t="str">
        <f t="shared" si="23"/>
        <v>Clean</v>
      </c>
      <c r="AV138" s="8" t="str">
        <f t="shared" si="24"/>
        <v>Active</v>
      </c>
    </row>
    <row r="139" spans="1:48">
      <c r="A139" s="3" t="s">
        <v>409</v>
      </c>
      <c r="B139" s="3" t="s">
        <v>410</v>
      </c>
      <c r="C139" s="9">
        <f>IFERROR(DATEVALUE(TEXT(B139,"DD/MM/YYYY")), IF(ISNUMBER(B139), B139, ""))</f>
        <v>45398</v>
      </c>
      <c r="D139" s="9" t="str">
        <f>IF(B139="","Missing", IF(AND(ISNUMBER(B139)=FALSE, C139=""),"Invalid - Could Not Parse", IF(AND(ISNUMBER(B139)=FALSE, C139&lt;&gt;""),"Text - Converted to Date", IF(ISNUMBER(B139),"Valid","Check"))))</f>
        <v>Text - Converted to Date</v>
      </c>
      <c r="E139" s="5">
        <f t="shared" si="17"/>
        <v>4</v>
      </c>
      <c r="F139" s="5">
        <f t="shared" si="18"/>
        <v>2024</v>
      </c>
      <c r="G139" s="3" t="s">
        <v>411</v>
      </c>
      <c r="H139" s="9">
        <f>IFERROR(DATEVALUE(MID(G139,4,2) &amp; "/" &amp; LEFT(G139,2) &amp; "/" &amp; RIGHT(G139,4)), IF(ISNUMBER(G139), G139, IFERROR(DATEVALUE(G139), "")))</f>
        <v>45398</v>
      </c>
      <c r="I139" s="9" t="str">
        <f>IF(G139="","Missing", IF(AND(ISNUMBER(G139)=FALSE, H139=""),"Invalid - Could Not Parse", IF(AND(ISNUMBER(G139)=FALSE, H139&lt;&gt;""),"Text - Converted to Date", IF(ISNUMBER(G139),"Valid","Check"))))</f>
        <v>Text - Converted to Date</v>
      </c>
      <c r="J139" s="9" t="str">
        <f>IF(OR(C139="", H139=""), "Cannot Check - Date Missing", IF(H139&lt;C139, "Invalid - Ship Before Order", "Valid"))</f>
        <v>Valid</v>
      </c>
      <c r="K139" s="5">
        <f>IF(OR(C139="", H139=""), "", IF(H139&lt;C139, "", H139-C139))</f>
        <v>0</v>
      </c>
      <c r="L139" s="3" t="s">
        <v>412</v>
      </c>
      <c r="M139" s="3" t="s">
        <v>83</v>
      </c>
      <c r="N139" s="4" t="str">
        <f>TRIM(SUBSTITUTE(M139,"_"," "))</f>
        <v>Vikram Iyer</v>
      </c>
      <c r="O139" s="3" t="s">
        <v>115</v>
      </c>
      <c r="P139" s="6" t="str">
        <f>PROPER(TRIM(SUBSTITUTE(O139,".","")))</f>
        <v>Home Office</v>
      </c>
      <c r="Q139" s="3" t="s">
        <v>42</v>
      </c>
      <c r="R139" s="7" t="str">
        <f>PROPER(TRIM(SUBSTITUTE(Q139,"  "," ")))</f>
        <v>East</v>
      </c>
      <c r="S139" s="3" t="s">
        <v>186</v>
      </c>
      <c r="T139" s="6" t="str">
        <f>PROPER(TRIM(SUBSTITUTE(S139,"  "," ")))</f>
        <v>Bihar</v>
      </c>
      <c r="U139" s="3" t="s">
        <v>187</v>
      </c>
      <c r="V139" s="6" t="str">
        <f>PROPER(TRIM(SUBSTITUTE(U139,"  "," ")))</f>
        <v>Patna</v>
      </c>
      <c r="W139" s="3" t="s">
        <v>45</v>
      </c>
      <c r="X139" s="6" t="str">
        <f>PROPER(TRIM(SUBSTITUTE(W139,"  "," ")))</f>
        <v>Furniture</v>
      </c>
      <c r="Y139" s="3" t="s">
        <v>204</v>
      </c>
      <c r="Z139" s="6" t="str">
        <f>PROPER(TRIM(SUBSTITUTE(Y139,"  "," ")))</f>
        <v>Bookcases</v>
      </c>
      <c r="AA139" s="3" t="s">
        <v>413</v>
      </c>
      <c r="AB139" s="3" t="s">
        <v>67</v>
      </c>
      <c r="AC139" s="6" t="str">
        <f>PROPER(TRIM(SUBSTITUTE(AB139,"  "," ")))</f>
        <v>Standard Class</v>
      </c>
      <c r="AD139" s="3">
        <v>1</v>
      </c>
      <c r="AE139" s="3">
        <v>949.59</v>
      </c>
      <c r="AF139" s="3">
        <v>0</v>
      </c>
      <c r="AG139" s="17">
        <v>0</v>
      </c>
      <c r="AH139" s="6" t="str">
        <f t="shared" si="19"/>
        <v>Valid</v>
      </c>
      <c r="AI139" s="3">
        <v>949.59</v>
      </c>
      <c r="AJ139" s="3">
        <v>751.25</v>
      </c>
      <c r="AK139" s="3">
        <v>198.34</v>
      </c>
      <c r="AL139" s="3" t="s">
        <v>34</v>
      </c>
      <c r="AM139" s="6" t="str">
        <f>PROPER(TRIM(SUBSTITUTE(AL139,".","")))</f>
        <v>Paid</v>
      </c>
      <c r="AN139" s="3" t="s">
        <v>35</v>
      </c>
      <c r="AO139" s="8" t="str">
        <f>PROPER(TRIM(SUBSTITUTE(AN139,".","")))</f>
        <v>Completed</v>
      </c>
      <c r="AP139" t="str">
        <f>IF(COUNTIF($A$2:$A$933, A139) &gt; 1, "Duplicate ID", "Unique")</f>
        <v>Unique</v>
      </c>
      <c r="AR139">
        <f t="shared" si="20"/>
        <v>949.59</v>
      </c>
      <c r="AS139">
        <f t="shared" si="21"/>
        <v>198.34000000000003</v>
      </c>
      <c r="AT139" s="15">
        <f t="shared" si="22"/>
        <v>0.20886909087079689</v>
      </c>
      <c r="AU139" t="str">
        <f t="shared" si="23"/>
        <v>Clean</v>
      </c>
      <c r="AV139" s="8" t="str">
        <f t="shared" si="24"/>
        <v>Active</v>
      </c>
    </row>
    <row r="140" spans="1:48">
      <c r="A140" s="3" t="s">
        <v>3671</v>
      </c>
      <c r="B140" s="3" t="s">
        <v>3672</v>
      </c>
      <c r="C140" s="9">
        <f>IFERROR(DATEVALUE(TEXT(B140,"DD/MM/YYYY")), IF(ISNUMBER(B140), B140, ""))</f>
        <v>45400</v>
      </c>
      <c r="D140" s="9" t="str">
        <f>IF(B140="","Missing", IF(AND(ISNUMBER(B140)=FALSE, C140=""),"Invalid - Could Not Parse", IF(AND(ISNUMBER(B140)=FALSE, C140&lt;&gt;""),"Text - Converted to Date", IF(ISNUMBER(B140),"Valid","Check"))))</f>
        <v>Text - Converted to Date</v>
      </c>
      <c r="E140" s="5">
        <f t="shared" si="17"/>
        <v>4</v>
      </c>
      <c r="F140" s="5">
        <f t="shared" si="18"/>
        <v>2024</v>
      </c>
      <c r="G140" s="3" t="s">
        <v>3583</v>
      </c>
      <c r="H140" s="9">
        <f>IFERROR(DATEVALUE(TEXT(G140,"DD/MM/YYYY")), IF(ISNUMBER(G140), G140, ""))</f>
        <v>45404</v>
      </c>
      <c r="I140" s="9" t="str">
        <f>IF(G140="","Missing", IF(AND(ISNUMBER(G140)=FALSE, H140=""),"Invalid - Could Not Parse", IF(AND(ISNUMBER(G140)=FALSE, H140&lt;&gt;""),"Text - Converted to Date", IF(ISNUMBER(G140),"Valid","Check"))))</f>
        <v>Text - Converted to Date</v>
      </c>
      <c r="J140" s="9" t="str">
        <f>IF(OR(C140="", H140=""), "Cannot Check - Date Missing", IF(H140&lt;C140, "Invalid - Ship Before Order", "Valid"))</f>
        <v>Valid</v>
      </c>
      <c r="K140" s="5">
        <f>IF(OR(C140="", H140=""), "", IF(H140&lt;C140, "", H140-C140))</f>
        <v>4</v>
      </c>
      <c r="L140" s="3" t="s">
        <v>3673</v>
      </c>
      <c r="M140" s="3" t="s">
        <v>162</v>
      </c>
      <c r="N140" s="4" t="str">
        <f>TRIM(SUBSTITUTE(M140,"_"," "))</f>
        <v>Aarav Sharma</v>
      </c>
      <c r="O140" s="3" t="s">
        <v>26</v>
      </c>
      <c r="P140" s="6" t="str">
        <f>PROPER(TRIM(SUBSTITUTE(O140,".","")))</f>
        <v>Consumer</v>
      </c>
      <c r="Q140" s="3" t="s">
        <v>42</v>
      </c>
      <c r="R140" s="7" t="str">
        <f>PROPER(TRIM(SUBSTITUTE(Q140,"  "," ")))</f>
        <v>East</v>
      </c>
      <c r="S140" s="3" t="s">
        <v>43</v>
      </c>
      <c r="T140" s="6" t="str">
        <f>PROPER(TRIM(SUBSTITUTE(S140,"  "," ")))</f>
        <v>Odisha</v>
      </c>
      <c r="U140" s="3" t="s">
        <v>44</v>
      </c>
      <c r="V140" s="6" t="str">
        <f>PROPER(TRIM(SUBSTITUTE(U140,"  "," ")))</f>
        <v>Bhubaneswar</v>
      </c>
      <c r="W140" s="3" t="s">
        <v>30</v>
      </c>
      <c r="X140" s="6" t="str">
        <f>PROPER(TRIM(SUBSTITUTE(W140,"  "," ")))</f>
        <v>Office Supplies</v>
      </c>
      <c r="Y140" s="3" t="s">
        <v>198</v>
      </c>
      <c r="Z140" s="6" t="str">
        <f>PROPER(TRIM(SUBSTITUTE(Y140,"  "," ")))</f>
        <v>Binders</v>
      </c>
      <c r="AA140" s="3" t="s">
        <v>3674</v>
      </c>
      <c r="AB140" s="3" t="s">
        <v>56</v>
      </c>
      <c r="AC140" s="6" t="str">
        <f>PROPER(TRIM(SUBSTITUTE(AB140,"  "," ")))</f>
        <v>First Class</v>
      </c>
      <c r="AD140" s="3">
        <v>8</v>
      </c>
      <c r="AE140" s="3">
        <v>1714.37</v>
      </c>
      <c r="AF140" s="3">
        <v>0</v>
      </c>
      <c r="AG140" s="17">
        <v>0</v>
      </c>
      <c r="AH140" s="6" t="str">
        <f t="shared" si="19"/>
        <v>Valid</v>
      </c>
      <c r="AI140" s="3">
        <v>13714.96</v>
      </c>
      <c r="AJ140" s="3">
        <v>10550.47</v>
      </c>
      <c r="AK140" s="3">
        <v>3164.49</v>
      </c>
      <c r="AL140" s="3" t="s">
        <v>200</v>
      </c>
      <c r="AM140" s="6" t="str">
        <f>PROPER(TRIM(SUBSTITUTE(AL140,".","")))</f>
        <v>Failed</v>
      </c>
      <c r="AN140" s="3" t="s">
        <v>78</v>
      </c>
      <c r="AO140" s="8" t="str">
        <f>PROPER(TRIM(SUBSTITUTE(AN140,".","")))</f>
        <v>Cancelled</v>
      </c>
      <c r="AP140" t="str">
        <f>IF(COUNTIF($A$2:$A$933, A140) &gt; 1, "Duplicate ID", "Unique")</f>
        <v>Unique</v>
      </c>
      <c r="AR140">
        <f t="shared" si="20"/>
        <v>13714.96</v>
      </c>
      <c r="AS140">
        <f t="shared" si="21"/>
        <v>3164.49</v>
      </c>
      <c r="AT140" s="15">
        <f t="shared" si="22"/>
        <v>0.23073271814135804</v>
      </c>
      <c r="AU140" t="str">
        <f t="shared" si="23"/>
        <v>Clean</v>
      </c>
      <c r="AV140" s="8" t="str">
        <f t="shared" si="24"/>
        <v>Cancelled</v>
      </c>
    </row>
    <row r="141" spans="1:48">
      <c r="A141" s="3" t="s">
        <v>3065</v>
      </c>
      <c r="B141" s="3" t="s">
        <v>3066</v>
      </c>
      <c r="C141" s="9">
        <f>IFERROR(DATEVALUE(TEXT(B141,"DD/MM/YYYY")), IF(ISNUMBER(B141), B141, ""))</f>
        <v>45403</v>
      </c>
      <c r="D141" s="9" t="str">
        <f>IF(B141="","Missing", IF(AND(ISNUMBER(B141)=FALSE, C141=""),"Invalid - Could Not Parse", IF(AND(ISNUMBER(B141)=FALSE, C141&lt;&gt;""),"Text - Converted to Date", IF(ISNUMBER(B141),"Valid","Check"))))</f>
        <v>Text - Converted to Date</v>
      </c>
      <c r="E141" s="5">
        <f t="shared" si="17"/>
        <v>4</v>
      </c>
      <c r="F141" s="5">
        <f t="shared" si="18"/>
        <v>2024</v>
      </c>
      <c r="G141" s="3" t="s">
        <v>358</v>
      </c>
      <c r="H141" s="9">
        <f>IFERROR(DATEVALUE(TEXT(G141,"DD/MM/YYYY")), IF(ISNUMBER(G141), G141, ""))</f>
        <v>45406</v>
      </c>
      <c r="I141" s="9" t="str">
        <f>IF(G141="","Missing", IF(AND(ISNUMBER(G141)=FALSE, H141=""),"Invalid - Could Not Parse", IF(AND(ISNUMBER(G141)=FALSE, H141&lt;&gt;""),"Text - Converted to Date", IF(ISNUMBER(G141),"Valid","Check"))))</f>
        <v>Text - Converted to Date</v>
      </c>
      <c r="J141" s="9" t="str">
        <f>IF(OR(C141="", H141=""), "Cannot Check - Date Missing", IF(H141&lt;C141, "Invalid - Ship Before Order", "Valid"))</f>
        <v>Valid</v>
      </c>
      <c r="K141" s="5">
        <f>IF(OR(C141="", H141=""), "", IF(H141&lt;C141, "", H141-C141))</f>
        <v>3</v>
      </c>
      <c r="L141" s="3" t="s">
        <v>3067</v>
      </c>
      <c r="M141" s="3" t="s">
        <v>93</v>
      </c>
      <c r="N141" s="4" t="str">
        <f>TRIM(SUBSTITUTE(M141,"_"," "))</f>
        <v>Neha Gupta</v>
      </c>
      <c r="O141" s="3" t="s">
        <v>41</v>
      </c>
      <c r="P141" s="6" t="str">
        <f>PROPER(TRIM(SUBSTITUTE(O141,".","")))</f>
        <v>Small Business</v>
      </c>
      <c r="Q141" s="3" t="s">
        <v>62</v>
      </c>
      <c r="R141" s="7" t="str">
        <f>PROPER(TRIM(SUBSTITUTE(Q141,"  "," ")))</f>
        <v>South</v>
      </c>
      <c r="S141" s="3" t="s">
        <v>100</v>
      </c>
      <c r="T141" s="6" t="str">
        <f>PROPER(TRIM(SUBSTITUTE(S141,"  "," ")))</f>
        <v>Andhra Pradesh</v>
      </c>
      <c r="U141" s="3" t="s">
        <v>101</v>
      </c>
      <c r="V141" s="6" t="str">
        <f>PROPER(TRIM(SUBSTITUTE(U141,"  "," ")))</f>
        <v>Vijayawada</v>
      </c>
      <c r="W141" s="3" t="s">
        <v>30</v>
      </c>
      <c r="X141" s="6" t="str">
        <f>PROPER(TRIM(SUBSTITUTE(W141,"  "," ")))</f>
        <v>Office Supplies</v>
      </c>
      <c r="Y141" s="3" t="s">
        <v>54</v>
      </c>
      <c r="Z141" s="6" t="str">
        <f>PROPER(TRIM(SUBSTITUTE(Y141,"  "," ")))</f>
        <v>Art</v>
      </c>
      <c r="AA141" s="3" t="s">
        <v>3068</v>
      </c>
      <c r="AB141" s="3" t="s">
        <v>48</v>
      </c>
      <c r="AC141" s="6" t="str">
        <f>PROPER(TRIM(SUBSTITUTE(AB141,"  "," ")))</f>
        <v>Same Day</v>
      </c>
      <c r="AD141" s="3">
        <v>9</v>
      </c>
      <c r="AE141" s="3">
        <v>703.59</v>
      </c>
      <c r="AF141" s="3">
        <v>0.2</v>
      </c>
      <c r="AG141" s="17">
        <v>0.2</v>
      </c>
      <c r="AH141" s="6" t="str">
        <f t="shared" si="19"/>
        <v>Valid</v>
      </c>
      <c r="AI141" s="3">
        <v>5065.8500000000004</v>
      </c>
      <c r="AJ141" s="3">
        <v>3517.23</v>
      </c>
      <c r="AK141" s="3">
        <v>1548.62</v>
      </c>
      <c r="AL141" s="3" t="s">
        <v>200</v>
      </c>
      <c r="AM141" s="6" t="str">
        <f>PROPER(TRIM(SUBSTITUTE(AL141,".","")))</f>
        <v>Failed</v>
      </c>
      <c r="AN141" s="3" t="s">
        <v>125</v>
      </c>
      <c r="AO141" s="8" t="str">
        <f>PROPER(TRIM(SUBSTITUTE(AN141,".","")))</f>
        <v>Returned</v>
      </c>
      <c r="AP141" t="str">
        <f>IF(COUNTIF($A$2:$A$933, A141) &gt; 1, "Duplicate ID", "Unique")</f>
        <v>Unique</v>
      </c>
      <c r="AR141">
        <f t="shared" si="20"/>
        <v>5065.8480000000009</v>
      </c>
      <c r="AS141">
        <f t="shared" si="21"/>
        <v>1548.6180000000008</v>
      </c>
      <c r="AT141" s="15">
        <f t="shared" si="22"/>
        <v>0.30569768378364304</v>
      </c>
      <c r="AU141" t="str">
        <f t="shared" si="23"/>
        <v>Clean</v>
      </c>
      <c r="AV141" s="8" t="str">
        <f t="shared" si="24"/>
        <v>Active</v>
      </c>
    </row>
    <row r="142" spans="1:48">
      <c r="A142" s="3" t="s">
        <v>429</v>
      </c>
      <c r="B142" s="3" t="s">
        <v>430</v>
      </c>
      <c r="C142" s="9">
        <f>IFERROR(DATEVALUE(TEXT(B142,"DD/MM/YYYY")), IF(ISNUMBER(B142), B142, ""))</f>
        <v>45404</v>
      </c>
      <c r="D142" s="9" t="str">
        <f>IF(B142="","Missing", IF(AND(ISNUMBER(B142)=FALSE, C142=""),"Invalid - Could Not Parse", IF(AND(ISNUMBER(B142)=FALSE, C142&lt;&gt;""),"Text - Converted to Date", IF(ISNUMBER(B142),"Valid","Check"))))</f>
        <v>Text - Converted to Date</v>
      </c>
      <c r="E142" s="5">
        <f t="shared" si="17"/>
        <v>4</v>
      </c>
      <c r="F142" s="5">
        <f t="shared" si="18"/>
        <v>2024</v>
      </c>
      <c r="G142" s="3" t="s">
        <v>431</v>
      </c>
      <c r="H142" s="9">
        <f>IFERROR(DATEVALUE(TEXT(G142,"DD/MM/YYYY")), IF(ISNUMBER(G142), G142, ""))</f>
        <v>45409</v>
      </c>
      <c r="I142" s="9" t="str">
        <f>IF(G142="","Missing", IF(AND(ISNUMBER(G142)=FALSE, H142=""),"Invalid - Could Not Parse", IF(AND(ISNUMBER(G142)=FALSE, H142&lt;&gt;""),"Text - Converted to Date", IF(ISNUMBER(G142),"Valid","Check"))))</f>
        <v>Text - Converted to Date</v>
      </c>
      <c r="J142" s="9" t="str">
        <f>IF(OR(C142="", H142=""), "Cannot Check - Date Missing", IF(H142&lt;C142, "Invalid - Ship Before Order", "Valid"))</f>
        <v>Valid</v>
      </c>
      <c r="K142" s="5">
        <f>IF(OR(C142="", H142=""), "", IF(H142&lt;C142, "", H142-C142))</f>
        <v>5</v>
      </c>
      <c r="L142" s="3" t="s">
        <v>432</v>
      </c>
      <c r="M142" s="3" t="s">
        <v>40</v>
      </c>
      <c r="N142" s="4" t="str">
        <f>TRIM(SUBSTITUTE(M142,"_"," "))</f>
        <v>Mira Das</v>
      </c>
      <c r="O142" s="3" t="s">
        <v>115</v>
      </c>
      <c r="P142" s="6" t="str">
        <f>PROPER(TRIM(SUBSTITUTE(O142,".","")))</f>
        <v>Home Office</v>
      </c>
      <c r="Q142" s="3" t="s">
        <v>73</v>
      </c>
      <c r="R142" s="7" t="str">
        <f>PROPER(TRIM(SUBSTITUTE(Q142,"  "," ")))</f>
        <v>West</v>
      </c>
      <c r="S142" s="3" t="s">
        <v>74</v>
      </c>
      <c r="T142" s="6" t="str">
        <f>PROPER(TRIM(SUBSTITUTE(S142,"  "," ")))</f>
        <v>Maharashtra</v>
      </c>
      <c r="U142" s="3" t="s">
        <v>75</v>
      </c>
      <c r="V142" s="6" t="str">
        <f>PROPER(TRIM(SUBSTITUTE(U142,"  "," ")))</f>
        <v>Mumbai</v>
      </c>
      <c r="W142" s="3" t="s">
        <v>30</v>
      </c>
      <c r="X142" s="6" t="str">
        <f>PROPER(TRIM(SUBSTITUTE(W142,"  "," ")))</f>
        <v>Office Supplies</v>
      </c>
      <c r="Y142" s="3" t="s">
        <v>31</v>
      </c>
      <c r="Z142" s="6" t="str">
        <f>PROPER(TRIM(SUBSTITUTE(Y142,"  "," ")))</f>
        <v>Paper</v>
      </c>
      <c r="AA142" s="3" t="s">
        <v>433</v>
      </c>
      <c r="AB142" s="3" t="s">
        <v>33</v>
      </c>
      <c r="AC142" s="6" t="str">
        <f>PROPER(TRIM(SUBSTITUTE(AB142,"  "," ")))</f>
        <v>Second Class</v>
      </c>
      <c r="AD142" s="3">
        <v>1</v>
      </c>
      <c r="AE142" s="3">
        <v>4280.1899999999996</v>
      </c>
      <c r="AF142" s="3">
        <v>0.05</v>
      </c>
      <c r="AG142" s="17">
        <v>0.05</v>
      </c>
      <c r="AH142" s="6" t="str">
        <f t="shared" si="19"/>
        <v>Valid</v>
      </c>
      <c r="AI142" s="3">
        <v>4066.18</v>
      </c>
      <c r="AJ142" s="3">
        <v>2628.92</v>
      </c>
      <c r="AK142" s="3">
        <v>1437.26</v>
      </c>
      <c r="AL142" s="3" t="s">
        <v>34</v>
      </c>
      <c r="AM142" s="6" t="str">
        <f>PROPER(TRIM(SUBSTITUTE(AL142,".","")))</f>
        <v>Paid</v>
      </c>
      <c r="AN142" s="3" t="s">
        <v>35</v>
      </c>
      <c r="AO142" s="8" t="str">
        <f>PROPER(TRIM(SUBSTITUTE(AN142,".","")))</f>
        <v>Completed</v>
      </c>
      <c r="AP142" t="str">
        <f>IF(COUNTIF($A$2:$A$933, A142) &gt; 1, "Duplicate ID", "Unique")</f>
        <v>Unique</v>
      </c>
      <c r="AR142">
        <f t="shared" si="20"/>
        <v>4066.1804999999995</v>
      </c>
      <c r="AS142">
        <f t="shared" si="21"/>
        <v>1437.2604999999994</v>
      </c>
      <c r="AT142" s="15">
        <f t="shared" si="22"/>
        <v>0.35346696980126674</v>
      </c>
      <c r="AU142" t="str">
        <f t="shared" si="23"/>
        <v>Clean</v>
      </c>
      <c r="AV142" s="8" t="str">
        <f t="shared" si="24"/>
        <v>Active</v>
      </c>
    </row>
    <row r="143" spans="1:48">
      <c r="A143" s="3" t="s">
        <v>357</v>
      </c>
      <c r="B143" s="3" t="s">
        <v>358</v>
      </c>
      <c r="C143" s="9">
        <f>IFERROR(DATEVALUE(TEXT(B143,"DD/MM/YYYY")), IF(ISNUMBER(B143), B143, ""))</f>
        <v>45406</v>
      </c>
      <c r="D143" s="9" t="str">
        <f>IF(B143="","Missing", IF(AND(ISNUMBER(B143)=FALSE, C143=""),"Invalid - Could Not Parse", IF(AND(ISNUMBER(B143)=FALSE, C143&lt;&gt;""),"Text - Converted to Date", IF(ISNUMBER(B143),"Valid","Check"))))</f>
        <v>Text - Converted to Date</v>
      </c>
      <c r="E143" s="5">
        <f t="shared" si="17"/>
        <v>4</v>
      </c>
      <c r="F143" s="5">
        <f t="shared" si="18"/>
        <v>2024</v>
      </c>
      <c r="G143" s="3" t="s">
        <v>359</v>
      </c>
      <c r="H143" s="9">
        <f>IFERROR(DATEVALUE(TEXT(G143,"DD/MM/YYYY")), IF(ISNUMBER(G143), G143, ""))</f>
        <v>45411</v>
      </c>
      <c r="I143" s="9" t="str">
        <f>IF(G143="","Missing", IF(AND(ISNUMBER(G143)=FALSE, H143=""),"Invalid - Could Not Parse", IF(AND(ISNUMBER(G143)=FALSE, H143&lt;&gt;""),"Text - Converted to Date", IF(ISNUMBER(G143),"Valid","Check"))))</f>
        <v>Text - Converted to Date</v>
      </c>
      <c r="J143" s="9" t="str">
        <f>IF(OR(C143="", H143=""), "Cannot Check - Date Missing", IF(H143&lt;C143, "Invalid - Ship Before Order", "Valid"))</f>
        <v>Valid</v>
      </c>
      <c r="K143" s="5">
        <f>IF(OR(C143="", H143=""), "", IF(H143&lt;C143, "", H143-C143))</f>
        <v>5</v>
      </c>
      <c r="L143" s="3" t="s">
        <v>360</v>
      </c>
      <c r="M143" s="3" t="s">
        <v>72</v>
      </c>
      <c r="N143" s="4" t="str">
        <f>TRIM(SUBSTITUTE(M143,"_"," "))</f>
        <v>Ananya Rao</v>
      </c>
      <c r="O143" s="3" t="s">
        <v>108</v>
      </c>
      <c r="P143" s="6" t="str">
        <f>PROPER(TRIM(SUBSTITUTE(O143,".","")))</f>
        <v>Corporate</v>
      </c>
      <c r="Q143" s="3" t="s">
        <v>62</v>
      </c>
      <c r="R143" s="7" t="str">
        <f>PROPER(TRIM(SUBSTITUTE(Q143,"  "," ")))</f>
        <v>South</v>
      </c>
      <c r="S143" s="3" t="s">
        <v>63</v>
      </c>
      <c r="T143" s="6" t="str">
        <f>PROPER(TRIM(SUBSTITUTE(S143,"  "," ")))</f>
        <v>Telangana</v>
      </c>
      <c r="U143" s="3" t="s">
        <v>64</v>
      </c>
      <c r="V143" s="6" t="str">
        <f>PROPER(TRIM(SUBSTITUTE(U143,"  "," ")))</f>
        <v>Hyderabad</v>
      </c>
      <c r="W143" s="3" t="s">
        <v>30</v>
      </c>
      <c r="X143" s="6" t="str">
        <f>PROPER(TRIM(SUBSTITUTE(W143,"  "," ")))</f>
        <v>Office Supplies</v>
      </c>
      <c r="Y143" s="3" t="s">
        <v>54</v>
      </c>
      <c r="Z143" s="6" t="str">
        <f>PROPER(TRIM(SUBSTITUTE(Y143,"  "," ")))</f>
        <v>Art</v>
      </c>
      <c r="AA143" s="3" t="s">
        <v>361</v>
      </c>
      <c r="AB143" s="3" t="s">
        <v>67</v>
      </c>
      <c r="AC143" s="6" t="str">
        <f>PROPER(TRIM(SUBSTITUTE(AB143,"  "," ")))</f>
        <v>Standard Class</v>
      </c>
      <c r="AD143" s="3">
        <v>6</v>
      </c>
      <c r="AE143" s="3">
        <v>1528.08</v>
      </c>
      <c r="AF143" s="3">
        <v>0</v>
      </c>
      <c r="AG143" s="17">
        <v>0</v>
      </c>
      <c r="AH143" s="6" t="str">
        <f t="shared" si="19"/>
        <v>Valid</v>
      </c>
      <c r="AI143" s="3">
        <v>9168.48</v>
      </c>
      <c r="AJ143" s="3">
        <v>7439.77</v>
      </c>
      <c r="AK143" s="3">
        <v>1728.71</v>
      </c>
      <c r="AL143" s="3" t="s">
        <v>34</v>
      </c>
      <c r="AM143" s="6" t="str">
        <f>PROPER(TRIM(SUBSTITUTE(AL143,".","")))</f>
        <v>Paid</v>
      </c>
      <c r="AN143" s="3" t="s">
        <v>35</v>
      </c>
      <c r="AO143" s="8" t="str">
        <f>PROPER(TRIM(SUBSTITUTE(AN143,".","")))</f>
        <v>Completed</v>
      </c>
      <c r="AP143" t="str">
        <f>IF(COUNTIF($A$2:$A$933, A143) &gt; 1, "Duplicate ID", "Unique")</f>
        <v>Unique</v>
      </c>
      <c r="AR143">
        <f t="shared" si="20"/>
        <v>9168.48</v>
      </c>
      <c r="AS143">
        <f t="shared" si="21"/>
        <v>1728.7099999999991</v>
      </c>
      <c r="AT143" s="15">
        <f t="shared" si="22"/>
        <v>0.18854924698532355</v>
      </c>
      <c r="AU143" t="str">
        <f t="shared" si="23"/>
        <v>Clean</v>
      </c>
      <c r="AV143" s="8" t="str">
        <f t="shared" si="24"/>
        <v>Active</v>
      </c>
    </row>
    <row r="144" spans="1:48">
      <c r="A144" s="3" t="s">
        <v>1209</v>
      </c>
      <c r="B144" s="3" t="s">
        <v>1210</v>
      </c>
      <c r="C144" s="9">
        <f>IFERROR(DATEVALUE(TEXT(B144,"DD/MM/YYYY")), IF(ISNUMBER(B144), B144, ""))</f>
        <v>45406</v>
      </c>
      <c r="D144" s="9" t="str">
        <f>IF(B144="","Missing", IF(AND(ISNUMBER(B144)=FALSE, C144=""),"Invalid - Could Not Parse", IF(AND(ISNUMBER(B144)=FALSE, C144&lt;&gt;""),"Text - Converted to Date", IF(ISNUMBER(B144),"Valid","Check"))))</f>
        <v>Text - Converted to Date</v>
      </c>
      <c r="E144" s="5">
        <f t="shared" si="17"/>
        <v>4</v>
      </c>
      <c r="F144" s="5">
        <f t="shared" si="18"/>
        <v>2024</v>
      </c>
      <c r="G144" s="3" t="s">
        <v>1211</v>
      </c>
      <c r="H144" s="9">
        <f>IFERROR(DATEVALUE(TEXT(G144,"DD/MM/YYYY")), IF(ISNUMBER(G144), G144, ""))</f>
        <v>45410</v>
      </c>
      <c r="I144" s="9" t="str">
        <f>IF(G144="","Missing", IF(AND(ISNUMBER(G144)=FALSE, H144=""),"Invalid - Could Not Parse", IF(AND(ISNUMBER(G144)=FALSE, H144&lt;&gt;""),"Text - Converted to Date", IF(ISNUMBER(G144),"Valid","Check"))))</f>
        <v>Text - Converted to Date</v>
      </c>
      <c r="J144" s="9" t="str">
        <f>IF(OR(C144="", H144=""), "Cannot Check - Date Missing", IF(H144&lt;C144, "Invalid - Ship Before Order", "Valid"))</f>
        <v>Valid</v>
      </c>
      <c r="K144" s="5">
        <f>IF(OR(C144="", H144=""), "", IF(H144&lt;C144, "", H144-C144))</f>
        <v>4</v>
      </c>
      <c r="L144" s="3" t="s">
        <v>1212</v>
      </c>
      <c r="M144" s="3" t="s">
        <v>25</v>
      </c>
      <c r="N144" s="4" t="str">
        <f>TRIM(SUBSTITUTE(M144,"_"," "))</f>
        <v>Karan Malhotra</v>
      </c>
      <c r="O144" s="3" t="s">
        <v>41</v>
      </c>
      <c r="P144" s="6" t="str">
        <f>PROPER(TRIM(SUBSTITUTE(O144,".","")))</f>
        <v>Small Business</v>
      </c>
      <c r="Q144" s="3" t="s">
        <v>62</v>
      </c>
      <c r="R144" s="7" t="str">
        <f>PROPER(TRIM(SUBSTITUTE(Q144,"  "," ")))</f>
        <v>South</v>
      </c>
      <c r="S144" s="3" t="s">
        <v>63</v>
      </c>
      <c r="T144" s="6" t="str">
        <f>PROPER(TRIM(SUBSTITUTE(S144,"  "," ")))</f>
        <v>Telangana</v>
      </c>
      <c r="U144" s="3" t="s">
        <v>64</v>
      </c>
      <c r="V144" s="6" t="str">
        <f>PROPER(TRIM(SUBSTITUTE(U144,"  "," ")))</f>
        <v>Hyderabad</v>
      </c>
      <c r="W144" s="3" t="s">
        <v>30</v>
      </c>
      <c r="X144" s="6" t="str">
        <f>PROPER(TRIM(SUBSTITUTE(W144,"  "," ")))</f>
        <v>Office Supplies</v>
      </c>
      <c r="Y144" s="3" t="s">
        <v>109</v>
      </c>
      <c r="Z144" s="6" t="str">
        <f>PROPER(TRIM(SUBSTITUTE(Y144,"  "," ")))</f>
        <v>Labels</v>
      </c>
      <c r="AA144" s="3" t="s">
        <v>1213</v>
      </c>
      <c r="AB144" s="3" t="s">
        <v>33</v>
      </c>
      <c r="AC144" s="6" t="str">
        <f>PROPER(TRIM(SUBSTITUTE(AB144,"  "," ")))</f>
        <v>Second Class</v>
      </c>
      <c r="AD144" s="3">
        <v>1</v>
      </c>
      <c r="AE144" s="3">
        <v>3194.37</v>
      </c>
      <c r="AF144" s="3">
        <v>0.15</v>
      </c>
      <c r="AG144" s="17">
        <v>0.15</v>
      </c>
      <c r="AH144" s="6" t="str">
        <f t="shared" si="19"/>
        <v>Valid</v>
      </c>
      <c r="AI144" s="3">
        <v>2715.21</v>
      </c>
      <c r="AJ144" s="3">
        <v>1551.55</v>
      </c>
      <c r="AK144" s="3">
        <v>1163.6600000000001</v>
      </c>
      <c r="AL144" s="3" t="s">
        <v>34</v>
      </c>
      <c r="AM144" s="6" t="str">
        <f>PROPER(TRIM(SUBSTITUTE(AL144,".","")))</f>
        <v>Paid</v>
      </c>
      <c r="AN144" s="3" t="s">
        <v>35</v>
      </c>
      <c r="AO144" s="8" t="str">
        <f>PROPER(TRIM(SUBSTITUTE(AN144,".","")))</f>
        <v>Completed</v>
      </c>
      <c r="AP144" t="str">
        <f>IF(COUNTIF($A$2:$A$933, A144) &gt; 1, "Duplicate ID", "Unique")</f>
        <v>Unique</v>
      </c>
      <c r="AR144">
        <f t="shared" si="20"/>
        <v>2715.2145</v>
      </c>
      <c r="AS144">
        <f t="shared" si="21"/>
        <v>1163.6645000000001</v>
      </c>
      <c r="AT144" s="15">
        <f t="shared" si="22"/>
        <v>0.42857184948003191</v>
      </c>
      <c r="AU144" t="str">
        <f t="shared" si="23"/>
        <v>Clean</v>
      </c>
      <c r="AV144" s="8" t="str">
        <f t="shared" si="24"/>
        <v>Active</v>
      </c>
    </row>
    <row r="145" spans="1:48">
      <c r="A145" s="3" t="s">
        <v>1620</v>
      </c>
      <c r="B145" s="3" t="s">
        <v>1621</v>
      </c>
      <c r="C145" s="9">
        <f>IFERROR(DATEVALUE(TEXT(B145,"DD/MM/YYYY")), IF(ISNUMBER(B145), B145, ""))</f>
        <v>45407</v>
      </c>
      <c r="D145" s="9" t="str">
        <f>IF(B145="","Missing", IF(AND(ISNUMBER(B145)=FALSE, C145=""),"Invalid - Could Not Parse", IF(AND(ISNUMBER(B145)=FALSE, C145&lt;&gt;""),"Text - Converted to Date", IF(ISNUMBER(B145),"Valid","Check"))))</f>
        <v>Text - Converted to Date</v>
      </c>
      <c r="E145" s="5">
        <f t="shared" si="17"/>
        <v>4</v>
      </c>
      <c r="F145" s="5">
        <f t="shared" si="18"/>
        <v>2024</v>
      </c>
      <c r="G145" s="3" t="s">
        <v>1622</v>
      </c>
      <c r="H145" s="9">
        <f>IFERROR(DATEVALUE(TEXT(G145,"DD/MM/YYYY")), IF(ISNUMBER(G145), G145, ""))</f>
        <v>45412</v>
      </c>
      <c r="I145" s="9" t="str">
        <f>IF(G145="","Missing", IF(AND(ISNUMBER(G145)=FALSE, H145=""),"Invalid - Could Not Parse", IF(AND(ISNUMBER(G145)=FALSE, H145&lt;&gt;""),"Text - Converted to Date", IF(ISNUMBER(G145),"Valid","Check"))))</f>
        <v>Text - Converted to Date</v>
      </c>
      <c r="J145" s="9" t="str">
        <f>IF(OR(C145="", H145=""), "Cannot Check - Date Missing", IF(H145&lt;C145, "Invalid - Ship Before Order", "Valid"))</f>
        <v>Valid</v>
      </c>
      <c r="K145" s="5">
        <f>IF(OR(C145="", H145=""), "", IF(H145&lt;C145, "", H145-C145))</f>
        <v>5</v>
      </c>
      <c r="L145" s="3" t="s">
        <v>1623</v>
      </c>
      <c r="M145" s="3" t="s">
        <v>40</v>
      </c>
      <c r="N145" s="4" t="str">
        <f>TRIM(SUBSTITUTE(M145,"_"," "))</f>
        <v>Mira Das</v>
      </c>
      <c r="O145" s="3" t="s">
        <v>41</v>
      </c>
      <c r="P145" s="6" t="str">
        <f>PROPER(TRIM(SUBSTITUTE(O145,".","")))</f>
        <v>Small Business</v>
      </c>
      <c r="Q145" s="3" t="s">
        <v>62</v>
      </c>
      <c r="R145" s="7" t="str">
        <f>PROPER(TRIM(SUBSTITUTE(Q145,"  "," ")))</f>
        <v>South</v>
      </c>
      <c r="S145" s="3" t="s">
        <v>229</v>
      </c>
      <c r="T145" s="6" t="str">
        <f>PROPER(TRIM(SUBSTITUTE(S145,"  "," ")))</f>
        <v>Karnataka</v>
      </c>
      <c r="U145" s="3" t="s">
        <v>230</v>
      </c>
      <c r="V145" s="6" t="str">
        <f>PROPER(TRIM(SUBSTITUTE(U145,"  "," ")))</f>
        <v>Bengaluru</v>
      </c>
      <c r="W145" s="3" t="s">
        <v>86</v>
      </c>
      <c r="X145" s="6" t="str">
        <f>PROPER(TRIM(SUBSTITUTE(W145,"  "," ")))</f>
        <v>Technology</v>
      </c>
      <c r="Y145" s="3" t="s">
        <v>223</v>
      </c>
      <c r="Z145" s="6" t="str">
        <f>PROPER(TRIM(SUBSTITUTE(Y145,"  "," ")))</f>
        <v>Phones</v>
      </c>
      <c r="AA145" s="3" t="s">
        <v>1624</v>
      </c>
      <c r="AB145" s="3" t="s">
        <v>67</v>
      </c>
      <c r="AC145" s="6" t="str">
        <f>PROPER(TRIM(SUBSTITUTE(AB145,"  "," ")))</f>
        <v>Standard Class</v>
      </c>
      <c r="AD145" s="3">
        <v>3</v>
      </c>
      <c r="AE145" s="3">
        <v>4149.46</v>
      </c>
      <c r="AF145" s="3">
        <v>0.1</v>
      </c>
      <c r="AG145" s="17">
        <v>0.1</v>
      </c>
      <c r="AH145" s="6" t="str">
        <f t="shared" si="19"/>
        <v>Valid</v>
      </c>
      <c r="AI145" s="3">
        <v>11203.54</v>
      </c>
      <c r="AJ145" s="3">
        <v>8452.93</v>
      </c>
      <c r="AK145" s="3">
        <v>2750.61</v>
      </c>
      <c r="AL145" s="3" t="s">
        <v>34</v>
      </c>
      <c r="AM145" s="6" t="str">
        <f>PROPER(TRIM(SUBSTITUTE(AL145,".","")))</f>
        <v>Paid</v>
      </c>
      <c r="AN145" s="3" t="s">
        <v>35</v>
      </c>
      <c r="AO145" s="8" t="str">
        <f>PROPER(TRIM(SUBSTITUTE(AN145,".","")))</f>
        <v>Completed</v>
      </c>
      <c r="AP145" t="str">
        <f>IF(COUNTIF($A$2:$A$933, A145) &gt; 1, "Duplicate ID", "Unique")</f>
        <v>Unique</v>
      </c>
      <c r="AR145">
        <f t="shared" si="20"/>
        <v>11203.542000000001</v>
      </c>
      <c r="AS145">
        <f t="shared" si="21"/>
        <v>2750.612000000001</v>
      </c>
      <c r="AT145" s="15">
        <f t="shared" si="22"/>
        <v>0.24551271374713468</v>
      </c>
      <c r="AU145" t="str">
        <f t="shared" si="23"/>
        <v>Clean</v>
      </c>
      <c r="AV145" s="8" t="str">
        <f t="shared" si="24"/>
        <v>Active</v>
      </c>
    </row>
    <row r="146" spans="1:48">
      <c r="A146" s="3" t="s">
        <v>1589</v>
      </c>
      <c r="B146" s="3" t="s">
        <v>1590</v>
      </c>
      <c r="C146" s="9">
        <f>IFERROR(DATEVALUE(TEXT(B146,"DD/MM/YYYY")), IF(ISNUMBER(B146), B146, ""))</f>
        <v>45409</v>
      </c>
      <c r="D146" s="9" t="str">
        <f>IF(B146="","Missing", IF(AND(ISNUMBER(B146)=FALSE, C146=""),"Invalid - Could Not Parse", IF(AND(ISNUMBER(B146)=FALSE, C146&lt;&gt;""),"Text - Converted to Date", IF(ISNUMBER(B146),"Valid","Check"))))</f>
        <v>Text - Converted to Date</v>
      </c>
      <c r="E146" s="5">
        <f t="shared" si="17"/>
        <v>4</v>
      </c>
      <c r="F146" s="5">
        <f t="shared" si="18"/>
        <v>2024</v>
      </c>
      <c r="G146" s="3" t="s">
        <v>948</v>
      </c>
      <c r="H146" s="9">
        <f>IFERROR(DATEVALUE(TEXT(G146,"DD/MM/YYYY")), IF(ISNUMBER(G146), G146, ""))</f>
        <v>45414</v>
      </c>
      <c r="I146" s="9" t="str">
        <f>IF(G146="","Missing", IF(AND(ISNUMBER(G146)=FALSE, H146=""),"Invalid - Could Not Parse", IF(AND(ISNUMBER(G146)=FALSE, H146&lt;&gt;""),"Text - Converted to Date", IF(ISNUMBER(G146),"Valid","Check"))))</f>
        <v>Text - Converted to Date</v>
      </c>
      <c r="J146" s="9" t="str">
        <f>IF(OR(C146="", H146=""), "Cannot Check - Date Missing", IF(H146&lt;C146, "Invalid - Ship Before Order", "Valid"))</f>
        <v>Valid</v>
      </c>
      <c r="K146" s="5">
        <f>IF(OR(C146="", H146=""), "", IF(H146&lt;C146, "", H146-C146))</f>
        <v>5</v>
      </c>
      <c r="L146" s="3" t="s">
        <v>1591</v>
      </c>
      <c r="M146" s="3" t="s">
        <v>40</v>
      </c>
      <c r="N146" s="4" t="str">
        <f>TRIM(SUBSTITUTE(M146,"_"," "))</f>
        <v>Mira Das</v>
      </c>
      <c r="O146" s="3" t="s">
        <v>108</v>
      </c>
      <c r="P146" s="6" t="str">
        <f>PROPER(TRIM(SUBSTITUTE(O146,".","")))</f>
        <v>Corporate</v>
      </c>
      <c r="Q146" s="3" t="s">
        <v>62</v>
      </c>
      <c r="R146" s="7" t="str">
        <f>PROPER(TRIM(SUBSTITUTE(Q146,"  "," ")))</f>
        <v>South</v>
      </c>
      <c r="S146" s="3" t="s">
        <v>229</v>
      </c>
      <c r="T146" s="6" t="str">
        <f>PROPER(TRIM(SUBSTITUTE(S146,"  "," ")))</f>
        <v>Karnataka</v>
      </c>
      <c r="U146" s="3" t="s">
        <v>230</v>
      </c>
      <c r="V146" s="6" t="str">
        <f>PROPER(TRIM(SUBSTITUTE(U146,"  "," ")))</f>
        <v>Bengaluru</v>
      </c>
      <c r="W146" s="3" t="s">
        <v>30</v>
      </c>
      <c r="X146" s="6" t="str">
        <f>PROPER(TRIM(SUBSTITUTE(W146,"  "," ")))</f>
        <v>Office Supplies</v>
      </c>
      <c r="Y146" s="3" t="s">
        <v>198</v>
      </c>
      <c r="Z146" s="6" t="str">
        <f>PROPER(TRIM(SUBSTITUTE(Y146,"  "," ")))</f>
        <v>Binders</v>
      </c>
      <c r="AA146" s="3" t="s">
        <v>1592</v>
      </c>
      <c r="AB146" s="3" t="s">
        <v>33</v>
      </c>
      <c r="AC146" s="6" t="str">
        <f>PROPER(TRIM(SUBSTITUTE(AB146,"  "," ")))</f>
        <v>Second Class</v>
      </c>
      <c r="AD146" s="3">
        <v>5</v>
      </c>
      <c r="AE146" s="3">
        <v>554.04</v>
      </c>
      <c r="AF146" s="3">
        <v>0.1</v>
      </c>
      <c r="AG146" s="17">
        <v>0.1</v>
      </c>
      <c r="AH146" s="6" t="str">
        <f t="shared" si="19"/>
        <v>Valid</v>
      </c>
      <c r="AI146" s="3">
        <v>2493.1799999999998</v>
      </c>
      <c r="AJ146" s="3">
        <v>1764</v>
      </c>
      <c r="AK146" s="3">
        <v>729.18</v>
      </c>
      <c r="AL146" s="3" t="s">
        <v>34</v>
      </c>
      <c r="AM146" s="6" t="str">
        <f>PROPER(TRIM(SUBSTITUTE(AL146,".","")))</f>
        <v>Paid</v>
      </c>
      <c r="AN146" s="3" t="s">
        <v>35</v>
      </c>
      <c r="AO146" s="8" t="str">
        <f>PROPER(TRIM(SUBSTITUTE(AN146,".","")))</f>
        <v>Completed</v>
      </c>
      <c r="AP146" t="str">
        <f>IF(COUNTIF($A$2:$A$933, A146) &gt; 1, "Duplicate ID", "Unique")</f>
        <v>Unique</v>
      </c>
      <c r="AR146">
        <f t="shared" si="20"/>
        <v>2493.1799999999998</v>
      </c>
      <c r="AS146">
        <f t="shared" si="21"/>
        <v>729.17999999999984</v>
      </c>
      <c r="AT146" s="15">
        <f t="shared" si="22"/>
        <v>0.29246985777200196</v>
      </c>
      <c r="AU146" t="str">
        <f t="shared" si="23"/>
        <v>Clean</v>
      </c>
      <c r="AV146" s="8" t="str">
        <f t="shared" si="24"/>
        <v>Active</v>
      </c>
    </row>
    <row r="147" spans="1:48">
      <c r="A147" s="3" t="s">
        <v>3285</v>
      </c>
      <c r="B147" s="3" t="s">
        <v>1622</v>
      </c>
      <c r="C147" s="9">
        <f>IFERROR(DATEVALUE(TEXT(B147,"DD/MM/YYYY")), IF(ISNUMBER(B147), B147, ""))</f>
        <v>45412</v>
      </c>
      <c r="D147" s="9" t="str">
        <f>IF(B147="","Missing", IF(AND(ISNUMBER(B147)=FALSE, C147=""),"Invalid - Could Not Parse", IF(AND(ISNUMBER(B147)=FALSE, C147&lt;&gt;""),"Text - Converted to Date", IF(ISNUMBER(B147),"Valid","Check"))))</f>
        <v>Text - Converted to Date</v>
      </c>
      <c r="E147" s="5">
        <f t="shared" si="17"/>
        <v>4</v>
      </c>
      <c r="F147" s="5">
        <f t="shared" si="18"/>
        <v>2024</v>
      </c>
      <c r="G147" s="3" t="s">
        <v>1293</v>
      </c>
      <c r="H147" s="9">
        <f>IFERROR(DATEVALUE(TEXT(G147,"DD/MM/YYYY")), IF(ISNUMBER(G147), G147, ""))</f>
        <v>45416</v>
      </c>
      <c r="I147" s="9" t="str">
        <f>IF(G147="","Missing", IF(AND(ISNUMBER(G147)=FALSE, H147=""),"Invalid - Could Not Parse", IF(AND(ISNUMBER(G147)=FALSE, H147&lt;&gt;""),"Text - Converted to Date", IF(ISNUMBER(G147),"Valid","Check"))))</f>
        <v>Text - Converted to Date</v>
      </c>
      <c r="J147" s="9" t="str">
        <f>IF(OR(C147="", H147=""), "Cannot Check - Date Missing", IF(H147&lt;C147, "Invalid - Ship Before Order", "Valid"))</f>
        <v>Valid</v>
      </c>
      <c r="K147" s="5">
        <f>IF(OR(C147="", H147=""), "", IF(H147&lt;C147, "", H147-C147))</f>
        <v>4</v>
      </c>
      <c r="L147" s="3" t="s">
        <v>3286</v>
      </c>
      <c r="M147" s="3" t="s">
        <v>180</v>
      </c>
      <c r="N147" s="4" t="str">
        <f>TRIM(SUBSTITUTE(M147,"_"," "))</f>
        <v>Rohan Mehta</v>
      </c>
      <c r="O147" s="3" t="s">
        <v>41</v>
      </c>
      <c r="P147" s="6" t="str">
        <f>PROPER(TRIM(SUBSTITUTE(O147,".","")))</f>
        <v>Small Business</v>
      </c>
      <c r="Q147" s="3" t="s">
        <v>73</v>
      </c>
      <c r="R147" s="7" t="str">
        <f>PROPER(TRIM(SUBSTITUTE(Q147,"  "," ")))</f>
        <v>West</v>
      </c>
      <c r="S147" s="3" t="s">
        <v>235</v>
      </c>
      <c r="T147" s="6" t="str">
        <f>PROPER(TRIM(SUBSTITUTE(S147,"  "," ")))</f>
        <v>Gujarat</v>
      </c>
      <c r="U147" s="3" t="s">
        <v>236</v>
      </c>
      <c r="V147" s="6" t="str">
        <f>PROPER(TRIM(SUBSTITUTE(U147,"  "," ")))</f>
        <v>Ahmedabad</v>
      </c>
      <c r="W147" s="3" t="s">
        <v>30</v>
      </c>
      <c r="X147" s="6" t="str">
        <f>PROPER(TRIM(SUBSTITUTE(W147,"  "," ")))</f>
        <v>Office Supplies</v>
      </c>
      <c r="Y147" s="3" t="s">
        <v>54</v>
      </c>
      <c r="Z147" s="6" t="str">
        <f>PROPER(TRIM(SUBSTITUTE(Y147,"  "," ")))</f>
        <v>Art</v>
      </c>
      <c r="AA147" s="3" t="s">
        <v>3287</v>
      </c>
      <c r="AB147" s="3" t="s">
        <v>48</v>
      </c>
      <c r="AC147" s="6" t="str">
        <f>PROPER(TRIM(SUBSTITUTE(AB147,"  "," ")))</f>
        <v>Same Day</v>
      </c>
      <c r="AD147" s="3">
        <v>7</v>
      </c>
      <c r="AE147" s="3">
        <v>1224.94</v>
      </c>
      <c r="AF147" s="3">
        <v>0</v>
      </c>
      <c r="AG147" s="17">
        <v>0</v>
      </c>
      <c r="AH147" s="6" t="str">
        <f t="shared" si="19"/>
        <v>Valid</v>
      </c>
      <c r="AI147" s="3">
        <v>8574.58</v>
      </c>
      <c r="AJ147" s="3">
        <v>6685.81</v>
      </c>
      <c r="AK147" s="3">
        <v>1888.77</v>
      </c>
      <c r="AL147" s="3" t="s">
        <v>34</v>
      </c>
      <c r="AM147" s="6" t="str">
        <f>PROPER(TRIM(SUBSTITUTE(AL147,".","")))</f>
        <v>Paid</v>
      </c>
      <c r="AN147" s="3" t="s">
        <v>125</v>
      </c>
      <c r="AO147" s="8" t="str">
        <f>PROPER(TRIM(SUBSTITUTE(AN147,".","")))</f>
        <v>Returned</v>
      </c>
      <c r="AP147" t="str">
        <f>IF(COUNTIF($A$2:$A$933, A147) &gt; 1, "Duplicate ID", "Unique")</f>
        <v>Unique</v>
      </c>
      <c r="AR147">
        <f t="shared" si="20"/>
        <v>8574.58</v>
      </c>
      <c r="AS147">
        <f t="shared" si="21"/>
        <v>1888.7699999999995</v>
      </c>
      <c r="AT147" s="15">
        <f t="shared" si="22"/>
        <v>0.22027551203674112</v>
      </c>
      <c r="AU147" t="str">
        <f t="shared" si="23"/>
        <v>Clean</v>
      </c>
      <c r="AV147" s="8" t="str">
        <f t="shared" si="24"/>
        <v>Active</v>
      </c>
    </row>
    <row r="148" spans="1:48">
      <c r="A148" s="3" t="s">
        <v>1561</v>
      </c>
      <c r="B148" s="3" t="s">
        <v>1562</v>
      </c>
      <c r="C148" s="9">
        <f>IFERROR(DATEVALUE(TEXT(B148,"DD/MM/YYYY")), IF(ISNUMBER(B148), B148, ""))</f>
        <v>45413</v>
      </c>
      <c r="D148" s="9" t="str">
        <f>IF(B148="","Missing", IF(AND(ISNUMBER(B148)=FALSE, C148=""),"Invalid - Could Not Parse", IF(AND(ISNUMBER(B148)=FALSE, C148&lt;&gt;""),"Text - Converted to Date", IF(ISNUMBER(B148),"Valid","Check"))))</f>
        <v>Text - Converted to Date</v>
      </c>
      <c r="E148" s="5">
        <f t="shared" si="17"/>
        <v>5</v>
      </c>
      <c r="F148" s="5">
        <f t="shared" si="18"/>
        <v>2024</v>
      </c>
      <c r="G148" s="3" t="s">
        <v>1225</v>
      </c>
      <c r="H148" s="9">
        <f>IFERROR(DATEVALUE(TEXT(G148,"DD/MM/YYYY")), IF(ISNUMBER(G148), G148, ""))</f>
        <v>45327</v>
      </c>
      <c r="I148" s="9" t="str">
        <f>IF(G148="","Missing", IF(AND(ISNUMBER(G148)=FALSE, H148=""),"Invalid - Could Not Parse", IF(AND(ISNUMBER(G148)=FALSE, H148&lt;&gt;""),"Text - Converted to Date", IF(ISNUMBER(G148),"Valid","Check"))))</f>
        <v>Text - Converted to Date</v>
      </c>
      <c r="J148" s="9" t="str">
        <f>IF(OR(C148="", H148=""), "Cannot Check - Date Missing", IF(H148&lt;C148, "Invalid - Ship Before Order", "Valid"))</f>
        <v>Invalid - Ship Before Order</v>
      </c>
      <c r="K148" s="5" t="str">
        <f>IF(OR(C148="", H148=""), "", IF(H148&lt;C148, "", H148-C148))</f>
        <v/>
      </c>
      <c r="L148" s="3" t="s">
        <v>1563</v>
      </c>
      <c r="M148" s="3" t="s">
        <v>72</v>
      </c>
      <c r="N148" s="4" t="str">
        <f>TRIM(SUBSTITUTE(M148,"_"," "))</f>
        <v>Ananya Rao</v>
      </c>
      <c r="O148" s="3" t="s">
        <v>26</v>
      </c>
      <c r="P148" s="6" t="str">
        <f>PROPER(TRIM(SUBSTITUTE(O148,".","")))</f>
        <v>Consumer</v>
      </c>
      <c r="Q148" s="3" t="s">
        <v>42</v>
      </c>
      <c r="R148" s="7" t="str">
        <f>PROPER(TRIM(SUBSTITUTE(Q148,"  "," ")))</f>
        <v>East</v>
      </c>
      <c r="S148" s="3" t="s">
        <v>216</v>
      </c>
      <c r="T148" s="6" t="str">
        <f>PROPER(TRIM(SUBSTITUTE(S148,"  "," ")))</f>
        <v>Assam</v>
      </c>
      <c r="U148" s="3" t="s">
        <v>217</v>
      </c>
      <c r="V148" s="6" t="str">
        <f>PROPER(TRIM(SUBSTITUTE(U148,"  "," ")))</f>
        <v>Guwahati</v>
      </c>
      <c r="W148" s="3" t="s">
        <v>45</v>
      </c>
      <c r="X148" s="6" t="str">
        <f>PROPER(TRIM(SUBSTITUTE(W148,"  "," ")))</f>
        <v>Furniture</v>
      </c>
      <c r="Y148" s="3" t="s">
        <v>76</v>
      </c>
      <c r="Z148" s="6" t="str">
        <f>PROPER(TRIM(SUBSTITUTE(Y148,"  "," ")))</f>
        <v>Chairs</v>
      </c>
      <c r="AA148" s="3" t="s">
        <v>1564</v>
      </c>
      <c r="AB148" s="3" t="s">
        <v>56</v>
      </c>
      <c r="AC148" s="6" t="str">
        <f>PROPER(TRIM(SUBSTITUTE(AB148,"  "," ")))</f>
        <v>First Class</v>
      </c>
      <c r="AD148" s="3">
        <v>4</v>
      </c>
      <c r="AE148" s="3">
        <v>4156.0600000000004</v>
      </c>
      <c r="AF148" s="3">
        <v>0.55000000000000004</v>
      </c>
      <c r="AG148" s="17">
        <v>0.55000000000000004</v>
      </c>
      <c r="AH148" s="6" t="str">
        <f t="shared" si="19"/>
        <v>Invalid - Above Range</v>
      </c>
      <c r="AI148" s="3">
        <v>13299.39</v>
      </c>
      <c r="AJ148" s="3">
        <v>9851.91</v>
      </c>
      <c r="AK148" s="3">
        <v>3447.48</v>
      </c>
      <c r="AL148" s="3" t="s">
        <v>34</v>
      </c>
      <c r="AM148" s="6" t="str">
        <f>PROPER(TRIM(SUBSTITUTE(AL148,".","")))</f>
        <v>Paid</v>
      </c>
      <c r="AN148" s="3" t="s">
        <v>78</v>
      </c>
      <c r="AO148" s="8" t="str">
        <f>PROPER(TRIM(SUBSTITUTE(AN148,".","")))</f>
        <v>Cancelled</v>
      </c>
      <c r="AP148" t="str">
        <f>IF(COUNTIF($A$2:$A$933, A148) &gt; 1, "Duplicate ID", "Unique")</f>
        <v>Unique</v>
      </c>
      <c r="AR148">
        <f t="shared" si="20"/>
        <v>7480.9080000000004</v>
      </c>
      <c r="AS148">
        <f t="shared" si="21"/>
        <v>-2371.0019999999995</v>
      </c>
      <c r="AT148" s="15">
        <f t="shared" si="22"/>
        <v>-0.31694040349112695</v>
      </c>
      <c r="AU148" t="str">
        <f t="shared" si="23"/>
        <v>Invalid</v>
      </c>
      <c r="AV148" s="8" t="str">
        <f t="shared" si="24"/>
        <v>Cancelled</v>
      </c>
    </row>
    <row r="149" spans="1:48">
      <c r="A149" s="3" t="s">
        <v>3468</v>
      </c>
      <c r="B149" s="3" t="s">
        <v>3469</v>
      </c>
      <c r="C149" s="9">
        <f>IFERROR(DATEVALUE(TEXT(B149,"DD/MM/YYYY")), IF(ISNUMBER(B149), B149, ""))</f>
        <v>45413</v>
      </c>
      <c r="D149" s="9" t="str">
        <f>IF(B149="","Missing", IF(AND(ISNUMBER(B149)=FALSE, C149=""),"Invalid - Could Not Parse", IF(AND(ISNUMBER(B149)=FALSE, C149&lt;&gt;""),"Text - Converted to Date", IF(ISNUMBER(B149),"Valid","Check"))))</f>
        <v>Text - Converted to Date</v>
      </c>
      <c r="E149" s="5">
        <f t="shared" si="17"/>
        <v>5</v>
      </c>
      <c r="F149" s="5">
        <f t="shared" si="18"/>
        <v>2024</v>
      </c>
      <c r="G149" s="3" t="s">
        <v>3470</v>
      </c>
      <c r="H149" s="9">
        <f>IFERROR(DATEVALUE(TEXT(G149,"DD/MM/YYYY")), IF(ISNUMBER(G149), G149, ""))</f>
        <v>45419</v>
      </c>
      <c r="I149" s="9" t="str">
        <f>IF(G149="","Missing", IF(AND(ISNUMBER(G149)=FALSE, H149=""),"Invalid - Could Not Parse", IF(AND(ISNUMBER(G149)=FALSE, H149&lt;&gt;""),"Text - Converted to Date", IF(ISNUMBER(G149),"Valid","Check"))))</f>
        <v>Text - Converted to Date</v>
      </c>
      <c r="J149" s="9" t="str">
        <f>IF(OR(C149="", H149=""), "Cannot Check - Date Missing", IF(H149&lt;C149, "Invalid - Ship Before Order", "Valid"))</f>
        <v>Valid</v>
      </c>
      <c r="K149" s="5">
        <f>IF(OR(C149="", H149=""), "", IF(H149&lt;C149, "", H149-C149))</f>
        <v>6</v>
      </c>
      <c r="L149" s="3" t="s">
        <v>3471</v>
      </c>
      <c r="M149" s="3" t="s">
        <v>53</v>
      </c>
      <c r="N149" s="4" t="str">
        <f>TRIM(SUBSTITUTE(M149,"_"," "))</f>
        <v>Isha Nair</v>
      </c>
      <c r="O149" s="3" t="s">
        <v>115</v>
      </c>
      <c r="P149" s="6" t="str">
        <f>PROPER(TRIM(SUBSTITUTE(O149,".","")))</f>
        <v>Home Office</v>
      </c>
      <c r="Q149" s="3" t="s">
        <v>42</v>
      </c>
      <c r="R149" s="7" t="str">
        <f>PROPER(TRIM(SUBSTITUTE(Q149,"  "," ")))</f>
        <v>East</v>
      </c>
      <c r="S149" s="3" t="s">
        <v>43</v>
      </c>
      <c r="T149" s="6" t="str">
        <f>PROPER(TRIM(SUBSTITUTE(S149,"  "," ")))</f>
        <v>Odisha</v>
      </c>
      <c r="U149" s="3" t="s">
        <v>44</v>
      </c>
      <c r="V149" s="6" t="str">
        <f>PROPER(TRIM(SUBSTITUTE(U149,"  "," ")))</f>
        <v>Bhubaneswar</v>
      </c>
      <c r="W149" s="3" t="s">
        <v>30</v>
      </c>
      <c r="X149" s="6" t="str">
        <f>PROPER(TRIM(SUBSTITUTE(W149,"  "," ")))</f>
        <v>Office Supplies</v>
      </c>
      <c r="Y149" s="3" t="s">
        <v>31</v>
      </c>
      <c r="Z149" s="6" t="str">
        <f>PROPER(TRIM(SUBSTITUTE(Y149,"  "," ")))</f>
        <v>Paper</v>
      </c>
      <c r="AA149" s="3" t="s">
        <v>3472</v>
      </c>
      <c r="AB149" s="3" t="s">
        <v>48</v>
      </c>
      <c r="AC149" s="6" t="str">
        <f>PROPER(TRIM(SUBSTITUTE(AB149,"  "," ")))</f>
        <v>Same Day</v>
      </c>
      <c r="AD149" s="3">
        <v>8</v>
      </c>
      <c r="AE149" s="3">
        <v>1473.83</v>
      </c>
      <c r="AF149" s="3">
        <v>0.15</v>
      </c>
      <c r="AG149" s="17">
        <v>0.15</v>
      </c>
      <c r="AH149" s="6" t="str">
        <f t="shared" si="19"/>
        <v>Valid</v>
      </c>
      <c r="AI149" s="3">
        <v>10022.040000000001</v>
      </c>
      <c r="AJ149" s="3">
        <v>5576.98</v>
      </c>
      <c r="AK149" s="3">
        <v>4445.0600000000004</v>
      </c>
      <c r="AL149" s="3" t="s">
        <v>34</v>
      </c>
      <c r="AM149" s="6" t="str">
        <f>PROPER(TRIM(SUBSTITUTE(AL149,".","")))</f>
        <v>Paid</v>
      </c>
      <c r="AN149" s="3" t="s">
        <v>35</v>
      </c>
      <c r="AO149" s="8" t="str">
        <f>PROPER(TRIM(SUBSTITUTE(AN149,".","")))</f>
        <v>Completed</v>
      </c>
      <c r="AP149" t="str">
        <f>IF(COUNTIF($A$2:$A$933, A149) &gt; 1, "Duplicate ID", "Unique")</f>
        <v>Unique</v>
      </c>
      <c r="AR149">
        <f t="shared" si="20"/>
        <v>10022.044</v>
      </c>
      <c r="AS149">
        <f t="shared" si="21"/>
        <v>4445.0640000000003</v>
      </c>
      <c r="AT149" s="15">
        <f t="shared" si="22"/>
        <v>0.44352868536597928</v>
      </c>
      <c r="AU149" t="str">
        <f t="shared" si="23"/>
        <v>Clean</v>
      </c>
      <c r="AV149" s="8" t="str">
        <f t="shared" si="24"/>
        <v>Active</v>
      </c>
    </row>
    <row r="150" spans="1:48">
      <c r="A150" s="3" t="s">
        <v>947</v>
      </c>
      <c r="B150" s="3" t="s">
        <v>948</v>
      </c>
      <c r="C150" s="9">
        <f>IFERROR(DATEVALUE(TEXT(B150,"DD/MM/YYYY")), IF(ISNUMBER(B150), B150, ""))</f>
        <v>45414</v>
      </c>
      <c r="D150" s="9" t="str">
        <f>IF(B150="","Missing", IF(AND(ISNUMBER(B150)=FALSE, C150=""),"Invalid - Could Not Parse", IF(AND(ISNUMBER(B150)=FALSE, C150&lt;&gt;""),"Text - Converted to Date", IF(ISNUMBER(B150),"Valid","Check"))))</f>
        <v>Text - Converted to Date</v>
      </c>
      <c r="E150" s="5">
        <f t="shared" si="17"/>
        <v>5</v>
      </c>
      <c r="F150" s="5">
        <f t="shared" si="18"/>
        <v>2024</v>
      </c>
      <c r="G150" s="3" t="s">
        <v>949</v>
      </c>
      <c r="H150" s="9">
        <f>IFERROR(DATEVALUE(TEXT(G150,"DD/MM/YYYY")), IF(ISNUMBER(G150), G150, ""))</f>
        <v>45420</v>
      </c>
      <c r="I150" s="9" t="str">
        <f>IF(G150="","Missing", IF(AND(ISNUMBER(G150)=FALSE, H150=""),"Invalid - Could Not Parse", IF(AND(ISNUMBER(G150)=FALSE, H150&lt;&gt;""),"Text - Converted to Date", IF(ISNUMBER(G150),"Valid","Check"))))</f>
        <v>Text - Converted to Date</v>
      </c>
      <c r="J150" s="9" t="str">
        <f>IF(OR(C150="", H150=""), "Cannot Check - Date Missing", IF(H150&lt;C150, "Invalid - Ship Before Order", "Valid"))</f>
        <v>Valid</v>
      </c>
      <c r="K150" s="5">
        <f>IF(OR(C150="", H150=""), "", IF(H150&lt;C150, "", H150-C150))</f>
        <v>6</v>
      </c>
      <c r="L150" s="3" t="s">
        <v>950</v>
      </c>
      <c r="M150" s="3" t="s">
        <v>951</v>
      </c>
      <c r="N150" s="4" t="str">
        <f>TRIM(SUBSTITUTE(M150,"_"," "))</f>
        <v>PRIYA MENON</v>
      </c>
      <c r="O150" s="3" t="s">
        <v>115</v>
      </c>
      <c r="P150" s="6" t="str">
        <f>PROPER(TRIM(SUBSTITUTE(O150,".","")))</f>
        <v>Home Office</v>
      </c>
      <c r="Q150" s="3" t="s">
        <v>27</v>
      </c>
      <c r="R150" s="7" t="str">
        <f>PROPER(TRIM(SUBSTITUTE(Q150,"  "," ")))</f>
        <v>North</v>
      </c>
      <c r="S150" s="3" t="s">
        <v>154</v>
      </c>
      <c r="T150" s="6" t="str">
        <f>PROPER(TRIM(SUBSTITUTE(S150,"  "," ")))</f>
        <v>Punjab</v>
      </c>
      <c r="U150" s="3" t="s">
        <v>155</v>
      </c>
      <c r="V150" s="6" t="str">
        <f>PROPER(TRIM(SUBSTITUTE(U150,"  "," ")))</f>
        <v>Ludhiana</v>
      </c>
      <c r="W150" s="3" t="s">
        <v>86</v>
      </c>
      <c r="X150" s="6" t="str">
        <f>PROPER(TRIM(SUBSTITUTE(W150,"  "," ")))</f>
        <v>Technology</v>
      </c>
      <c r="Y150" s="3" t="s">
        <v>94</v>
      </c>
      <c r="Z150" s="6" t="str">
        <f>PROPER(TRIM(SUBSTITUTE(Y150,"  "," ")))</f>
        <v>Copiers</v>
      </c>
      <c r="AA150" s="3" t="s">
        <v>952</v>
      </c>
      <c r="AB150" s="3" t="s">
        <v>33</v>
      </c>
      <c r="AC150" s="6" t="str">
        <f>PROPER(TRIM(SUBSTITUTE(AB150,"  "," ")))</f>
        <v>Second Class</v>
      </c>
      <c r="AD150" s="3">
        <v>1</v>
      </c>
      <c r="AE150" s="3">
        <v>2312.25</v>
      </c>
      <c r="AF150" s="3">
        <v>0.25</v>
      </c>
      <c r="AG150" s="17">
        <v>0.25</v>
      </c>
      <c r="AH150" s="6" t="str">
        <f t="shared" si="19"/>
        <v>Valid</v>
      </c>
      <c r="AI150" s="3">
        <v>1734.19</v>
      </c>
      <c r="AJ150" s="3">
        <v>1386.07</v>
      </c>
      <c r="AK150" s="3">
        <v>348.12</v>
      </c>
      <c r="AL150" s="3" t="s">
        <v>34</v>
      </c>
      <c r="AM150" s="6" t="str">
        <f>PROPER(TRIM(SUBSTITUTE(AL150,".","")))</f>
        <v>Paid</v>
      </c>
      <c r="AN150" s="3" t="s">
        <v>35</v>
      </c>
      <c r="AO150" s="8" t="str">
        <f>PROPER(TRIM(SUBSTITUTE(AN150,".","")))</f>
        <v>Completed</v>
      </c>
      <c r="AP150" t="str">
        <f>IF(COUNTIF($A$2:$A$933, A150) &gt; 1, "Duplicate ID", "Unique")</f>
        <v>Unique</v>
      </c>
      <c r="AR150">
        <f t="shared" si="20"/>
        <v>1734.1875</v>
      </c>
      <c r="AS150">
        <f t="shared" si="21"/>
        <v>348.11750000000006</v>
      </c>
      <c r="AT150" s="15">
        <f t="shared" si="22"/>
        <v>0.20073809781237614</v>
      </c>
      <c r="AU150" t="str">
        <f t="shared" si="23"/>
        <v>Clean</v>
      </c>
      <c r="AV150" s="8" t="str">
        <f t="shared" si="24"/>
        <v>Active</v>
      </c>
    </row>
    <row r="151" spans="1:48">
      <c r="A151" s="3" t="s">
        <v>1223</v>
      </c>
      <c r="B151" s="3" t="s">
        <v>1224</v>
      </c>
      <c r="C151" s="9">
        <f>IFERROR(DATEVALUE(TEXT(B151,"DD/MM/YYYY")), IF(ISNUMBER(B151), B151, ""))</f>
        <v>45414</v>
      </c>
      <c r="D151" s="9" t="str">
        <f>IF(B151="","Missing", IF(AND(ISNUMBER(B151)=FALSE, C151=""),"Invalid - Could Not Parse", IF(AND(ISNUMBER(B151)=FALSE, C151&lt;&gt;""),"Text - Converted to Date", IF(ISNUMBER(B151),"Valid","Check"))))</f>
        <v>Text - Converted to Date</v>
      </c>
      <c r="E151" s="5">
        <f t="shared" si="17"/>
        <v>5</v>
      </c>
      <c r="F151" s="5">
        <f t="shared" si="18"/>
        <v>2024</v>
      </c>
      <c r="G151" s="3" t="s">
        <v>1225</v>
      </c>
      <c r="H151" s="9">
        <f>IFERROR(DATEVALUE(TEXT(G151,"DD/MM/YYYY")), IF(ISNUMBER(G151), G151, ""))</f>
        <v>45327</v>
      </c>
      <c r="I151" s="9" t="str">
        <f>IF(G151="","Missing", IF(AND(ISNUMBER(G151)=FALSE, H151=""),"Invalid - Could Not Parse", IF(AND(ISNUMBER(G151)=FALSE, H151&lt;&gt;""),"Text - Converted to Date", IF(ISNUMBER(G151),"Valid","Check"))))</f>
        <v>Text - Converted to Date</v>
      </c>
      <c r="J151" s="9" t="str">
        <f>IF(OR(C151="", H151=""), "Cannot Check - Date Missing", IF(H151&lt;C151, "Invalid - Ship Before Order", "Valid"))</f>
        <v>Invalid - Ship Before Order</v>
      </c>
      <c r="K151" s="5" t="str">
        <f>IF(OR(C151="", H151=""), "", IF(H151&lt;C151, "", H151-C151))</f>
        <v/>
      </c>
      <c r="L151" s="3" t="s">
        <v>1226</v>
      </c>
      <c r="M151" s="3" t="s">
        <v>72</v>
      </c>
      <c r="N151" s="4" t="str">
        <f>TRIM(SUBSTITUTE(M151,"_"," "))</f>
        <v>Ananya Rao</v>
      </c>
      <c r="O151" s="3" t="s">
        <v>108</v>
      </c>
      <c r="P151" s="6" t="str">
        <f>PROPER(TRIM(SUBSTITUTE(O151,".","")))</f>
        <v>Corporate</v>
      </c>
      <c r="Q151" s="3" t="s">
        <v>27</v>
      </c>
      <c r="R151" s="7" t="str">
        <f>PROPER(TRIM(SUBSTITUTE(Q151,"  "," ")))</f>
        <v>North</v>
      </c>
      <c r="S151" s="3" t="s">
        <v>28</v>
      </c>
      <c r="T151" s="6" t="str">
        <f>PROPER(TRIM(SUBSTITUTE(S151,"  "," ")))</f>
        <v>Rajasthan</v>
      </c>
      <c r="U151" s="3" t="s">
        <v>29</v>
      </c>
      <c r="V151" s="6" t="str">
        <f>PROPER(TRIM(SUBSTITUTE(U151,"  "," ")))</f>
        <v>Jaipur</v>
      </c>
      <c r="W151" s="3" t="s">
        <v>1227</v>
      </c>
      <c r="X151" s="6" t="str">
        <f>PROPER(TRIM(SUBSTITUTE(W151,"  "," ")))</f>
        <v>Office Supplies</v>
      </c>
      <c r="Y151" s="3" t="s">
        <v>109</v>
      </c>
      <c r="Z151" s="6" t="str">
        <f>PROPER(TRIM(SUBSTITUTE(Y151,"  "," ")))</f>
        <v>Labels</v>
      </c>
      <c r="AA151" s="3" t="s">
        <v>1228</v>
      </c>
      <c r="AB151" s="3" t="s">
        <v>56</v>
      </c>
      <c r="AC151" s="6" t="str">
        <f>PROPER(TRIM(SUBSTITUTE(AB151,"  "," ")))</f>
        <v>First Class</v>
      </c>
      <c r="AD151" s="3">
        <v>7</v>
      </c>
      <c r="AE151" s="3">
        <v>2183.38</v>
      </c>
      <c r="AF151" s="3">
        <v>0.25</v>
      </c>
      <c r="AG151" s="17">
        <v>0.25</v>
      </c>
      <c r="AH151" s="6" t="str">
        <f t="shared" si="19"/>
        <v>Valid</v>
      </c>
      <c r="AI151" s="3">
        <v>11462.74</v>
      </c>
      <c r="AJ151" s="3">
        <v>7163.54</v>
      </c>
      <c r="AK151" s="3">
        <v>4299.2</v>
      </c>
      <c r="AL151" s="3" t="s">
        <v>124</v>
      </c>
      <c r="AM151" s="6" t="str">
        <f>PROPER(TRIM(SUBSTITUTE(AL151,".","")))</f>
        <v>Refunded</v>
      </c>
      <c r="AN151" s="3" t="s">
        <v>78</v>
      </c>
      <c r="AO151" s="8" t="str">
        <f>PROPER(TRIM(SUBSTITUTE(AN151,".","")))</f>
        <v>Cancelled</v>
      </c>
      <c r="AP151" t="str">
        <f>IF(COUNTIF($A$2:$A$933, A151) &gt; 1, "Duplicate ID", "Unique")</f>
        <v>Unique</v>
      </c>
      <c r="AR151">
        <f t="shared" si="20"/>
        <v>11462.744999999999</v>
      </c>
      <c r="AS151">
        <f t="shared" si="21"/>
        <v>4299.204999999999</v>
      </c>
      <c r="AT151" s="15">
        <f t="shared" si="22"/>
        <v>0.37505894094302888</v>
      </c>
      <c r="AU151" t="str">
        <f t="shared" si="23"/>
        <v>Invalid</v>
      </c>
      <c r="AV151" s="8" t="str">
        <f t="shared" si="24"/>
        <v>Refund</v>
      </c>
    </row>
    <row r="152" spans="1:48">
      <c r="A152" s="3" t="s">
        <v>3514</v>
      </c>
      <c r="B152" s="3" t="s">
        <v>3515</v>
      </c>
      <c r="C152" s="9">
        <f>IFERROR(DATEVALUE(TEXT(B152,"DD/MM/YYYY")), IF(ISNUMBER(B152), B152, ""))</f>
        <v>45414</v>
      </c>
      <c r="D152" s="9" t="str">
        <f>IF(B152="","Missing", IF(AND(ISNUMBER(B152)=FALSE, C152=""),"Invalid - Could Not Parse", IF(AND(ISNUMBER(B152)=FALSE, C152&lt;&gt;""),"Text - Converted to Date", IF(ISNUMBER(B152),"Valid","Check"))))</f>
        <v>Text - Converted to Date</v>
      </c>
      <c r="E152" s="5">
        <f t="shared" si="17"/>
        <v>5</v>
      </c>
      <c r="F152" s="5">
        <f t="shared" si="18"/>
        <v>2024</v>
      </c>
      <c r="G152" s="3" t="s">
        <v>2704</v>
      </c>
      <c r="H152" s="9">
        <f>IFERROR(DATEVALUE(TEXT(G152,"DD/MM/YYYY")), IF(ISNUMBER(G152), G152, ""))</f>
        <v>45422</v>
      </c>
      <c r="I152" s="9" t="str">
        <f>IF(G152="","Missing", IF(AND(ISNUMBER(G152)=FALSE, H152=""),"Invalid - Could Not Parse", IF(AND(ISNUMBER(G152)=FALSE, H152&lt;&gt;""),"Text - Converted to Date", IF(ISNUMBER(G152),"Valid","Check"))))</f>
        <v>Text - Converted to Date</v>
      </c>
      <c r="J152" s="9" t="str">
        <f>IF(OR(C152="", H152=""), "Cannot Check - Date Missing", IF(H152&lt;C152, "Invalid - Ship Before Order", "Valid"))</f>
        <v>Valid</v>
      </c>
      <c r="K152" s="5">
        <f>IF(OR(C152="", H152=""), "", IF(H152&lt;C152, "", H152-C152))</f>
        <v>8</v>
      </c>
      <c r="L152" s="3" t="s">
        <v>3516</v>
      </c>
      <c r="M152" s="3" t="s">
        <v>162</v>
      </c>
      <c r="N152" s="4" t="str">
        <f>TRIM(SUBSTITUTE(M152,"_"," "))</f>
        <v>Aarav Sharma</v>
      </c>
      <c r="O152" s="3" t="s">
        <v>41</v>
      </c>
      <c r="P152" s="6" t="str">
        <f>PROPER(TRIM(SUBSTITUTE(O152,".","")))</f>
        <v>Small Business</v>
      </c>
      <c r="Q152" s="3" t="s">
        <v>62</v>
      </c>
      <c r="R152" s="7" t="str">
        <f>PROPER(TRIM(SUBSTITUTE(Q152,"  "," ")))</f>
        <v>South</v>
      </c>
      <c r="S152" s="3" t="s">
        <v>229</v>
      </c>
      <c r="T152" s="6" t="str">
        <f>PROPER(TRIM(SUBSTITUTE(S152,"  "," ")))</f>
        <v>Karnataka</v>
      </c>
      <c r="U152" s="3" t="s">
        <v>230</v>
      </c>
      <c r="V152" s="6" t="str">
        <f>PROPER(TRIM(SUBSTITUTE(U152,"  "," ")))</f>
        <v>Bengaluru</v>
      </c>
      <c r="W152" s="3" t="s">
        <v>45</v>
      </c>
      <c r="X152" s="6" t="str">
        <f>PROPER(TRIM(SUBSTITUTE(W152,"  "," ")))</f>
        <v>Furniture</v>
      </c>
      <c r="Y152" s="3" t="s">
        <v>76</v>
      </c>
      <c r="Z152" s="6" t="str">
        <f>PROPER(TRIM(SUBSTITUTE(Y152,"  "," ")))</f>
        <v>Chairs</v>
      </c>
      <c r="AA152" s="3" t="s">
        <v>3517</v>
      </c>
      <c r="AB152" s="3" t="s">
        <v>67</v>
      </c>
      <c r="AC152" s="6" t="str">
        <f>PROPER(TRIM(SUBSTITUTE(AB152,"  "," ")))</f>
        <v>Standard Class</v>
      </c>
      <c r="AD152" s="3">
        <v>1</v>
      </c>
      <c r="AE152" s="3">
        <v>4166.91</v>
      </c>
      <c r="AF152" s="3">
        <v>0</v>
      </c>
      <c r="AG152" s="17">
        <v>0</v>
      </c>
      <c r="AH152" s="6" t="str">
        <f t="shared" si="19"/>
        <v>Valid</v>
      </c>
      <c r="AI152" s="3">
        <v>4166.91</v>
      </c>
      <c r="AJ152" s="3">
        <v>3412.63</v>
      </c>
      <c r="AK152" s="3">
        <v>754.28</v>
      </c>
      <c r="AL152" s="3" t="s">
        <v>34</v>
      </c>
      <c r="AM152" s="6" t="str">
        <f>PROPER(TRIM(SUBSTITUTE(AL152,".","")))</f>
        <v>Paid</v>
      </c>
      <c r="AN152" s="3" t="s">
        <v>35</v>
      </c>
      <c r="AO152" s="8" t="str">
        <f>PROPER(TRIM(SUBSTITUTE(AN152,".","")))</f>
        <v>Completed</v>
      </c>
      <c r="AP152" t="str">
        <f>IF(COUNTIF($A$2:$A$933, A152) &gt; 1, "Duplicate ID", "Unique")</f>
        <v>Unique</v>
      </c>
      <c r="AR152">
        <f t="shared" si="20"/>
        <v>4166.91</v>
      </c>
      <c r="AS152">
        <f t="shared" si="21"/>
        <v>754.27999999999975</v>
      </c>
      <c r="AT152" s="15">
        <f t="shared" si="22"/>
        <v>0.18101662862888801</v>
      </c>
      <c r="AU152" t="str">
        <f t="shared" si="23"/>
        <v>Clean</v>
      </c>
      <c r="AV152" s="8" t="str">
        <f t="shared" si="24"/>
        <v>Active</v>
      </c>
    </row>
    <row r="153" spans="1:48">
      <c r="A153" s="3" t="s">
        <v>3551</v>
      </c>
      <c r="B153" s="3" t="s">
        <v>3552</v>
      </c>
      <c r="C153" s="9">
        <f>IFERROR(DATEVALUE(TEXT(B153,"DD/MM/YYYY")), IF(ISNUMBER(B153), B153, ""))</f>
        <v>45415</v>
      </c>
      <c r="D153" s="9" t="str">
        <f>IF(B153="","Missing", IF(AND(ISNUMBER(B153)=FALSE, C153=""),"Invalid - Could Not Parse", IF(AND(ISNUMBER(B153)=FALSE, C153&lt;&gt;""),"Text - Converted to Date", IF(ISNUMBER(B153),"Valid","Check"))))</f>
        <v>Text - Converted to Date</v>
      </c>
      <c r="E153" s="5">
        <f t="shared" si="17"/>
        <v>5</v>
      </c>
      <c r="F153" s="5">
        <f t="shared" si="18"/>
        <v>2024</v>
      </c>
      <c r="G153" s="3" t="s">
        <v>2708</v>
      </c>
      <c r="H153" s="9">
        <f>IFERROR(DATEVALUE(TEXT(G153,"DD/MM/YYYY")), IF(ISNUMBER(G153), G153, ""))</f>
        <v>45448</v>
      </c>
      <c r="I153" s="9" t="str">
        <f>IF(G153="","Missing", IF(AND(ISNUMBER(G153)=FALSE, H153=""),"Invalid - Could Not Parse", IF(AND(ISNUMBER(G153)=FALSE, H153&lt;&gt;""),"Text - Converted to Date", IF(ISNUMBER(G153),"Valid","Check"))))</f>
        <v>Text - Converted to Date</v>
      </c>
      <c r="J153" s="9" t="str">
        <f>IF(OR(C153="", H153=""), "Cannot Check - Date Missing", IF(H153&lt;C153, "Invalid - Ship Before Order", "Valid"))</f>
        <v>Valid</v>
      </c>
      <c r="K153" s="5">
        <f>IF(OR(C153="", H153=""), "", IF(H153&lt;C153, "", H153-C153))</f>
        <v>33</v>
      </c>
      <c r="L153" s="3" t="s">
        <v>3553</v>
      </c>
      <c r="M153" s="3" t="s">
        <v>72</v>
      </c>
      <c r="N153" s="4" t="str">
        <f>TRIM(SUBSTITUTE(M153,"_"," "))</f>
        <v>Ananya Rao</v>
      </c>
      <c r="O153" s="3" t="s">
        <v>115</v>
      </c>
      <c r="P153" s="6" t="str">
        <f>PROPER(TRIM(SUBSTITUTE(O153,".","")))</f>
        <v>Home Office</v>
      </c>
      <c r="Q153" s="3" t="s">
        <v>27</v>
      </c>
      <c r="R153" s="7" t="str">
        <f>PROPER(TRIM(SUBSTITUTE(Q153,"  "," ")))</f>
        <v>North</v>
      </c>
      <c r="S153" s="3" t="s">
        <v>174</v>
      </c>
      <c r="T153" s="6" t="str">
        <f>PROPER(TRIM(SUBSTITUTE(S153,"  "," ")))</f>
        <v>Uttar Pradesh</v>
      </c>
      <c r="U153" s="3" t="s">
        <v>175</v>
      </c>
      <c r="V153" s="6" t="str">
        <f>PROPER(TRIM(SUBSTITUTE(U153,"  "," ")))</f>
        <v>Noida</v>
      </c>
      <c r="W153" s="3" t="s">
        <v>918</v>
      </c>
      <c r="X153" s="6" t="str">
        <f>PROPER(TRIM(SUBSTITUTE(W153,"  "," ")))</f>
        <v>Office Supplies</v>
      </c>
      <c r="Y153" s="3" t="s">
        <v>198</v>
      </c>
      <c r="Z153" s="6" t="str">
        <f>PROPER(TRIM(SUBSTITUTE(Y153,"  "," ")))</f>
        <v>Binders</v>
      </c>
      <c r="AA153" s="3" t="s">
        <v>3554</v>
      </c>
      <c r="AB153" s="3" t="s">
        <v>67</v>
      </c>
      <c r="AC153" s="6" t="str">
        <f>PROPER(TRIM(SUBSTITUTE(AB153,"  "," ")))</f>
        <v>Standard Class</v>
      </c>
      <c r="AD153" s="3">
        <v>1</v>
      </c>
      <c r="AE153" s="3">
        <v>1244.58</v>
      </c>
      <c r="AF153" s="3">
        <v>0.25</v>
      </c>
      <c r="AG153" s="17">
        <v>0.25</v>
      </c>
      <c r="AH153" s="6" t="str">
        <f t="shared" si="19"/>
        <v>Valid</v>
      </c>
      <c r="AI153" s="3">
        <v>933.43</v>
      </c>
      <c r="AJ153" s="3">
        <v>583.09</v>
      </c>
      <c r="AK153" s="3">
        <v>350.34</v>
      </c>
      <c r="AL153" s="3" t="s">
        <v>34</v>
      </c>
      <c r="AM153" s="6" t="str">
        <f>PROPER(TRIM(SUBSTITUTE(AL153,".","")))</f>
        <v>Paid</v>
      </c>
      <c r="AN153" s="3" t="s">
        <v>35</v>
      </c>
      <c r="AO153" s="8" t="str">
        <f>PROPER(TRIM(SUBSTITUTE(AN153,".","")))</f>
        <v>Completed</v>
      </c>
      <c r="AP153" t="str">
        <f>IF(COUNTIF($A$2:$A$933, A153) &gt; 1, "Duplicate ID", "Unique")</f>
        <v>Unique</v>
      </c>
      <c r="AR153">
        <f t="shared" si="20"/>
        <v>933.43499999999995</v>
      </c>
      <c r="AS153">
        <f t="shared" si="21"/>
        <v>350.34499999999991</v>
      </c>
      <c r="AT153" s="15">
        <f t="shared" si="22"/>
        <v>0.3753287588316272</v>
      </c>
      <c r="AU153" t="str">
        <f t="shared" si="23"/>
        <v>Clean</v>
      </c>
      <c r="AV153" s="8" t="str">
        <f t="shared" si="24"/>
        <v>Active</v>
      </c>
    </row>
    <row r="154" spans="1:48">
      <c r="A154" s="3" t="s">
        <v>1292</v>
      </c>
      <c r="B154" s="3" t="s">
        <v>1293</v>
      </c>
      <c r="C154" s="9">
        <f>IFERROR(DATEVALUE(TEXT(B154,"DD/MM/YYYY")), IF(ISNUMBER(B154), B154, ""))</f>
        <v>45416</v>
      </c>
      <c r="D154" s="9" t="str">
        <f>IF(B154="","Missing", IF(AND(ISNUMBER(B154)=FALSE, C154=""),"Invalid - Could Not Parse", IF(AND(ISNUMBER(B154)=FALSE, C154&lt;&gt;""),"Text - Converted to Date", IF(ISNUMBER(B154),"Valid","Check"))))</f>
        <v>Text - Converted to Date</v>
      </c>
      <c r="E154" s="5">
        <f t="shared" si="17"/>
        <v>5</v>
      </c>
      <c r="F154" s="5">
        <f t="shared" si="18"/>
        <v>2024</v>
      </c>
      <c r="G154" s="3" t="s">
        <v>1294</v>
      </c>
      <c r="H154" s="9">
        <f>IFERROR(DATEVALUE(TEXT(G154,"DD/MM/YYYY")), IF(ISNUMBER(G154), G154, ""))</f>
        <v>45421</v>
      </c>
      <c r="I154" s="9" t="str">
        <f>IF(G154="","Missing", IF(AND(ISNUMBER(G154)=FALSE, H154=""),"Invalid - Could Not Parse", IF(AND(ISNUMBER(G154)=FALSE, H154&lt;&gt;""),"Text - Converted to Date", IF(ISNUMBER(G154),"Valid","Check"))))</f>
        <v>Text - Converted to Date</v>
      </c>
      <c r="J154" s="9" t="str">
        <f>IF(OR(C154="", H154=""), "Cannot Check - Date Missing", IF(H154&lt;C154, "Invalid - Ship Before Order", "Valid"))</f>
        <v>Valid</v>
      </c>
      <c r="K154" s="5">
        <f>IF(OR(C154="", H154=""), "", IF(H154&lt;C154, "", H154-C154))</f>
        <v>5</v>
      </c>
      <c r="L154" s="3" t="s">
        <v>1295</v>
      </c>
      <c r="M154" s="3" t="s">
        <v>72</v>
      </c>
      <c r="N154" s="4" t="str">
        <f>TRIM(SUBSTITUTE(M154,"_"," "))</f>
        <v>Ananya Rao</v>
      </c>
      <c r="O154" s="3" t="s">
        <v>108</v>
      </c>
      <c r="P154" s="6" t="str">
        <f>PROPER(TRIM(SUBSTITUTE(O154,".","")))</f>
        <v>Corporate</v>
      </c>
      <c r="Q154" s="3" t="s">
        <v>27</v>
      </c>
      <c r="R154" s="7" t="str">
        <f>PROPER(TRIM(SUBSTITUTE(Q154,"  "," ")))</f>
        <v>North</v>
      </c>
      <c r="S154" s="3" t="s">
        <v>154</v>
      </c>
      <c r="T154" s="6" t="str">
        <f>PROPER(TRIM(SUBSTITUTE(S154,"  "," ")))</f>
        <v>Punjab</v>
      </c>
      <c r="U154" s="3" t="s">
        <v>155</v>
      </c>
      <c r="V154" s="6" t="str">
        <f>PROPER(TRIM(SUBSTITUTE(U154,"  "," ")))</f>
        <v>Ludhiana</v>
      </c>
      <c r="W154" s="3" t="s">
        <v>86</v>
      </c>
      <c r="X154" s="6" t="str">
        <f>PROPER(TRIM(SUBSTITUTE(W154,"  "," ")))</f>
        <v>Technology</v>
      </c>
      <c r="Y154" s="3" t="s">
        <v>382</v>
      </c>
      <c r="Z154" s="6" t="str">
        <f>PROPER(TRIM(SUBSTITUTE(Y154,"  "," ")))</f>
        <v>Machines</v>
      </c>
      <c r="AA154" s="3" t="s">
        <v>1296</v>
      </c>
      <c r="AB154" s="3" t="s">
        <v>48</v>
      </c>
      <c r="AC154" s="6" t="str">
        <f>PROPER(TRIM(SUBSTITUTE(AB154,"  "," ")))</f>
        <v>Same Day</v>
      </c>
      <c r="AD154" s="3">
        <v>3</v>
      </c>
      <c r="AE154" s="3">
        <v>231.95</v>
      </c>
      <c r="AF154" s="3">
        <v>0.25</v>
      </c>
      <c r="AG154" s="17">
        <v>0.25</v>
      </c>
      <c r="AH154" s="6" t="str">
        <f t="shared" si="19"/>
        <v>Valid</v>
      </c>
      <c r="AI154" s="3">
        <v>521.89</v>
      </c>
      <c r="AJ154" s="3">
        <v>444.52</v>
      </c>
      <c r="AK154" s="3">
        <v>77.37</v>
      </c>
      <c r="AL154" s="3" t="s">
        <v>124</v>
      </c>
      <c r="AM154" s="6" t="str">
        <f>PROPER(TRIM(SUBSTITUTE(AL154,".","")))</f>
        <v>Refunded</v>
      </c>
      <c r="AN154" s="3" t="s">
        <v>78</v>
      </c>
      <c r="AO154" s="8" t="str">
        <f>PROPER(TRIM(SUBSTITUTE(AN154,".","")))</f>
        <v>Cancelled</v>
      </c>
      <c r="AP154" t="str">
        <f>IF(COUNTIF($A$2:$A$933, A154) &gt; 1, "Duplicate ID", "Unique")</f>
        <v>Unique</v>
      </c>
      <c r="AR154">
        <f t="shared" si="20"/>
        <v>521.88749999999993</v>
      </c>
      <c r="AS154">
        <f t="shared" si="21"/>
        <v>77.36749999999995</v>
      </c>
      <c r="AT154" s="15">
        <f t="shared" si="22"/>
        <v>0.14824555100476627</v>
      </c>
      <c r="AU154" t="str">
        <f t="shared" si="23"/>
        <v>Clean</v>
      </c>
      <c r="AV154" s="8" t="str">
        <f t="shared" si="24"/>
        <v>Refund</v>
      </c>
    </row>
    <row r="155" spans="1:48">
      <c r="A155" s="3" t="s">
        <v>1495</v>
      </c>
      <c r="B155" s="3" t="s">
        <v>1496</v>
      </c>
      <c r="C155" s="9">
        <f>IFERROR(DATEVALUE(TEXT(B155,"DD/MM/YYYY")), IF(ISNUMBER(B155), B155, ""))</f>
        <v>45416</v>
      </c>
      <c r="D155" s="9" t="str">
        <f>IF(B155="","Missing", IF(AND(ISNUMBER(B155)=FALSE, C155=""),"Invalid - Could Not Parse", IF(AND(ISNUMBER(B155)=FALSE, C155&lt;&gt;""),"Text - Converted to Date", IF(ISNUMBER(B155),"Valid","Check"))))</f>
        <v>Text - Converted to Date</v>
      </c>
      <c r="E155" s="5">
        <f t="shared" si="17"/>
        <v>5</v>
      </c>
      <c r="F155" s="5">
        <f t="shared" si="18"/>
        <v>2024</v>
      </c>
      <c r="G155" s="3" t="s">
        <v>1497</v>
      </c>
      <c r="H155" s="9">
        <f>IFERROR(DATEVALUE(TEXT(G155,"DD/MM/YYYY")), IF(ISNUMBER(G155), G155, ""))</f>
        <v>45392</v>
      </c>
      <c r="I155" s="9" t="str">
        <f>IF(G155="","Missing", IF(AND(ISNUMBER(G155)=FALSE, H155=""),"Invalid - Could Not Parse", IF(AND(ISNUMBER(G155)=FALSE, H155&lt;&gt;""),"Text - Converted to Date", IF(ISNUMBER(G155),"Valid","Check"))))</f>
        <v>Text - Converted to Date</v>
      </c>
      <c r="J155" s="9" t="str">
        <f>IF(OR(C155="", H155=""), "Cannot Check - Date Missing", IF(H155&lt;C155, "Invalid - Ship Before Order", "Valid"))</f>
        <v>Invalid - Ship Before Order</v>
      </c>
      <c r="K155" s="5" t="str">
        <f>IF(OR(C155="", H155=""), "", IF(H155&lt;C155, "", H155-C155))</f>
        <v/>
      </c>
      <c r="L155" s="3" t="s">
        <v>1498</v>
      </c>
      <c r="M155" s="3" t="s">
        <v>142</v>
      </c>
      <c r="N155" s="4" t="str">
        <f>TRIM(SUBSTITUTE(M155,"_"," "))</f>
        <v>Priya Menon</v>
      </c>
      <c r="O155" s="3" t="s">
        <v>115</v>
      </c>
      <c r="P155" s="6" t="str">
        <f>PROPER(TRIM(SUBSTITUTE(O155,".","")))</f>
        <v>Home Office</v>
      </c>
      <c r="Q155" s="3" t="s">
        <v>27</v>
      </c>
      <c r="R155" s="7" t="str">
        <f>PROPER(TRIM(SUBSTITUTE(Q155,"  "," ")))</f>
        <v>North</v>
      </c>
      <c r="S155" s="3" t="s">
        <v>28</v>
      </c>
      <c r="T155" s="6" t="str">
        <f>PROPER(TRIM(SUBSTITUTE(S155,"  "," ")))</f>
        <v>Rajasthan</v>
      </c>
      <c r="U155" s="3" t="s">
        <v>29</v>
      </c>
      <c r="V155" s="6" t="str">
        <f>PROPER(TRIM(SUBSTITUTE(U155,"  "," ")))</f>
        <v>Jaipur</v>
      </c>
      <c r="W155" s="3" t="s">
        <v>30</v>
      </c>
      <c r="X155" s="6" t="str">
        <f>PROPER(TRIM(SUBSTITUTE(W155,"  "," ")))</f>
        <v>Office Supplies</v>
      </c>
      <c r="Y155" s="3" t="s">
        <v>198</v>
      </c>
      <c r="Z155" s="6" t="str">
        <f>PROPER(TRIM(SUBSTITUTE(Y155,"  "," ")))</f>
        <v>Binders</v>
      </c>
      <c r="AA155" s="3" t="s">
        <v>1499</v>
      </c>
      <c r="AB155" s="3" t="s">
        <v>67</v>
      </c>
      <c r="AC155" s="6" t="str">
        <f>PROPER(TRIM(SUBSTITUTE(AB155,"  "," ")))</f>
        <v>Standard Class</v>
      </c>
      <c r="AD155" s="3">
        <v>4</v>
      </c>
      <c r="AE155" s="3">
        <v>3228.66</v>
      </c>
      <c r="AF155" s="3">
        <v>0.25</v>
      </c>
      <c r="AG155" s="17">
        <v>0.25</v>
      </c>
      <c r="AH155" s="6" t="str">
        <f t="shared" si="19"/>
        <v>Valid</v>
      </c>
      <c r="AI155" s="3">
        <v>9685.98</v>
      </c>
      <c r="AJ155" s="3">
        <v>7730.04</v>
      </c>
      <c r="AK155" s="3">
        <v>1955.94</v>
      </c>
      <c r="AL155" s="3" t="s">
        <v>34</v>
      </c>
      <c r="AM155" s="6" t="str">
        <f>PROPER(TRIM(SUBSTITUTE(AL155,".","")))</f>
        <v>Paid</v>
      </c>
      <c r="AN155" s="3" t="s">
        <v>35</v>
      </c>
      <c r="AO155" s="8" t="str">
        <f>PROPER(TRIM(SUBSTITUTE(AN155,".","")))</f>
        <v>Completed</v>
      </c>
      <c r="AP155" t="str">
        <f>IF(COUNTIF($A$2:$A$933, A155) &gt; 1, "Duplicate ID", "Unique")</f>
        <v>Unique</v>
      </c>
      <c r="AR155">
        <f t="shared" si="20"/>
        <v>9685.98</v>
      </c>
      <c r="AS155">
        <f t="shared" si="21"/>
        <v>1955.9399999999996</v>
      </c>
      <c r="AT155" s="15">
        <f t="shared" si="22"/>
        <v>0.20193516815025425</v>
      </c>
      <c r="AU155" t="str">
        <f t="shared" si="23"/>
        <v>Invalid</v>
      </c>
      <c r="AV155" s="8" t="str">
        <f t="shared" si="24"/>
        <v>Active</v>
      </c>
    </row>
    <row r="156" spans="1:48">
      <c r="A156" s="3" t="s">
        <v>3097</v>
      </c>
      <c r="B156" s="3" t="s">
        <v>3098</v>
      </c>
      <c r="C156" s="9">
        <f>IFERROR(DATEVALUE(TEXT(B156,"DD/MM/YYYY")), IF(ISNUMBER(B156), B156, ""))</f>
        <v>45419</v>
      </c>
      <c r="D156" s="9" t="str">
        <f>IF(B156="","Missing", IF(AND(ISNUMBER(B156)=FALSE, C156=""),"Invalid - Could Not Parse", IF(AND(ISNUMBER(B156)=FALSE, C156&lt;&gt;""),"Text - Converted to Date", IF(ISNUMBER(B156),"Valid","Check"))))</f>
        <v>Text - Converted to Date</v>
      </c>
      <c r="E156" s="5">
        <f t="shared" si="17"/>
        <v>5</v>
      </c>
      <c r="F156" s="5">
        <f t="shared" si="18"/>
        <v>2024</v>
      </c>
      <c r="G156" s="3" t="s">
        <v>2329</v>
      </c>
      <c r="H156" s="9">
        <f>IFERROR(DATEVALUE(MID(G156,4,2) &amp; "/" &amp; LEFT(G156,2) &amp; "/" &amp; RIGHT(G156,4)), IF(ISNUMBER(G156), G156, IFERROR(DATEVALUE(G156), "")))</f>
        <v>45426</v>
      </c>
      <c r="I156" s="9" t="str">
        <f>IF(G156="","Missing", IF(AND(ISNUMBER(G156)=FALSE, H156=""),"Invalid - Could Not Parse", IF(AND(ISNUMBER(G156)=FALSE, H156&lt;&gt;""),"Text - Converted to Date", IF(ISNUMBER(G156),"Valid","Check"))))</f>
        <v>Text - Converted to Date</v>
      </c>
      <c r="J156" s="9" t="str">
        <f>IF(OR(C156="", H156=""), "Cannot Check - Date Missing", IF(H156&lt;C156, "Invalid - Ship Before Order", "Valid"))</f>
        <v>Valid</v>
      </c>
      <c r="K156" s="5">
        <f>IF(OR(C156="", H156=""), "", IF(H156&lt;C156, "", H156-C156))</f>
        <v>7</v>
      </c>
      <c r="L156" s="3" t="s">
        <v>3099</v>
      </c>
      <c r="M156" s="3" t="s">
        <v>93</v>
      </c>
      <c r="N156" s="4" t="str">
        <f>TRIM(SUBSTITUTE(M156,"_"," "))</f>
        <v>Neha Gupta</v>
      </c>
      <c r="O156" s="3" t="s">
        <v>41</v>
      </c>
      <c r="P156" s="6" t="str">
        <f>PROPER(TRIM(SUBSTITUTE(O156,".","")))</f>
        <v>Small Business</v>
      </c>
      <c r="Q156" s="3" t="s">
        <v>27</v>
      </c>
      <c r="R156" s="7" t="str">
        <f>PROPER(TRIM(SUBSTITUTE(Q156,"  "," ")))</f>
        <v>North</v>
      </c>
      <c r="S156" s="3" t="s">
        <v>323</v>
      </c>
      <c r="T156" s="6" t="str">
        <f>PROPER(TRIM(SUBSTITUTE(S156,"  "," ")))</f>
        <v>Haryana</v>
      </c>
      <c r="U156" s="3" t="s">
        <v>324</v>
      </c>
      <c r="V156" s="6" t="str">
        <f>PROPER(TRIM(SUBSTITUTE(U156,"  "," ")))</f>
        <v>Gurugram</v>
      </c>
      <c r="W156" s="3" t="s">
        <v>86</v>
      </c>
      <c r="X156" s="6" t="str">
        <f>PROPER(TRIM(SUBSTITUTE(W156,"  "," ")))</f>
        <v>Technology</v>
      </c>
      <c r="Y156" s="3" t="s">
        <v>382</v>
      </c>
      <c r="Z156" s="6" t="str">
        <f>PROPER(TRIM(SUBSTITUTE(Y156,"  "," ")))</f>
        <v>Machines</v>
      </c>
      <c r="AA156" s="3" t="s">
        <v>3100</v>
      </c>
      <c r="AB156" s="3" t="s">
        <v>48</v>
      </c>
      <c r="AC156" s="6" t="str">
        <f>PROPER(TRIM(SUBSTITUTE(AB156,"  "," ")))</f>
        <v>Same Day</v>
      </c>
      <c r="AD156" s="3">
        <v>4</v>
      </c>
      <c r="AE156" s="3">
        <v>2751.1</v>
      </c>
      <c r="AF156" s="3">
        <v>-0.05</v>
      </c>
      <c r="AG156" s="17">
        <v>-0.05</v>
      </c>
      <c r="AH156" s="6" t="str">
        <f t="shared" si="19"/>
        <v>Invalid - Negative</v>
      </c>
      <c r="AI156" s="3">
        <v>9903.9599999999991</v>
      </c>
      <c r="AJ156" s="3">
        <v>7696.28</v>
      </c>
      <c r="AK156" s="3">
        <v>2207.6799999999998</v>
      </c>
      <c r="AL156" s="3" t="s">
        <v>34</v>
      </c>
      <c r="AM156" s="6" t="str">
        <f>PROPER(TRIM(SUBSTITUTE(AL156,".","")))</f>
        <v>Paid</v>
      </c>
      <c r="AN156" s="3" t="s">
        <v>35</v>
      </c>
      <c r="AO156" s="8" t="str">
        <f>PROPER(TRIM(SUBSTITUTE(AN156,".","")))</f>
        <v>Completed</v>
      </c>
      <c r="AP156" t="str">
        <f>IF(COUNTIF($A$2:$A$933, A156) &gt; 1, "Duplicate ID", "Unique")</f>
        <v>Unique</v>
      </c>
      <c r="AR156">
        <f t="shared" si="20"/>
        <v>11554.62</v>
      </c>
      <c r="AS156">
        <f t="shared" si="21"/>
        <v>3858.3400000000011</v>
      </c>
      <c r="AT156" s="15">
        <f t="shared" si="22"/>
        <v>0.33392184251840396</v>
      </c>
      <c r="AU156" t="str">
        <f t="shared" si="23"/>
        <v>Invalid</v>
      </c>
      <c r="AV156" s="8" t="str">
        <f t="shared" si="24"/>
        <v>Active</v>
      </c>
    </row>
    <row r="157" spans="1:48">
      <c r="A157" s="3" t="s">
        <v>2681</v>
      </c>
      <c r="B157" s="3" t="s">
        <v>2682</v>
      </c>
      <c r="C157" s="9">
        <f>IFERROR(DATEVALUE(TEXT(B157,"DD/MM/YYYY")), IF(ISNUMBER(B157), B157, ""))</f>
        <v>45420</v>
      </c>
      <c r="D157" s="9" t="str">
        <f>IF(B157="","Missing", IF(AND(ISNUMBER(B157)=FALSE, C157=""),"Invalid - Could Not Parse", IF(AND(ISNUMBER(B157)=FALSE, C157&lt;&gt;""),"Text - Converted to Date", IF(ISNUMBER(B157),"Valid","Check"))))</f>
        <v>Text - Converted to Date</v>
      </c>
      <c r="E157" s="5">
        <f t="shared" si="17"/>
        <v>5</v>
      </c>
      <c r="F157" s="5">
        <f t="shared" si="18"/>
        <v>2024</v>
      </c>
      <c r="G157" s="3" t="s">
        <v>2683</v>
      </c>
      <c r="H157" s="9">
        <f>IFERROR(DATEVALUE(TEXT(G157,"DD/MM/YYYY")), IF(ISNUMBER(G157), G157, ""))</f>
        <v>45426</v>
      </c>
      <c r="I157" s="9" t="str">
        <f>IF(G157="","Missing", IF(AND(ISNUMBER(G157)=FALSE, H157=""),"Invalid - Could Not Parse", IF(AND(ISNUMBER(G157)=FALSE, H157&lt;&gt;""),"Text - Converted to Date", IF(ISNUMBER(G157),"Valid","Check"))))</f>
        <v>Text - Converted to Date</v>
      </c>
      <c r="J157" s="9" t="str">
        <f>IF(OR(C157="", H157=""), "Cannot Check - Date Missing", IF(H157&lt;C157, "Invalid - Ship Before Order", "Valid"))</f>
        <v>Valid</v>
      </c>
      <c r="K157" s="5">
        <f>IF(OR(C157="", H157=""), "", IF(H157&lt;C157, "", H157-C157))</f>
        <v>6</v>
      </c>
      <c r="L157" s="3" t="s">
        <v>2684</v>
      </c>
      <c r="M157" s="3" t="s">
        <v>83</v>
      </c>
      <c r="N157" s="4" t="str">
        <f>TRIM(SUBSTITUTE(M157,"_"," "))</f>
        <v>Vikram Iyer</v>
      </c>
      <c r="O157" s="3" t="s">
        <v>115</v>
      </c>
      <c r="P157" s="6" t="str">
        <f>PROPER(TRIM(SUBSTITUTE(O157,".","")))</f>
        <v>Home Office</v>
      </c>
      <c r="Q157" s="3" t="s">
        <v>27</v>
      </c>
      <c r="R157" s="7" t="str">
        <f>PROPER(TRIM(SUBSTITUTE(Q157,"  "," ")))</f>
        <v>North</v>
      </c>
      <c r="S157" s="3" t="s">
        <v>323</v>
      </c>
      <c r="T157" s="6" t="str">
        <f>PROPER(TRIM(SUBSTITUTE(S157,"  "," ")))</f>
        <v>Haryana</v>
      </c>
      <c r="U157" s="3" t="s">
        <v>324</v>
      </c>
      <c r="V157" s="6" t="str">
        <f>PROPER(TRIM(SUBSTITUTE(U157,"  "," ")))</f>
        <v>Gurugram</v>
      </c>
      <c r="W157" s="3" t="s">
        <v>86</v>
      </c>
      <c r="X157" s="6" t="str">
        <f>PROPER(TRIM(SUBSTITUTE(W157,"  "," ")))</f>
        <v>Technology</v>
      </c>
      <c r="Y157" s="3" t="s">
        <v>223</v>
      </c>
      <c r="Z157" s="6" t="str">
        <f>PROPER(TRIM(SUBSTITUTE(Y157,"  "," ")))</f>
        <v>Phones</v>
      </c>
      <c r="AA157" s="3" t="s">
        <v>2685</v>
      </c>
      <c r="AB157" s="3" t="s">
        <v>56</v>
      </c>
      <c r="AC157" s="6" t="str">
        <f>PROPER(TRIM(SUBSTITUTE(AB157,"  "," ")))</f>
        <v>First Class</v>
      </c>
      <c r="AD157" s="3">
        <v>9</v>
      </c>
      <c r="AE157" s="3">
        <v>3769.46</v>
      </c>
      <c r="AF157" s="3">
        <v>0.05</v>
      </c>
      <c r="AG157" s="17">
        <v>0.05</v>
      </c>
      <c r="AH157" s="6" t="str">
        <f t="shared" si="19"/>
        <v>Valid</v>
      </c>
      <c r="AI157" s="3">
        <v>32228.880000000001</v>
      </c>
      <c r="AJ157" s="3">
        <v>24971.360000000001</v>
      </c>
      <c r="AK157" s="3">
        <v>7257.52</v>
      </c>
      <c r="AL157" s="3" t="s">
        <v>34</v>
      </c>
      <c r="AM157" s="6" t="str">
        <f>PROPER(TRIM(SUBSTITUTE(AL157,".","")))</f>
        <v>Paid</v>
      </c>
      <c r="AN157" s="3" t="s">
        <v>78</v>
      </c>
      <c r="AO157" s="8" t="str">
        <f>PROPER(TRIM(SUBSTITUTE(AN157,".","")))</f>
        <v>Cancelled</v>
      </c>
      <c r="AP157" t="str">
        <f>IF(COUNTIF($A$2:$A$933, A157) &gt; 1, "Duplicate ID", "Unique")</f>
        <v>Unique</v>
      </c>
      <c r="AR157">
        <f t="shared" si="20"/>
        <v>32228.882999999998</v>
      </c>
      <c r="AS157">
        <f t="shared" si="21"/>
        <v>7257.5229999999974</v>
      </c>
      <c r="AT157" s="15">
        <f t="shared" si="22"/>
        <v>0.22518692317074712</v>
      </c>
      <c r="AU157" t="str">
        <f t="shared" si="23"/>
        <v>Clean</v>
      </c>
      <c r="AV157" s="8" t="str">
        <f t="shared" si="24"/>
        <v>Cancelled</v>
      </c>
    </row>
    <row r="158" spans="1:48">
      <c r="A158" s="3" t="s">
        <v>1478</v>
      </c>
      <c r="B158" s="3" t="s">
        <v>1479</v>
      </c>
      <c r="C158" s="9">
        <f>IFERROR(DATEVALUE(TEXT(B158,"DD/MM/YYYY")), IF(ISNUMBER(B158), B158, ""))</f>
        <v>45421</v>
      </c>
      <c r="D158" s="9" t="str">
        <f>IF(B158="","Missing", IF(AND(ISNUMBER(B158)=FALSE, C158=""),"Invalid - Could Not Parse", IF(AND(ISNUMBER(B158)=FALSE, C158&lt;&gt;""),"Text - Converted to Date", IF(ISNUMBER(B158),"Valid","Check"))))</f>
        <v>Text - Converted to Date</v>
      </c>
      <c r="E158" s="5">
        <f t="shared" si="17"/>
        <v>5</v>
      </c>
      <c r="F158" s="5">
        <f t="shared" si="18"/>
        <v>2024</v>
      </c>
      <c r="G158" s="3" t="s">
        <v>1480</v>
      </c>
      <c r="H158" s="9">
        <f>IFERROR(DATEVALUE(TEXT(G158,"DD/MM/YYYY")), IF(ISNUMBER(G158), G158, ""))</f>
        <v>45542</v>
      </c>
      <c r="I158" s="9" t="str">
        <f>IF(G158="","Missing", IF(AND(ISNUMBER(G158)=FALSE, H158=""),"Invalid - Could Not Parse", IF(AND(ISNUMBER(G158)=FALSE, H158&lt;&gt;""),"Text - Converted to Date", IF(ISNUMBER(G158),"Valid","Check"))))</f>
        <v>Text - Converted to Date</v>
      </c>
      <c r="J158" s="9" t="str">
        <f>IF(OR(C158="", H158=""), "Cannot Check - Date Missing", IF(H158&lt;C158, "Invalid - Ship Before Order", "Valid"))</f>
        <v>Valid</v>
      </c>
      <c r="K158" s="5">
        <f>IF(OR(C158="", H158=""), "", IF(H158&lt;C158, "", H158-C158))</f>
        <v>121</v>
      </c>
      <c r="L158" s="3" t="s">
        <v>1481</v>
      </c>
      <c r="M158" s="3" t="s">
        <v>93</v>
      </c>
      <c r="N158" s="4" t="str">
        <f>TRIM(SUBSTITUTE(M158,"_"," "))</f>
        <v>Neha Gupta</v>
      </c>
      <c r="O158" s="3" t="s">
        <v>41</v>
      </c>
      <c r="P158" s="6" t="str">
        <f>PROPER(TRIM(SUBSTITUTE(O158,".","")))</f>
        <v>Small Business</v>
      </c>
      <c r="Q158" s="3" t="s">
        <v>62</v>
      </c>
      <c r="R158" s="7" t="str">
        <f>PROPER(TRIM(SUBSTITUTE(Q158,"  "," ")))</f>
        <v>South</v>
      </c>
      <c r="S158" s="3" t="s">
        <v>339</v>
      </c>
      <c r="T158" s="6" t="str">
        <f>PROPER(TRIM(SUBSTITUTE(S158,"  "," ")))</f>
        <v>Tamil Nadu</v>
      </c>
      <c r="U158" s="3" t="s">
        <v>340</v>
      </c>
      <c r="V158" s="6" t="str">
        <f>PROPER(TRIM(SUBSTITUTE(U158,"  "," ")))</f>
        <v>Chennai</v>
      </c>
      <c r="W158" s="3" t="s">
        <v>86</v>
      </c>
      <c r="X158" s="6" t="str">
        <f>PROPER(TRIM(SUBSTITUTE(W158,"  "," ")))</f>
        <v>Technology</v>
      </c>
      <c r="Y158" s="3" t="s">
        <v>94</v>
      </c>
      <c r="Z158" s="6" t="str">
        <f>PROPER(TRIM(SUBSTITUTE(Y158,"  "," ")))</f>
        <v>Copiers</v>
      </c>
      <c r="AA158" s="3" t="s">
        <v>1482</v>
      </c>
      <c r="AB158" s="3" t="s">
        <v>67</v>
      </c>
      <c r="AC158" s="6" t="str">
        <f>PROPER(TRIM(SUBSTITUTE(AB158,"  "," ")))</f>
        <v>Standard Class</v>
      </c>
      <c r="AD158" s="3">
        <v>3</v>
      </c>
      <c r="AE158" s="3">
        <v>2555.66</v>
      </c>
      <c r="AF158" s="3">
        <v>0.15</v>
      </c>
      <c r="AG158" s="17">
        <v>0.15</v>
      </c>
      <c r="AH158" s="6" t="str">
        <f t="shared" si="19"/>
        <v>Valid</v>
      </c>
      <c r="AI158" s="3">
        <v>6516.93</v>
      </c>
      <c r="AJ158" s="3">
        <v>4511.54</v>
      </c>
      <c r="AK158" s="3">
        <v>2005.39</v>
      </c>
      <c r="AL158" s="3" t="s">
        <v>34</v>
      </c>
      <c r="AM158" s="6" t="str">
        <f>PROPER(TRIM(SUBSTITUTE(AL158,".","")))</f>
        <v>Paid</v>
      </c>
      <c r="AN158" s="3" t="s">
        <v>78</v>
      </c>
      <c r="AO158" s="8" t="str">
        <f>PROPER(TRIM(SUBSTITUTE(AN158,".","")))</f>
        <v>Cancelled</v>
      </c>
      <c r="AP158" t="str">
        <f>IF(COUNTIF($A$2:$A$933, A158) &gt; 1, "Duplicate ID", "Unique")</f>
        <v>Unique</v>
      </c>
      <c r="AR158">
        <f t="shared" si="20"/>
        <v>6516.9329999999991</v>
      </c>
      <c r="AS158">
        <f t="shared" si="21"/>
        <v>2005.3929999999991</v>
      </c>
      <c r="AT158" s="15">
        <f t="shared" si="22"/>
        <v>0.30772036477895343</v>
      </c>
      <c r="AU158" t="str">
        <f t="shared" si="23"/>
        <v>Clean</v>
      </c>
      <c r="AV158" s="8" t="str">
        <f t="shared" si="24"/>
        <v>Cancelled</v>
      </c>
    </row>
    <row r="159" spans="1:48">
      <c r="A159" s="3" t="s">
        <v>2221</v>
      </c>
      <c r="B159" s="3" t="s">
        <v>2222</v>
      </c>
      <c r="C159" s="9">
        <f>IFERROR(DATEVALUE(TEXT(B159,"DD/MM/YYYY")), IF(ISNUMBER(B159), B159, ""))</f>
        <v>45422</v>
      </c>
      <c r="D159" s="9" t="str">
        <f>IF(B159="","Missing", IF(AND(ISNUMBER(B159)=FALSE, C159=""),"Invalid - Could Not Parse", IF(AND(ISNUMBER(B159)=FALSE, C159&lt;&gt;""),"Text - Converted to Date", IF(ISNUMBER(B159),"Valid","Check"))))</f>
        <v>Text - Converted to Date</v>
      </c>
      <c r="E159" s="5">
        <f t="shared" si="17"/>
        <v>5</v>
      </c>
      <c r="F159" s="5">
        <f t="shared" si="18"/>
        <v>2024</v>
      </c>
      <c r="G159" s="3" t="s">
        <v>1375</v>
      </c>
      <c r="H159" s="9">
        <f>IFERROR(DATEVALUE(TEXT(G159,"DD/MM/YYYY")), IF(ISNUMBER(G159), G159, ""))</f>
        <v>45428</v>
      </c>
      <c r="I159" s="9" t="str">
        <f>IF(G159="","Missing", IF(AND(ISNUMBER(G159)=FALSE, H159=""),"Invalid - Could Not Parse", IF(AND(ISNUMBER(G159)=FALSE, H159&lt;&gt;""),"Text - Converted to Date", IF(ISNUMBER(G159),"Valid","Check"))))</f>
        <v>Text - Converted to Date</v>
      </c>
      <c r="J159" s="9" t="str">
        <f>IF(OR(C159="", H159=""), "Cannot Check - Date Missing", IF(H159&lt;C159, "Invalid - Ship Before Order", "Valid"))</f>
        <v>Valid</v>
      </c>
      <c r="K159" s="5">
        <f>IF(OR(C159="", H159=""), "", IF(H159&lt;C159, "", H159-C159))</f>
        <v>6</v>
      </c>
      <c r="L159" s="3" t="s">
        <v>2223</v>
      </c>
      <c r="M159" s="3" t="s">
        <v>210</v>
      </c>
      <c r="N159" s="4" t="str">
        <f>TRIM(SUBSTITUTE(M159,"_"," "))</f>
        <v>Diya Patel</v>
      </c>
      <c r="O159" s="3" t="s">
        <v>115</v>
      </c>
      <c r="P159" s="6" t="str">
        <f>PROPER(TRIM(SUBSTITUTE(O159,".","")))</f>
        <v>Home Office</v>
      </c>
      <c r="Q159" s="3" t="s">
        <v>42</v>
      </c>
      <c r="R159" s="7" t="str">
        <f>PROPER(TRIM(SUBSTITUTE(Q159,"  "," ")))</f>
        <v>East</v>
      </c>
      <c r="S159" s="3" t="s">
        <v>311</v>
      </c>
      <c r="T159" s="6" t="str">
        <f>PROPER(TRIM(SUBSTITUTE(S159,"  "," ")))</f>
        <v>Jharkhand</v>
      </c>
      <c r="U159" s="3" t="s">
        <v>312</v>
      </c>
      <c r="V159" s="6" t="str">
        <f>PROPER(TRIM(SUBSTITUTE(U159,"  "," ")))</f>
        <v>Ranchi</v>
      </c>
      <c r="W159" s="3" t="s">
        <v>86</v>
      </c>
      <c r="X159" s="6" t="str">
        <f>PROPER(TRIM(SUBSTITUTE(W159,"  "," ")))</f>
        <v>Technology</v>
      </c>
      <c r="Y159" s="3" t="s">
        <v>87</v>
      </c>
      <c r="Z159" s="6" t="str">
        <f>PROPER(TRIM(SUBSTITUTE(Y159,"  "," ")))</f>
        <v>Accessories</v>
      </c>
      <c r="AA159" s="3" t="s">
        <v>2224</v>
      </c>
      <c r="AB159" s="3" t="s">
        <v>33</v>
      </c>
      <c r="AC159" s="6" t="str">
        <f>PROPER(TRIM(SUBSTITUTE(AB159,"  "," ")))</f>
        <v>Second Class</v>
      </c>
      <c r="AD159" s="3">
        <v>6</v>
      </c>
      <c r="AE159" s="3">
        <v>2013.33</v>
      </c>
      <c r="AF159" s="3">
        <v>0.2</v>
      </c>
      <c r="AG159" s="17">
        <v>0.2</v>
      </c>
      <c r="AH159" s="6" t="str">
        <f t="shared" si="19"/>
        <v>Valid</v>
      </c>
      <c r="AI159" s="3">
        <v>9663.98</v>
      </c>
      <c r="AJ159" s="3">
        <v>5628.93</v>
      </c>
      <c r="AK159" s="3">
        <v>4035.05</v>
      </c>
      <c r="AL159" s="3" t="s">
        <v>34</v>
      </c>
      <c r="AM159" s="6" t="str">
        <f>PROPER(TRIM(SUBSTITUTE(AL159,".","")))</f>
        <v>Paid</v>
      </c>
      <c r="AN159" s="3" t="s">
        <v>35</v>
      </c>
      <c r="AO159" s="8" t="str">
        <f>PROPER(TRIM(SUBSTITUTE(AN159,".","")))</f>
        <v>Completed</v>
      </c>
      <c r="AP159" t="str">
        <f>IF(COUNTIF($A$2:$A$933, A159) &gt; 1, "Duplicate ID", "Unique")</f>
        <v>Unique</v>
      </c>
      <c r="AR159">
        <f t="shared" si="20"/>
        <v>9663.9840000000004</v>
      </c>
      <c r="AS159">
        <f t="shared" si="21"/>
        <v>4035.0540000000001</v>
      </c>
      <c r="AT159" s="15">
        <f t="shared" si="22"/>
        <v>0.41753525254180884</v>
      </c>
      <c r="AU159" t="str">
        <f t="shared" si="23"/>
        <v>Clean</v>
      </c>
      <c r="AV159" s="8" t="str">
        <f t="shared" si="24"/>
        <v>Active</v>
      </c>
    </row>
    <row r="160" spans="1:48">
      <c r="A160" s="3" t="s">
        <v>2703</v>
      </c>
      <c r="B160" s="3" t="s">
        <v>2704</v>
      </c>
      <c r="C160" s="9">
        <f>IFERROR(DATEVALUE(TEXT(B160,"DD/MM/YYYY")), IF(ISNUMBER(B160), B160, ""))</f>
        <v>45422</v>
      </c>
      <c r="D160" s="9" t="str">
        <f>IF(B160="","Missing", IF(AND(ISNUMBER(B160)=FALSE, C160=""),"Invalid - Could Not Parse", IF(AND(ISNUMBER(B160)=FALSE, C160&lt;&gt;""),"Text - Converted to Date", IF(ISNUMBER(B160),"Valid","Check"))))</f>
        <v>Text - Converted to Date</v>
      </c>
      <c r="E160" s="5">
        <f t="shared" si="17"/>
        <v>5</v>
      </c>
      <c r="F160" s="5">
        <f t="shared" si="18"/>
        <v>2024</v>
      </c>
      <c r="G160" s="3" t="s">
        <v>2641</v>
      </c>
      <c r="H160" s="9">
        <f>IFERROR(DATEVALUE(TEXT(G160,"DD/MM/YYYY")), IF(ISNUMBER(G160), G160, ""))</f>
        <v>45428</v>
      </c>
      <c r="I160" s="9" t="str">
        <f>IF(G160="","Missing", IF(AND(ISNUMBER(G160)=FALSE, H160=""),"Invalid - Could Not Parse", IF(AND(ISNUMBER(G160)=FALSE, H160&lt;&gt;""),"Text - Converted to Date", IF(ISNUMBER(G160),"Valid","Check"))))</f>
        <v>Text - Converted to Date</v>
      </c>
      <c r="J160" s="9" t="str">
        <f>IF(OR(C160="", H160=""), "Cannot Check - Date Missing", IF(H160&lt;C160, "Invalid - Ship Before Order", "Valid"))</f>
        <v>Valid</v>
      </c>
      <c r="K160" s="5">
        <f>IF(OR(C160="", H160=""), "", IF(H160&lt;C160, "", H160-C160))</f>
        <v>6</v>
      </c>
      <c r="L160" s="3" t="s">
        <v>2705</v>
      </c>
      <c r="M160" s="3" t="s">
        <v>25</v>
      </c>
      <c r="N160" s="4" t="str">
        <f>TRIM(SUBSTITUTE(M160,"_"," "))</f>
        <v>Karan Malhotra</v>
      </c>
      <c r="O160" s="3" t="s">
        <v>26</v>
      </c>
      <c r="P160" s="6" t="str">
        <f>PROPER(TRIM(SUBSTITUTE(O160,".","")))</f>
        <v>Consumer</v>
      </c>
      <c r="Q160" s="3" t="s">
        <v>27</v>
      </c>
      <c r="R160" s="7" t="str">
        <f>PROPER(TRIM(SUBSTITUTE(Q160,"  "," ")))</f>
        <v>North</v>
      </c>
      <c r="S160" s="3" t="s">
        <v>154</v>
      </c>
      <c r="T160" s="6" t="str">
        <f>PROPER(TRIM(SUBSTITUTE(S160,"  "," ")))</f>
        <v>Punjab</v>
      </c>
      <c r="U160" s="3" t="s">
        <v>155</v>
      </c>
      <c r="V160" s="6" t="str">
        <f>PROPER(TRIM(SUBSTITUTE(U160,"  "," ")))</f>
        <v>Ludhiana</v>
      </c>
      <c r="W160" s="3" t="s">
        <v>30</v>
      </c>
      <c r="X160" s="6" t="str">
        <f>PROPER(TRIM(SUBSTITUTE(W160,"  "," ")))</f>
        <v>Office Supplies</v>
      </c>
      <c r="Y160" s="3" t="s">
        <v>198</v>
      </c>
      <c r="Z160" s="6" t="str">
        <f>PROPER(TRIM(SUBSTITUTE(Y160,"  "," ")))</f>
        <v>Binders</v>
      </c>
      <c r="AA160" s="3" t="s">
        <v>2706</v>
      </c>
      <c r="AB160" s="3" t="s">
        <v>48</v>
      </c>
      <c r="AC160" s="6" t="str">
        <f>PROPER(TRIM(SUBSTITUTE(AB160,"  "," ")))</f>
        <v>Same Day</v>
      </c>
      <c r="AD160" s="3">
        <v>7</v>
      </c>
      <c r="AE160" s="3">
        <v>121.54</v>
      </c>
      <c r="AF160" s="3">
        <v>0.2</v>
      </c>
      <c r="AG160" s="17">
        <v>0.2</v>
      </c>
      <c r="AH160" s="6" t="str">
        <f t="shared" si="19"/>
        <v>Valid</v>
      </c>
      <c r="AI160" s="3">
        <v>680.62</v>
      </c>
      <c r="AJ160" s="3">
        <v>463.49</v>
      </c>
      <c r="AK160" s="3">
        <v>217.13</v>
      </c>
      <c r="AL160" s="3" t="s">
        <v>200</v>
      </c>
      <c r="AM160" s="6" t="str">
        <f>PROPER(TRIM(SUBSTITUTE(AL160,".","")))</f>
        <v>Failed</v>
      </c>
      <c r="AN160" s="3" t="s">
        <v>125</v>
      </c>
      <c r="AO160" s="8" t="str">
        <f>PROPER(TRIM(SUBSTITUTE(AN160,".","")))</f>
        <v>Returned</v>
      </c>
      <c r="AP160" t="str">
        <f>IF(COUNTIF($A$2:$A$933, A160) &gt; 1, "Duplicate ID", "Unique")</f>
        <v>Unique</v>
      </c>
      <c r="AR160">
        <f t="shared" si="20"/>
        <v>680.62400000000014</v>
      </c>
      <c r="AS160">
        <f t="shared" si="21"/>
        <v>217.13400000000013</v>
      </c>
      <c r="AT160" s="15">
        <f t="shared" si="22"/>
        <v>0.31902195632243363</v>
      </c>
      <c r="AU160" t="str">
        <f t="shared" si="23"/>
        <v>Clean</v>
      </c>
      <c r="AV160" s="8" t="str">
        <f t="shared" si="24"/>
        <v>Active</v>
      </c>
    </row>
    <row r="161" spans="1:48">
      <c r="A161" s="3" t="s">
        <v>103</v>
      </c>
      <c r="B161" s="3" t="s">
        <v>104</v>
      </c>
      <c r="C161" s="9">
        <f>IFERROR(DATEVALUE(TEXT(B161,"DD/MM/YYYY")), IF(ISNUMBER(B161), B161, ""))</f>
        <v>45423</v>
      </c>
      <c r="D161" s="9" t="str">
        <f>IF(B161="","Missing", IF(AND(ISNUMBER(B161)=FALSE, C161=""),"Invalid - Could Not Parse", IF(AND(ISNUMBER(B161)=FALSE, C161&lt;&gt;""),"Text - Converted to Date", IF(ISNUMBER(B161),"Valid","Check"))))</f>
        <v>Text - Converted to Date</v>
      </c>
      <c r="E161" s="5">
        <f t="shared" si="17"/>
        <v>5</v>
      </c>
      <c r="F161" s="5">
        <f t="shared" si="18"/>
        <v>2024</v>
      </c>
      <c r="G161" s="3" t="s">
        <v>105</v>
      </c>
      <c r="H161" s="9">
        <f>IFERROR(DATEVALUE(TEXT(G161,"DD/MM/YYYY")), IF(ISNUMBER(G161), G161, ""))</f>
        <v>45576</v>
      </c>
      <c r="I161" s="9" t="str">
        <f>IF(G161="","Missing", IF(AND(ISNUMBER(G161)=FALSE, H161=""),"Invalid - Could Not Parse", IF(AND(ISNUMBER(G161)=FALSE, H161&lt;&gt;""),"Text - Converted to Date", IF(ISNUMBER(G161),"Valid","Check"))))</f>
        <v>Text - Converted to Date</v>
      </c>
      <c r="J161" s="9" t="str">
        <f>IF(OR(C161="", H161=""), "Cannot Check - Date Missing", IF(H161&lt;C161, "Invalid - Ship Before Order", "Valid"))</f>
        <v>Valid</v>
      </c>
      <c r="K161" s="5">
        <f>IF(OR(C161="", H161=""), "", IF(H161&lt;C161, "", H161-C161))</f>
        <v>153</v>
      </c>
      <c r="L161" s="3" t="s">
        <v>106</v>
      </c>
      <c r="M161" s="3" t="s">
        <v>107</v>
      </c>
      <c r="N161" s="4" t="str">
        <f>TRIM(SUBSTITUTE(M161,"_"," "))</f>
        <v>Aditi Sen</v>
      </c>
      <c r="O161" s="3" t="s">
        <v>108</v>
      </c>
      <c r="P161" s="6" t="str">
        <f>PROPER(TRIM(SUBSTITUTE(O161,".","")))</f>
        <v>Corporate</v>
      </c>
      <c r="Q161" s="3" t="s">
        <v>62</v>
      </c>
      <c r="R161" s="7" t="str">
        <f>PROPER(TRIM(SUBSTITUTE(Q161,"  "," ")))</f>
        <v>South</v>
      </c>
      <c r="S161" s="3" t="s">
        <v>63</v>
      </c>
      <c r="T161" s="6" t="str">
        <f>PROPER(TRIM(SUBSTITUTE(S161,"  "," ")))</f>
        <v>Telangana</v>
      </c>
      <c r="U161" s="3" t="s">
        <v>64</v>
      </c>
      <c r="V161" s="6" t="str">
        <f>PROPER(TRIM(SUBSTITUTE(U161,"  "," ")))</f>
        <v>Hyderabad</v>
      </c>
      <c r="W161" s="3" t="s">
        <v>30</v>
      </c>
      <c r="X161" s="6" t="str">
        <f>PROPER(TRIM(SUBSTITUTE(W161,"  "," ")))</f>
        <v>Office Supplies</v>
      </c>
      <c r="Y161" s="3" t="s">
        <v>109</v>
      </c>
      <c r="Z161" s="6" t="str">
        <f>PROPER(TRIM(SUBSTITUTE(Y161,"  "," ")))</f>
        <v>Labels</v>
      </c>
      <c r="AA161" s="3" t="s">
        <v>110</v>
      </c>
      <c r="AB161" s="3" t="s">
        <v>56</v>
      </c>
      <c r="AC161" s="6" t="str">
        <f>PROPER(TRIM(SUBSTITUTE(AB161,"  "," ")))</f>
        <v>First Class</v>
      </c>
      <c r="AD161" s="3">
        <v>8</v>
      </c>
      <c r="AE161" s="3">
        <v>3134.2</v>
      </c>
      <c r="AF161" s="3">
        <v>0</v>
      </c>
      <c r="AG161" s="17">
        <v>0</v>
      </c>
      <c r="AH161" s="6" t="str">
        <f t="shared" si="19"/>
        <v>Valid</v>
      </c>
      <c r="AI161" s="3">
        <v>25073.599999999999</v>
      </c>
      <c r="AJ161" s="3">
        <v>17347.23</v>
      </c>
      <c r="AK161" s="3">
        <v>7726.37</v>
      </c>
      <c r="AL161" s="3" t="s">
        <v>34</v>
      </c>
      <c r="AM161" s="6" t="str">
        <f>PROPER(TRIM(SUBSTITUTE(AL161,".","")))</f>
        <v>Paid</v>
      </c>
      <c r="AN161" s="3" t="s">
        <v>35</v>
      </c>
      <c r="AO161" s="8" t="str">
        <f>PROPER(TRIM(SUBSTITUTE(AN161,".","")))</f>
        <v>Completed</v>
      </c>
      <c r="AP161" t="str">
        <f>IF(COUNTIF($A$2:$A$933, A161) &gt; 1, "Duplicate ID", "Unique")</f>
        <v>Unique</v>
      </c>
      <c r="AR161">
        <f t="shared" si="20"/>
        <v>25073.599999999999</v>
      </c>
      <c r="AS161">
        <f t="shared" si="21"/>
        <v>7726.369999999999</v>
      </c>
      <c r="AT161" s="15">
        <f t="shared" si="22"/>
        <v>0.30814761342607361</v>
      </c>
      <c r="AU161" t="str">
        <f t="shared" si="23"/>
        <v>Clean</v>
      </c>
      <c r="AV161" s="8" t="str">
        <f t="shared" si="24"/>
        <v>Active</v>
      </c>
    </row>
    <row r="162" spans="1:48">
      <c r="A162" s="3" t="s">
        <v>1004</v>
      </c>
      <c r="B162" s="3" t="s">
        <v>104</v>
      </c>
      <c r="C162" s="9">
        <f>IFERROR(DATEVALUE(TEXT(B162,"DD/MM/YYYY")), IF(ISNUMBER(B162), B162, ""))</f>
        <v>45423</v>
      </c>
      <c r="D162" s="9" t="str">
        <f>IF(B162="","Missing", IF(AND(ISNUMBER(B162)=FALSE, C162=""),"Invalid - Could Not Parse", IF(AND(ISNUMBER(B162)=FALSE, C162&lt;&gt;""),"Text - Converted to Date", IF(ISNUMBER(B162),"Valid","Check"))))</f>
        <v>Text - Converted to Date</v>
      </c>
      <c r="E162" s="5">
        <f t="shared" si="17"/>
        <v>5</v>
      </c>
      <c r="F162" s="5">
        <f t="shared" si="18"/>
        <v>2024</v>
      </c>
      <c r="G162" s="3" t="s">
        <v>1005</v>
      </c>
      <c r="H162" s="9">
        <f>IFERROR(DATEVALUE(TEXT(G162,"DD/MM/YYYY")), IF(ISNUMBER(G162), G162, ""))</f>
        <v>45609</v>
      </c>
      <c r="I162" s="9" t="str">
        <f>IF(G162="","Missing", IF(AND(ISNUMBER(G162)=FALSE, H162=""),"Invalid - Could Not Parse", IF(AND(ISNUMBER(G162)=FALSE, H162&lt;&gt;""),"Text - Converted to Date", IF(ISNUMBER(G162),"Valid","Check"))))</f>
        <v>Text - Converted to Date</v>
      </c>
      <c r="J162" s="9" t="str">
        <f>IF(OR(C162="", H162=""), "Cannot Check - Date Missing", IF(H162&lt;C162, "Invalid - Ship Before Order", "Valid"))</f>
        <v>Valid</v>
      </c>
      <c r="K162" s="5">
        <f>IF(OR(C162="", H162=""), "", IF(H162&lt;C162, "", H162-C162))</f>
        <v>186</v>
      </c>
      <c r="L162" s="3" t="s">
        <v>1006</v>
      </c>
      <c r="M162" s="3" t="s">
        <v>61</v>
      </c>
      <c r="N162" s="4" t="str">
        <f>TRIM(SUBSTITUTE(M162,"_"," "))</f>
        <v>Arjun Bose</v>
      </c>
      <c r="O162" s="3" t="s">
        <v>26</v>
      </c>
      <c r="P162" s="6" t="str">
        <f>PROPER(TRIM(SUBSTITUTE(O162,".","")))</f>
        <v>Consumer</v>
      </c>
      <c r="Q162" s="3"/>
      <c r="R162" s="6" t="str">
        <f>IF(ISBLANK(Q162), "Unknown", Q162)</f>
        <v>Unknown</v>
      </c>
      <c r="S162" s="3" t="s">
        <v>154</v>
      </c>
      <c r="T162" s="6" t="str">
        <f>PROPER(TRIM(SUBSTITUTE(S162,"  "," ")))</f>
        <v>Punjab</v>
      </c>
      <c r="U162" s="3" t="s">
        <v>155</v>
      </c>
      <c r="V162" s="6" t="str">
        <f>PROPER(TRIM(SUBSTITUTE(U162,"  "," ")))</f>
        <v>Ludhiana</v>
      </c>
      <c r="W162" s="3" t="s">
        <v>30</v>
      </c>
      <c r="X162" s="6" t="str">
        <f>PROPER(TRIM(SUBSTITUTE(W162,"  "," ")))</f>
        <v>Office Supplies</v>
      </c>
      <c r="Y162" s="3" t="s">
        <v>109</v>
      </c>
      <c r="Z162" s="6" t="str">
        <f>PROPER(TRIM(SUBSTITUTE(Y162,"  "," ")))</f>
        <v>Labels</v>
      </c>
      <c r="AA162" s="3" t="s">
        <v>1007</v>
      </c>
      <c r="AB162" s="3" t="s">
        <v>33</v>
      </c>
      <c r="AC162" s="6" t="str">
        <f>PROPER(TRIM(SUBSTITUTE(AB162,"  "," ")))</f>
        <v>Second Class</v>
      </c>
      <c r="AD162" s="3">
        <v>2</v>
      </c>
      <c r="AE162" s="3">
        <v>1003.17</v>
      </c>
      <c r="AF162" s="3">
        <v>0.2</v>
      </c>
      <c r="AG162" s="17">
        <v>0.2</v>
      </c>
      <c r="AH162" s="6" t="str">
        <f t="shared" si="19"/>
        <v>Valid</v>
      </c>
      <c r="AI162" s="3">
        <v>1605.07</v>
      </c>
      <c r="AJ162" s="3">
        <v>1337.28</v>
      </c>
      <c r="AK162" s="3">
        <v>267.79000000000002</v>
      </c>
      <c r="AL162" s="3" t="s">
        <v>34</v>
      </c>
      <c r="AM162" s="6" t="str">
        <f>PROPER(TRIM(SUBSTITUTE(AL162,".","")))</f>
        <v>Paid</v>
      </c>
      <c r="AN162" s="3" t="s">
        <v>35</v>
      </c>
      <c r="AO162" s="8" t="str">
        <f>PROPER(TRIM(SUBSTITUTE(AN162,".","")))</f>
        <v>Completed</v>
      </c>
      <c r="AP162" t="str">
        <f>IF(COUNTIF($A$2:$A$933, A162) &gt; 1, "Duplicate ID", "Unique")</f>
        <v>Unique</v>
      </c>
      <c r="AR162">
        <f t="shared" si="20"/>
        <v>1605.0720000000001</v>
      </c>
      <c r="AS162">
        <f t="shared" si="21"/>
        <v>267.79200000000014</v>
      </c>
      <c r="AT162" s="15">
        <f t="shared" si="22"/>
        <v>0.16684111366966722</v>
      </c>
      <c r="AU162" t="str">
        <f t="shared" si="23"/>
        <v>Clean</v>
      </c>
      <c r="AV162" s="8" t="str">
        <f t="shared" si="24"/>
        <v>Active</v>
      </c>
    </row>
    <row r="163" spans="1:48">
      <c r="A163" s="3" t="s">
        <v>1783</v>
      </c>
      <c r="B163" s="3" t="s">
        <v>1784</v>
      </c>
      <c r="C163" s="9">
        <f>IFERROR(DATEVALUE(TEXT(B163,"DD/MM/YYYY")), IF(ISNUMBER(B163), B163, ""))</f>
        <v>45424</v>
      </c>
      <c r="D163" s="9" t="str">
        <f>IF(B163="","Missing", IF(AND(ISNUMBER(B163)=FALSE, C163=""),"Invalid - Could Not Parse", IF(AND(ISNUMBER(B163)=FALSE, C163&lt;&gt;""),"Text - Converted to Date", IF(ISNUMBER(B163),"Valid","Check"))))</f>
        <v>Text - Converted to Date</v>
      </c>
      <c r="E163" s="5">
        <f t="shared" si="17"/>
        <v>5</v>
      </c>
      <c r="F163" s="5">
        <f t="shared" si="18"/>
        <v>2024</v>
      </c>
      <c r="G163" s="3" t="s">
        <v>1785</v>
      </c>
      <c r="H163" s="9">
        <f>IFERROR(DATEVALUE(TEXT(G163,"DD/MM/YYYY")), IF(ISNUMBER(G163), G163, ""))</f>
        <v>45421</v>
      </c>
      <c r="I163" s="9" t="str">
        <f>IF(G163="","Missing", IF(AND(ISNUMBER(G163)=FALSE, H163=""),"Invalid - Could Not Parse", IF(AND(ISNUMBER(G163)=FALSE, H163&lt;&gt;""),"Text - Converted to Date", IF(ISNUMBER(G163),"Valid","Check"))))</f>
        <v>Text - Converted to Date</v>
      </c>
      <c r="J163" s="9" t="str">
        <f>IF(OR(C163="", H163=""), "Cannot Check - Date Missing", IF(H163&lt;C163, "Invalid - Ship Before Order", "Valid"))</f>
        <v>Invalid - Ship Before Order</v>
      </c>
      <c r="K163" s="5" t="str">
        <f>IF(OR(C163="", H163=""), "", IF(H163&lt;C163, "", H163-C163))</f>
        <v/>
      </c>
      <c r="L163" s="3" t="s">
        <v>1786</v>
      </c>
      <c r="M163" s="3" t="s">
        <v>142</v>
      </c>
      <c r="N163" s="4" t="str">
        <f>TRIM(SUBSTITUTE(M163,"_"," "))</f>
        <v>Priya Menon</v>
      </c>
      <c r="O163" s="3" t="s">
        <v>108</v>
      </c>
      <c r="P163" s="6" t="str">
        <f>PROPER(TRIM(SUBSTITUTE(O163,".","")))</f>
        <v>Corporate</v>
      </c>
      <c r="Q163" s="3" t="s">
        <v>73</v>
      </c>
      <c r="R163" s="7" t="str">
        <f>PROPER(TRIM(SUBSTITUTE(Q163,"  "," ")))</f>
        <v>West</v>
      </c>
      <c r="S163" s="3" t="s">
        <v>28</v>
      </c>
      <c r="T163" s="6" t="str">
        <f>PROPER(TRIM(SUBSTITUTE(S163,"  "," ")))</f>
        <v>Rajasthan</v>
      </c>
      <c r="U163" s="3" t="s">
        <v>135</v>
      </c>
      <c r="V163" s="6" t="str">
        <f>PROPER(TRIM(SUBSTITUTE(U163,"  "," ")))</f>
        <v>Udaipur</v>
      </c>
      <c r="W163" s="3" t="s">
        <v>45</v>
      </c>
      <c r="X163" s="6" t="str">
        <f>PROPER(TRIM(SUBSTITUTE(W163,"  "," ")))</f>
        <v>Furniture</v>
      </c>
      <c r="Y163" s="3" t="s">
        <v>46</v>
      </c>
      <c r="Z163" s="6" t="str">
        <f>PROPER(TRIM(SUBSTITUTE(Y163,"  "," ")))</f>
        <v>Tables</v>
      </c>
      <c r="AA163" s="3" t="s">
        <v>1787</v>
      </c>
      <c r="AB163" s="3" t="s">
        <v>67</v>
      </c>
      <c r="AC163" s="6" t="str">
        <f>PROPER(TRIM(SUBSTITUTE(AB163,"  "," ")))</f>
        <v>Standard Class</v>
      </c>
      <c r="AD163" s="3">
        <v>5</v>
      </c>
      <c r="AE163" s="3">
        <v>3203.48</v>
      </c>
      <c r="AF163" s="3">
        <v>0</v>
      </c>
      <c r="AG163" s="17">
        <v>0</v>
      </c>
      <c r="AH163" s="6" t="str">
        <f t="shared" si="19"/>
        <v>Valid</v>
      </c>
      <c r="AI163" s="3">
        <v>16017.4</v>
      </c>
      <c r="AJ163" s="3">
        <v>9557.7999999999993</v>
      </c>
      <c r="AK163" s="3">
        <v>6459.6</v>
      </c>
      <c r="AL163" s="3" t="s">
        <v>137</v>
      </c>
      <c r="AM163" s="6" t="str">
        <f>PROPER(TRIM(SUBSTITUTE(AL163,".","")))</f>
        <v>Pending</v>
      </c>
      <c r="AN163" s="3" t="s">
        <v>78</v>
      </c>
      <c r="AO163" s="8" t="str">
        <f>PROPER(TRIM(SUBSTITUTE(AN163,".","")))</f>
        <v>Cancelled</v>
      </c>
      <c r="AP163" t="str">
        <f>IF(COUNTIF($A$2:$A$933, A163) &gt; 1, "Duplicate ID", "Unique")</f>
        <v>Unique</v>
      </c>
      <c r="AR163">
        <f t="shared" si="20"/>
        <v>16017.4</v>
      </c>
      <c r="AS163">
        <f t="shared" si="21"/>
        <v>6459.6</v>
      </c>
      <c r="AT163" s="15">
        <f t="shared" si="22"/>
        <v>0.40328642601171227</v>
      </c>
      <c r="AU163" t="str">
        <f t="shared" si="23"/>
        <v>Invalid</v>
      </c>
      <c r="AV163" s="8" t="str">
        <f t="shared" si="24"/>
        <v>Cancelled</v>
      </c>
    </row>
    <row r="164" spans="1:48">
      <c r="A164" s="3" t="s">
        <v>2016</v>
      </c>
      <c r="B164" s="3" t="s">
        <v>2017</v>
      </c>
      <c r="C164" s="9">
        <f>IFERROR(DATEVALUE(TEXT(B164,"DD/MM/YYYY")), IF(ISNUMBER(B164), B164, ""))</f>
        <v>45424</v>
      </c>
      <c r="D164" s="9" t="str">
        <f>IF(B164="","Missing", IF(AND(ISNUMBER(B164)=FALSE, C164=""),"Invalid - Could Not Parse", IF(AND(ISNUMBER(B164)=FALSE, C164&lt;&gt;""),"Text - Converted to Date", IF(ISNUMBER(B164),"Valid","Check"))))</f>
        <v>Text - Converted to Date</v>
      </c>
      <c r="E164" s="5">
        <f t="shared" si="17"/>
        <v>5</v>
      </c>
      <c r="F164" s="5">
        <f t="shared" si="18"/>
        <v>2024</v>
      </c>
      <c r="G164" s="3" t="s">
        <v>2018</v>
      </c>
      <c r="H164" s="9">
        <f>IFERROR(DATEVALUE(TEXT(G164,"DD/MM/YYYY")), IF(ISNUMBER(G164), G164, ""))</f>
        <v>45425</v>
      </c>
      <c r="I164" s="9" t="str">
        <f>IF(G164="","Missing", IF(AND(ISNUMBER(G164)=FALSE, H164=""),"Invalid - Could Not Parse", IF(AND(ISNUMBER(G164)=FALSE, H164&lt;&gt;""),"Text - Converted to Date", IF(ISNUMBER(G164),"Valid","Check"))))</f>
        <v>Text - Converted to Date</v>
      </c>
      <c r="J164" s="9" t="str">
        <f>IF(OR(C164="", H164=""), "Cannot Check - Date Missing", IF(H164&lt;C164, "Invalid - Ship Before Order", "Valid"))</f>
        <v>Valid</v>
      </c>
      <c r="K164" s="5">
        <f>IF(OR(C164="", H164=""), "", IF(H164&lt;C164, "", H164-C164))</f>
        <v>1</v>
      </c>
      <c r="L164" s="3" t="s">
        <v>2019</v>
      </c>
      <c r="M164" s="3" t="s">
        <v>148</v>
      </c>
      <c r="N164" s="4" t="str">
        <f>TRIM(SUBSTITUTE(M164,"_"," "))</f>
        <v>Rahul Verma</v>
      </c>
      <c r="O164" s="3" t="s">
        <v>108</v>
      </c>
      <c r="P164" s="6" t="str">
        <f>PROPER(TRIM(SUBSTITUTE(O164,".","")))</f>
        <v>Corporate</v>
      </c>
      <c r="Q164" s="3" t="s">
        <v>73</v>
      </c>
      <c r="R164" s="7" t="str">
        <f>PROPER(TRIM(SUBSTITUTE(Q164,"  "," ")))</f>
        <v>West</v>
      </c>
      <c r="S164" s="3" t="s">
        <v>249</v>
      </c>
      <c r="T164" s="6" t="str">
        <f>PROPER(TRIM(SUBSTITUTE(S164,"  "," ")))</f>
        <v>Goa</v>
      </c>
      <c r="U164" s="3" t="s">
        <v>250</v>
      </c>
      <c r="V164" s="6" t="str">
        <f>PROPER(TRIM(SUBSTITUTE(U164,"  "," ")))</f>
        <v>Panaji</v>
      </c>
      <c r="W164" s="3" t="s">
        <v>30</v>
      </c>
      <c r="X164" s="6" t="str">
        <f>PROPER(TRIM(SUBSTITUTE(W164,"  "," ")))</f>
        <v>Office Supplies</v>
      </c>
      <c r="Y164" s="3" t="s">
        <v>109</v>
      </c>
      <c r="Z164" s="6" t="str">
        <f>PROPER(TRIM(SUBSTITUTE(Y164,"  "," ")))</f>
        <v>Labels</v>
      </c>
      <c r="AA164" s="3" t="s">
        <v>2020</v>
      </c>
      <c r="AB164" s="3" t="s">
        <v>33</v>
      </c>
      <c r="AC164" s="6" t="str">
        <f>PROPER(TRIM(SUBSTITUTE(AB164,"  "," ")))</f>
        <v>Second Class</v>
      </c>
      <c r="AD164" s="3">
        <v>3</v>
      </c>
      <c r="AE164" s="3">
        <v>2644.55</v>
      </c>
      <c r="AF164" s="3">
        <v>0</v>
      </c>
      <c r="AG164" s="17">
        <v>0</v>
      </c>
      <c r="AH164" s="6" t="str">
        <f t="shared" si="19"/>
        <v>Valid</v>
      </c>
      <c r="AI164" s="3">
        <v>7933.65</v>
      </c>
      <c r="AJ164" s="3">
        <v>5698.42</v>
      </c>
      <c r="AK164" s="3">
        <v>2235.23</v>
      </c>
      <c r="AL164" s="3" t="s">
        <v>34</v>
      </c>
      <c r="AM164" s="6" t="str">
        <f>PROPER(TRIM(SUBSTITUTE(AL164,".","")))</f>
        <v>Paid</v>
      </c>
      <c r="AN164" s="3" t="s">
        <v>35</v>
      </c>
      <c r="AO164" s="8" t="str">
        <f>PROPER(TRIM(SUBSTITUTE(AN164,".","")))</f>
        <v>Completed</v>
      </c>
      <c r="AP164" t="str">
        <f>IF(COUNTIF($A$2:$A$933, A164) &gt; 1, "Duplicate ID", "Unique")</f>
        <v>Unique</v>
      </c>
      <c r="AR164">
        <f t="shared" si="20"/>
        <v>7933.6500000000005</v>
      </c>
      <c r="AS164">
        <f t="shared" si="21"/>
        <v>2235.2300000000005</v>
      </c>
      <c r="AT164" s="15">
        <f t="shared" si="22"/>
        <v>0.2817404347305465</v>
      </c>
      <c r="AU164" t="str">
        <f t="shared" si="23"/>
        <v>Clean</v>
      </c>
      <c r="AV164" s="8" t="str">
        <f t="shared" si="24"/>
        <v>Active</v>
      </c>
    </row>
    <row r="165" spans="1:48">
      <c r="A165" s="3" t="s">
        <v>1926</v>
      </c>
      <c r="B165" s="3" t="s">
        <v>1927</v>
      </c>
      <c r="C165" s="9">
        <f>IFERROR(DATEVALUE(TEXT(B165,"DD/MM/YYYY")), IF(ISNUMBER(B165), B165, ""))</f>
        <v>45425</v>
      </c>
      <c r="D165" s="9" t="str">
        <f>IF(B165="","Missing", IF(AND(ISNUMBER(B165)=FALSE, C165=""),"Invalid - Could Not Parse", IF(AND(ISNUMBER(B165)=FALSE, C165&lt;&gt;""),"Text - Converted to Date", IF(ISNUMBER(B165),"Valid","Check"))))</f>
        <v>Text - Converted to Date</v>
      </c>
      <c r="E165" s="5">
        <f t="shared" si="17"/>
        <v>5</v>
      </c>
      <c r="F165" s="5">
        <f t="shared" si="18"/>
        <v>2024</v>
      </c>
      <c r="G165" s="3" t="s">
        <v>1928</v>
      </c>
      <c r="H165" s="9">
        <f>IFERROR(DATEVALUE(TEXT(G165,"DD/MM/YYYY")), IF(ISNUMBER(G165), G165, ""))</f>
        <v>45430</v>
      </c>
      <c r="I165" s="9" t="str">
        <f>IF(G165="","Missing", IF(AND(ISNUMBER(G165)=FALSE, H165=""),"Invalid - Could Not Parse", IF(AND(ISNUMBER(G165)=FALSE, H165&lt;&gt;""),"Text - Converted to Date", IF(ISNUMBER(G165),"Valid","Check"))))</f>
        <v>Text - Converted to Date</v>
      </c>
      <c r="J165" s="9" t="str">
        <f>IF(OR(C165="", H165=""), "Cannot Check - Date Missing", IF(H165&lt;C165, "Invalid - Ship Before Order", "Valid"))</f>
        <v>Valid</v>
      </c>
      <c r="K165" s="5">
        <f>IF(OR(C165="", H165=""), "", IF(H165&lt;C165, "", H165-C165))</f>
        <v>5</v>
      </c>
      <c r="L165" s="3" t="s">
        <v>1929</v>
      </c>
      <c r="M165" s="3" t="s">
        <v>53</v>
      </c>
      <c r="N165" s="4" t="str">
        <f>TRIM(SUBSTITUTE(M165,"_"," "))</f>
        <v>Isha Nair</v>
      </c>
      <c r="O165" s="3" t="s">
        <v>41</v>
      </c>
      <c r="P165" s="6" t="str">
        <f>PROPER(TRIM(SUBSTITUTE(O165,".","")))</f>
        <v>Small Business</v>
      </c>
      <c r="Q165" s="3" t="s">
        <v>73</v>
      </c>
      <c r="R165" s="7" t="str">
        <f>PROPER(TRIM(SUBSTITUTE(Q165,"  "," ")))</f>
        <v>West</v>
      </c>
      <c r="S165" s="3" t="s">
        <v>235</v>
      </c>
      <c r="T165" s="6" t="str">
        <f>PROPER(TRIM(SUBSTITUTE(S165,"  "," ")))</f>
        <v>Gujarat</v>
      </c>
      <c r="U165" s="3" t="s">
        <v>236</v>
      </c>
      <c r="V165" s="6" t="str">
        <f>PROPER(TRIM(SUBSTITUTE(U165,"  "," ")))</f>
        <v>Ahmedabad</v>
      </c>
      <c r="W165" s="3" t="s">
        <v>45</v>
      </c>
      <c r="X165" s="6" t="str">
        <f>PROPER(TRIM(SUBSTITUTE(W165,"  "," ")))</f>
        <v>Furniture</v>
      </c>
      <c r="Y165" s="3" t="s">
        <v>76</v>
      </c>
      <c r="Z165" s="6" t="str">
        <f>PROPER(TRIM(SUBSTITUTE(Y165,"  "," ")))</f>
        <v>Chairs</v>
      </c>
      <c r="AA165" s="3" t="s">
        <v>1930</v>
      </c>
      <c r="AB165" s="3" t="s">
        <v>67</v>
      </c>
      <c r="AC165" s="6" t="str">
        <f>PROPER(TRIM(SUBSTITUTE(AB165,"  "," ")))</f>
        <v>Standard Class</v>
      </c>
      <c r="AD165" s="3">
        <v>3</v>
      </c>
      <c r="AE165" s="3">
        <v>3128.59</v>
      </c>
      <c r="AF165" s="3">
        <v>0</v>
      </c>
      <c r="AG165" s="17">
        <v>0</v>
      </c>
      <c r="AH165" s="6" t="str">
        <f t="shared" si="19"/>
        <v>Valid</v>
      </c>
      <c r="AI165" s="3">
        <v>9385.77</v>
      </c>
      <c r="AJ165" s="3">
        <v>6872.44</v>
      </c>
      <c r="AK165" s="3">
        <v>2783.66</v>
      </c>
      <c r="AL165" s="3" t="s">
        <v>34</v>
      </c>
      <c r="AM165" s="6" t="str">
        <f>PROPER(TRIM(SUBSTITUTE(AL165,".","")))</f>
        <v>Paid</v>
      </c>
      <c r="AN165" s="3" t="s">
        <v>35</v>
      </c>
      <c r="AO165" s="8" t="str">
        <f>PROPER(TRIM(SUBSTITUTE(AN165,".","")))</f>
        <v>Completed</v>
      </c>
      <c r="AP165" t="str">
        <f>IF(COUNTIF($A$2:$A$933, A165) &gt; 1, "Duplicate ID", "Unique")</f>
        <v>Unique</v>
      </c>
      <c r="AR165">
        <f t="shared" si="20"/>
        <v>9385.77</v>
      </c>
      <c r="AS165">
        <f t="shared" si="21"/>
        <v>2513.3300000000008</v>
      </c>
      <c r="AT165" s="15">
        <f t="shared" si="22"/>
        <v>0.26778090662779941</v>
      </c>
      <c r="AU165" t="str">
        <f t="shared" si="23"/>
        <v>Clean</v>
      </c>
      <c r="AV165" s="8" t="str">
        <f t="shared" si="24"/>
        <v>Active</v>
      </c>
    </row>
    <row r="166" spans="1:48">
      <c r="A166" s="3" t="s">
        <v>1138</v>
      </c>
      <c r="B166" s="3" t="s">
        <v>1139</v>
      </c>
      <c r="C166" s="9">
        <f>IFERROR(DATEVALUE(TEXT(B166,"DD/MM/YYYY")), IF(ISNUMBER(B166), B166, ""))</f>
        <v>45427</v>
      </c>
      <c r="D166" s="9" t="str">
        <f>IF(B166="","Missing", IF(AND(ISNUMBER(B166)=FALSE, C166=""),"Invalid - Could Not Parse", IF(AND(ISNUMBER(B166)=FALSE, C166&lt;&gt;""),"Text - Converted to Date", IF(ISNUMBER(B166),"Valid","Check"))))</f>
        <v>Text - Converted to Date</v>
      </c>
      <c r="E166" s="5">
        <f t="shared" si="17"/>
        <v>5</v>
      </c>
      <c r="F166" s="5">
        <f t="shared" si="18"/>
        <v>2024</v>
      </c>
      <c r="G166" s="3" t="s">
        <v>1140</v>
      </c>
      <c r="H166" s="9">
        <f>IFERROR(DATEVALUE(TEXT(G166,"DD/MM/YYYY")), IF(ISNUMBER(G166), G166, ""))</f>
        <v>45433</v>
      </c>
      <c r="I166" s="9" t="str">
        <f>IF(G166="","Missing", IF(AND(ISNUMBER(G166)=FALSE, H166=""),"Invalid - Could Not Parse", IF(AND(ISNUMBER(G166)=FALSE, H166&lt;&gt;""),"Text - Converted to Date", IF(ISNUMBER(G166),"Valid","Check"))))</f>
        <v>Text - Converted to Date</v>
      </c>
      <c r="J166" s="9" t="str">
        <f>IF(OR(C166="", H166=""), "Cannot Check - Date Missing", IF(H166&lt;C166, "Invalid - Ship Before Order", "Valid"))</f>
        <v>Valid</v>
      </c>
      <c r="K166" s="5">
        <f>IF(OR(C166="", H166=""), "", IF(H166&lt;C166, "", H166-C166))</f>
        <v>6</v>
      </c>
      <c r="L166" s="3" t="s">
        <v>1141</v>
      </c>
      <c r="M166" s="3" t="s">
        <v>53</v>
      </c>
      <c r="N166" s="4" t="str">
        <f>TRIM(SUBSTITUTE(M166,"_"," "))</f>
        <v>Isha Nair</v>
      </c>
      <c r="O166" s="3" t="s">
        <v>41</v>
      </c>
      <c r="P166" s="6" t="str">
        <f>PROPER(TRIM(SUBSTITUTE(O166,".","")))</f>
        <v>Small Business</v>
      </c>
      <c r="Q166" s="3" t="s">
        <v>42</v>
      </c>
      <c r="R166" s="7" t="str">
        <f>PROPER(TRIM(SUBSTITUTE(Q166,"  "," ")))</f>
        <v>East</v>
      </c>
      <c r="S166" s="3" t="s">
        <v>186</v>
      </c>
      <c r="T166" s="6" t="str">
        <f>PROPER(TRIM(SUBSTITUTE(S166,"  "," ")))</f>
        <v>Bihar</v>
      </c>
      <c r="U166" s="3" t="s">
        <v>187</v>
      </c>
      <c r="V166" s="6" t="str">
        <f>PROPER(TRIM(SUBSTITUTE(U166,"  "," ")))</f>
        <v>Patna</v>
      </c>
      <c r="W166" s="3" t="s">
        <v>86</v>
      </c>
      <c r="X166" s="6" t="str">
        <f>PROPER(TRIM(SUBSTITUTE(W166,"  "," ")))</f>
        <v>Technology</v>
      </c>
      <c r="Y166" s="3" t="s">
        <v>87</v>
      </c>
      <c r="Z166" s="6" t="str">
        <f>PROPER(TRIM(SUBSTITUTE(Y166,"  "," ")))</f>
        <v>Accessories</v>
      </c>
      <c r="AA166" s="3" t="s">
        <v>1142</v>
      </c>
      <c r="AB166" s="3" t="s">
        <v>33</v>
      </c>
      <c r="AC166" s="6" t="str">
        <f>PROPER(TRIM(SUBSTITUTE(AB166,"  "," ")))</f>
        <v>Second Class</v>
      </c>
      <c r="AD166" s="3">
        <v>4</v>
      </c>
      <c r="AE166" s="3">
        <v>4332.7299999999996</v>
      </c>
      <c r="AF166" s="3">
        <v>0.2</v>
      </c>
      <c r="AG166" s="17">
        <v>0.2</v>
      </c>
      <c r="AH166" s="6" t="str">
        <f t="shared" si="19"/>
        <v>Valid</v>
      </c>
      <c r="AI166" s="3">
        <v>13864.74</v>
      </c>
      <c r="AJ166" s="3">
        <v>11294.06</v>
      </c>
      <c r="AK166" s="3">
        <v>2570.6799999999998</v>
      </c>
      <c r="AL166" s="3" t="s">
        <v>34</v>
      </c>
      <c r="AM166" s="6" t="str">
        <f>PROPER(TRIM(SUBSTITUTE(AL166,".","")))</f>
        <v>Paid</v>
      </c>
      <c r="AN166" s="3" t="s">
        <v>35</v>
      </c>
      <c r="AO166" s="8" t="str">
        <f>PROPER(TRIM(SUBSTITUTE(AN166,".","")))</f>
        <v>Completed</v>
      </c>
      <c r="AP166" t="str">
        <f>IF(COUNTIF($A$2:$A$933, A166) &gt; 1, "Duplicate ID", "Unique")</f>
        <v>Unique</v>
      </c>
      <c r="AR166">
        <f t="shared" si="20"/>
        <v>13864.735999999999</v>
      </c>
      <c r="AS166">
        <f t="shared" si="21"/>
        <v>2570.6759999999995</v>
      </c>
      <c r="AT166" s="15">
        <f t="shared" si="22"/>
        <v>0.18541110339208763</v>
      </c>
      <c r="AU166" t="str">
        <f t="shared" si="23"/>
        <v>Clean</v>
      </c>
      <c r="AV166" s="8" t="str">
        <f t="shared" si="24"/>
        <v>Active</v>
      </c>
    </row>
    <row r="167" spans="1:48">
      <c r="A167" s="3" t="s">
        <v>4051</v>
      </c>
      <c r="B167" s="3" t="s">
        <v>160</v>
      </c>
      <c r="C167" s="9">
        <f>IFERROR(DATEVALUE(TEXT(B167,"DD/MM/YYYY")), IF(ISNUMBER(B167), B167, ""))</f>
        <v>45427</v>
      </c>
      <c r="D167" s="9" t="str">
        <f>IF(B167="","Missing", IF(AND(ISNUMBER(B167)=FALSE, C167=""),"Invalid - Could Not Parse", IF(AND(ISNUMBER(B167)=FALSE, C167&lt;&gt;""),"Text - Converted to Date", IF(ISNUMBER(B167),"Valid","Check"))))</f>
        <v>Text - Converted to Date</v>
      </c>
      <c r="E167" s="5">
        <f t="shared" si="17"/>
        <v>5</v>
      </c>
      <c r="F167" s="5">
        <f t="shared" si="18"/>
        <v>2024</v>
      </c>
      <c r="G167" s="3" t="s">
        <v>1140</v>
      </c>
      <c r="H167" s="9">
        <f>IFERROR(DATEVALUE(TEXT(G167,"DD/MM/YYYY")), IF(ISNUMBER(G167), G167, ""))</f>
        <v>45433</v>
      </c>
      <c r="I167" s="9" t="str">
        <f>IF(G167="","Missing", IF(AND(ISNUMBER(G167)=FALSE, H167=""),"Invalid - Could Not Parse", IF(AND(ISNUMBER(G167)=FALSE, H167&lt;&gt;""),"Text - Converted to Date", IF(ISNUMBER(G167),"Valid","Check"))))</f>
        <v>Text - Converted to Date</v>
      </c>
      <c r="J167" s="9" t="str">
        <f>IF(OR(C167="", H167=""), "Cannot Check - Date Missing", IF(H167&lt;C167, "Invalid - Ship Before Order", "Valid"))</f>
        <v>Valid</v>
      </c>
      <c r="K167" s="5">
        <f>IF(OR(C167="", H167=""), "", IF(H167&lt;C167, "", H167-C167))</f>
        <v>6</v>
      </c>
      <c r="L167" s="3" t="s">
        <v>4052</v>
      </c>
      <c r="M167" s="3" t="s">
        <v>25</v>
      </c>
      <c r="N167" s="4" t="str">
        <f>TRIM(SUBSTITUTE(M167,"_"," "))</f>
        <v>Karan Malhotra</v>
      </c>
      <c r="O167" s="3" t="s">
        <v>26</v>
      </c>
      <c r="P167" s="6" t="str">
        <f>PROPER(TRIM(SUBSTITUTE(O167,".","")))</f>
        <v>Consumer</v>
      </c>
      <c r="Q167" s="3" t="s">
        <v>73</v>
      </c>
      <c r="R167" s="7" t="str">
        <f>PROPER(TRIM(SUBSTITUTE(Q167,"  "," ")))</f>
        <v>West</v>
      </c>
      <c r="S167" s="3" t="s">
        <v>249</v>
      </c>
      <c r="T167" s="6" t="str">
        <f>PROPER(TRIM(SUBSTITUTE(S167,"  "," ")))</f>
        <v>Goa</v>
      </c>
      <c r="U167" s="3" t="s">
        <v>250</v>
      </c>
      <c r="V167" s="6" t="str">
        <f>PROPER(TRIM(SUBSTITUTE(U167,"  "," ")))</f>
        <v>Panaji</v>
      </c>
      <c r="W167" s="3" t="s">
        <v>30</v>
      </c>
      <c r="X167" s="6" t="str">
        <f>PROPER(TRIM(SUBSTITUTE(W167,"  "," ")))</f>
        <v>Office Supplies</v>
      </c>
      <c r="Y167" s="3" t="s">
        <v>156</v>
      </c>
      <c r="Z167" s="6" t="str">
        <f>PROPER(TRIM(SUBSTITUTE(Y167,"  "," ")))</f>
        <v>Storage</v>
      </c>
      <c r="AA167" s="3" t="s">
        <v>4053</v>
      </c>
      <c r="AB167" s="3" t="s">
        <v>67</v>
      </c>
      <c r="AC167" s="6" t="str">
        <f>PROPER(TRIM(SUBSTITUTE(AB167,"  "," ")))</f>
        <v>Standard Class</v>
      </c>
      <c r="AD167" s="3">
        <v>6</v>
      </c>
      <c r="AE167" s="3">
        <v>2909.56</v>
      </c>
      <c r="AF167" s="3">
        <v>0.2</v>
      </c>
      <c r="AG167" s="17">
        <v>0.2</v>
      </c>
      <c r="AH167" s="6" t="str">
        <f t="shared" si="19"/>
        <v>Valid</v>
      </c>
      <c r="AI167" s="3">
        <v>13965.89</v>
      </c>
      <c r="AJ167" s="3">
        <v>11646.12</v>
      </c>
      <c r="AK167" s="3">
        <v>2319.77</v>
      </c>
      <c r="AL167" s="3" t="s">
        <v>34</v>
      </c>
      <c r="AM167" s="6" t="str">
        <f>PROPER(TRIM(SUBSTITUTE(AL167,".","")))</f>
        <v>Paid</v>
      </c>
      <c r="AN167" s="3" t="s">
        <v>35</v>
      </c>
      <c r="AO167" s="8" t="str">
        <f>PROPER(TRIM(SUBSTITUTE(AN167,".","")))</f>
        <v>Completed</v>
      </c>
      <c r="AP167" t="str">
        <f>IF(COUNTIF($A$2:$A$933, A167) &gt; 1, "Duplicate ID", "Unique")</f>
        <v>Unique</v>
      </c>
      <c r="AR167">
        <f t="shared" si="20"/>
        <v>13965.888000000001</v>
      </c>
      <c r="AS167">
        <f t="shared" si="21"/>
        <v>2319.768</v>
      </c>
      <c r="AT167" s="15">
        <f t="shared" si="22"/>
        <v>0.16610243473239938</v>
      </c>
      <c r="AU167" t="str">
        <f t="shared" si="23"/>
        <v>Clean</v>
      </c>
      <c r="AV167" s="8" t="str">
        <f t="shared" si="24"/>
        <v>Active</v>
      </c>
    </row>
    <row r="168" spans="1:48">
      <c r="A168" s="3" t="s">
        <v>1374</v>
      </c>
      <c r="B168" s="3" t="s">
        <v>1375</v>
      </c>
      <c r="C168" s="9">
        <f>IFERROR(DATEVALUE(TEXT(B168,"DD/MM/YYYY")), IF(ISNUMBER(B168), B168, ""))</f>
        <v>45428</v>
      </c>
      <c r="D168" s="9" t="str">
        <f>IF(B168="","Missing", IF(AND(ISNUMBER(B168)=FALSE, C168=""),"Invalid - Could Not Parse", IF(AND(ISNUMBER(B168)=FALSE, C168&lt;&gt;""),"Text - Converted to Date", IF(ISNUMBER(B168),"Valid","Check"))))</f>
        <v>Text - Converted to Date</v>
      </c>
      <c r="E168" s="5">
        <f t="shared" si="17"/>
        <v>5</v>
      </c>
      <c r="F168" s="5">
        <f t="shared" si="18"/>
        <v>2024</v>
      </c>
      <c r="G168" s="3" t="s">
        <v>1376</v>
      </c>
      <c r="H168" s="9">
        <f>IFERROR(DATEVALUE(MID(G168,4,2) &amp; "/" &amp; LEFT(G168,2) &amp; "/" &amp; RIGHT(G168,4)), IF(ISNUMBER(G168), G168, IFERROR(DATEVALUE(G168), "")))</f>
        <v>45433</v>
      </c>
      <c r="I168" s="9" t="str">
        <f>IF(G168="","Missing", IF(AND(ISNUMBER(G168)=FALSE, H168=""),"Invalid - Could Not Parse", IF(AND(ISNUMBER(G168)=FALSE, H168&lt;&gt;""),"Text - Converted to Date", IF(ISNUMBER(G168),"Valid","Check"))))</f>
        <v>Text - Converted to Date</v>
      </c>
      <c r="J168" s="9" t="str">
        <f>IF(OR(C168="", H168=""), "Cannot Check - Date Missing", IF(H168&lt;C168, "Invalid - Ship Before Order", "Valid"))</f>
        <v>Valid</v>
      </c>
      <c r="K168" s="5">
        <f>IF(OR(C168="", H168=""), "", IF(H168&lt;C168, "", H168-C168))</f>
        <v>5</v>
      </c>
      <c r="L168" s="3" t="s">
        <v>1377</v>
      </c>
      <c r="M168" s="3" t="s">
        <v>210</v>
      </c>
      <c r="N168" s="4" t="str">
        <f>TRIM(SUBSTITUTE(M168,"_"," "))</f>
        <v>Diya Patel</v>
      </c>
      <c r="O168" s="3" t="s">
        <v>41</v>
      </c>
      <c r="P168" s="6" t="str">
        <f>PROPER(TRIM(SUBSTITUTE(O168,".","")))</f>
        <v>Small Business</v>
      </c>
      <c r="Q168" s="3" t="s">
        <v>42</v>
      </c>
      <c r="R168" s="7" t="str">
        <f>PROPER(TRIM(SUBSTITUTE(Q168,"  "," ")))</f>
        <v>East</v>
      </c>
      <c r="S168" s="3" t="s">
        <v>186</v>
      </c>
      <c r="T168" s="6" t="str">
        <f>PROPER(TRIM(SUBSTITUTE(S168,"  "," ")))</f>
        <v>Bihar</v>
      </c>
      <c r="U168" s="3" t="s">
        <v>187</v>
      </c>
      <c r="V168" s="6" t="str">
        <f>PROPER(TRIM(SUBSTITUTE(U168,"  "," ")))</f>
        <v>Patna</v>
      </c>
      <c r="W168" s="3" t="s">
        <v>86</v>
      </c>
      <c r="X168" s="6" t="str">
        <f>PROPER(TRIM(SUBSTITUTE(W168,"  "," ")))</f>
        <v>Technology</v>
      </c>
      <c r="Y168" s="3" t="s">
        <v>94</v>
      </c>
      <c r="Z168" s="6" t="str">
        <f>PROPER(TRIM(SUBSTITUTE(Y168,"  "," ")))</f>
        <v>Copiers</v>
      </c>
      <c r="AA168" s="3" t="s">
        <v>1378</v>
      </c>
      <c r="AB168" s="3" t="s">
        <v>67</v>
      </c>
      <c r="AC168" s="6" t="str">
        <f>PROPER(TRIM(SUBSTITUTE(AB168,"  "," ")))</f>
        <v>Standard Class</v>
      </c>
      <c r="AD168" s="3">
        <v>4</v>
      </c>
      <c r="AE168" s="3">
        <v>1503.07</v>
      </c>
      <c r="AF168" s="3">
        <v>0</v>
      </c>
      <c r="AG168" s="17">
        <v>0</v>
      </c>
      <c r="AH168" s="6" t="str">
        <f t="shared" si="19"/>
        <v>Valid</v>
      </c>
      <c r="AI168" s="3">
        <v>6012.28</v>
      </c>
      <c r="AJ168" s="3">
        <v>3927.64</v>
      </c>
      <c r="AK168" s="3">
        <v>2084.64</v>
      </c>
      <c r="AL168" s="3" t="s">
        <v>34</v>
      </c>
      <c r="AM168" s="6" t="str">
        <f>PROPER(TRIM(SUBSTITUTE(AL168,".","")))</f>
        <v>Paid</v>
      </c>
      <c r="AN168" s="3" t="s">
        <v>35</v>
      </c>
      <c r="AO168" s="8" t="str">
        <f>PROPER(TRIM(SUBSTITUTE(AN168,".","")))</f>
        <v>Completed</v>
      </c>
      <c r="AP168" t="str">
        <f>IF(COUNTIF($A$2:$A$933, A168) &gt; 1, "Duplicate ID", "Unique")</f>
        <v>Unique</v>
      </c>
      <c r="AR168">
        <f t="shared" si="20"/>
        <v>6012.28</v>
      </c>
      <c r="AS168">
        <f t="shared" si="21"/>
        <v>2084.64</v>
      </c>
      <c r="AT168" s="15">
        <f t="shared" si="22"/>
        <v>0.34673035853286938</v>
      </c>
      <c r="AU168" t="str">
        <f t="shared" si="23"/>
        <v>Clean</v>
      </c>
      <c r="AV168" s="8" t="str">
        <f t="shared" si="24"/>
        <v>Active</v>
      </c>
    </row>
    <row r="169" spans="1:48">
      <c r="A169" s="3" t="s">
        <v>2640</v>
      </c>
      <c r="B169" s="3" t="s">
        <v>2641</v>
      </c>
      <c r="C169" s="9">
        <f>IFERROR(DATEVALUE(TEXT(B169,"DD/MM/YYYY")), IF(ISNUMBER(B169), B169, ""))</f>
        <v>45428</v>
      </c>
      <c r="D169" s="9" t="str">
        <f>IF(B169="","Missing", IF(AND(ISNUMBER(B169)=FALSE, C169=""),"Invalid - Could Not Parse", IF(AND(ISNUMBER(B169)=FALSE, C169&lt;&gt;""),"Text - Converted to Date", IF(ISNUMBER(B169),"Valid","Check"))))</f>
        <v>Text - Converted to Date</v>
      </c>
      <c r="E169" s="5">
        <f t="shared" si="17"/>
        <v>5</v>
      </c>
      <c r="F169" s="5">
        <f t="shared" si="18"/>
        <v>2024</v>
      </c>
      <c r="G169" s="3" t="s">
        <v>2642</v>
      </c>
      <c r="H169" s="9">
        <f>IFERROR(DATEVALUE(TEXT(G169,"DD/MM/YYYY")), IF(ISNUMBER(G169), G169, ""))</f>
        <v>45435</v>
      </c>
      <c r="I169" s="9" t="str">
        <f>IF(G169="","Missing", IF(AND(ISNUMBER(G169)=FALSE, H169=""),"Invalid - Could Not Parse", IF(AND(ISNUMBER(G169)=FALSE, H169&lt;&gt;""),"Text - Converted to Date", IF(ISNUMBER(G169),"Valid","Check"))))</f>
        <v>Text - Converted to Date</v>
      </c>
      <c r="J169" s="9" t="str">
        <f>IF(OR(C169="", H169=""), "Cannot Check - Date Missing", IF(H169&lt;C169, "Invalid - Ship Before Order", "Valid"))</f>
        <v>Valid</v>
      </c>
      <c r="K169" s="5">
        <f>IF(OR(C169="", H169=""), "", IF(H169&lt;C169, "", H169-C169))</f>
        <v>7</v>
      </c>
      <c r="L169" s="3" t="s">
        <v>2643</v>
      </c>
      <c r="M169" s="3" t="s">
        <v>93</v>
      </c>
      <c r="N169" s="4" t="str">
        <f>TRIM(SUBSTITUTE(M169,"_"," "))</f>
        <v>Neha Gupta</v>
      </c>
      <c r="O169" s="3" t="s">
        <v>41</v>
      </c>
      <c r="P169" s="6" t="str">
        <f>PROPER(TRIM(SUBSTITUTE(O169,".","")))</f>
        <v>Small Business</v>
      </c>
      <c r="Q169" s="3" t="s">
        <v>27</v>
      </c>
      <c r="R169" s="7" t="str">
        <f>PROPER(TRIM(SUBSTITUTE(Q169,"  "," ")))</f>
        <v>North</v>
      </c>
      <c r="S169" s="3" t="s">
        <v>174</v>
      </c>
      <c r="T169" s="6" t="str">
        <f>PROPER(TRIM(SUBSTITUTE(S169,"  "," ")))</f>
        <v>Uttar Pradesh</v>
      </c>
      <c r="U169" s="3" t="s">
        <v>175</v>
      </c>
      <c r="V169" s="6" t="str">
        <f>PROPER(TRIM(SUBSTITUTE(U169,"  "," ")))</f>
        <v>Noida</v>
      </c>
      <c r="W169" s="3" t="s">
        <v>86</v>
      </c>
      <c r="X169" s="6" t="str">
        <f>PROPER(TRIM(SUBSTITUTE(W169,"  "," ")))</f>
        <v>Technology</v>
      </c>
      <c r="Y169" s="3" t="s">
        <v>94</v>
      </c>
      <c r="Z169" s="6" t="str">
        <f>PROPER(TRIM(SUBSTITUTE(Y169,"  "," ")))</f>
        <v>Copiers</v>
      </c>
      <c r="AA169" s="3" t="s">
        <v>2644</v>
      </c>
      <c r="AB169" s="3" t="s">
        <v>67</v>
      </c>
      <c r="AC169" s="6" t="str">
        <f>PROPER(TRIM(SUBSTITUTE(AB169,"  "," ")))</f>
        <v>Standard Class</v>
      </c>
      <c r="AD169" s="3">
        <v>9</v>
      </c>
      <c r="AE169" s="3">
        <v>3722.09</v>
      </c>
      <c r="AF169" s="3">
        <v>0.1</v>
      </c>
      <c r="AG169" s="17">
        <v>0.1</v>
      </c>
      <c r="AH169" s="6" t="str">
        <f t="shared" si="19"/>
        <v>Valid</v>
      </c>
      <c r="AI169" s="3">
        <v>30148.93</v>
      </c>
      <c r="AJ169" s="3">
        <v>25155.07</v>
      </c>
      <c r="AK169" s="3">
        <v>4993.8599999999997</v>
      </c>
      <c r="AL169" s="3" t="s">
        <v>34</v>
      </c>
      <c r="AM169" s="6" t="str">
        <f>PROPER(TRIM(SUBSTITUTE(AL169,".","")))</f>
        <v>Paid</v>
      </c>
      <c r="AN169" s="3" t="s">
        <v>35</v>
      </c>
      <c r="AO169" s="8" t="str">
        <f>PROPER(TRIM(SUBSTITUTE(AN169,".","")))</f>
        <v>Completed</v>
      </c>
      <c r="AP169" t="str">
        <f>IF(COUNTIF($A$2:$A$933, A169) &gt; 1, "Duplicate ID", "Unique")</f>
        <v>Unique</v>
      </c>
      <c r="AR169">
        <f t="shared" si="20"/>
        <v>30148.929</v>
      </c>
      <c r="AS169">
        <f t="shared" si="21"/>
        <v>4993.8590000000004</v>
      </c>
      <c r="AT169" s="15">
        <f t="shared" si="22"/>
        <v>0.16563968159532302</v>
      </c>
      <c r="AU169" t="str">
        <f t="shared" si="23"/>
        <v>Clean</v>
      </c>
      <c r="AV169" s="8" t="str">
        <f t="shared" si="24"/>
        <v>Active</v>
      </c>
    </row>
    <row r="170" spans="1:48">
      <c r="A170" s="3" t="s">
        <v>3117</v>
      </c>
      <c r="B170" s="3" t="s">
        <v>3118</v>
      </c>
      <c r="C170" s="9">
        <f>IFERROR(DATEVALUE(TEXT(B170,"DD/MM/YYYY")), IF(ISNUMBER(B170), B170, ""))</f>
        <v>45429</v>
      </c>
      <c r="D170" s="9" t="str">
        <f>IF(B170="","Missing", IF(AND(ISNUMBER(B170)=FALSE, C170=""),"Invalid - Could Not Parse", IF(AND(ISNUMBER(B170)=FALSE, C170&lt;&gt;""),"Text - Converted to Date", IF(ISNUMBER(B170),"Valid","Check"))))</f>
        <v>Text - Converted to Date</v>
      </c>
      <c r="E170" s="5">
        <f t="shared" si="17"/>
        <v>5</v>
      </c>
      <c r="F170" s="5">
        <f t="shared" si="18"/>
        <v>2024</v>
      </c>
      <c r="G170" s="3" t="s">
        <v>3119</v>
      </c>
      <c r="H170" s="9">
        <f>IFERROR(DATEVALUE(TEXT(G170,"DD/MM/YYYY")), IF(ISNUMBER(G170), G170, ""))</f>
        <v>45434</v>
      </c>
      <c r="I170" s="9" t="str">
        <f>IF(G170="","Missing", IF(AND(ISNUMBER(G170)=FALSE, H170=""),"Invalid - Could Not Parse", IF(AND(ISNUMBER(G170)=FALSE, H170&lt;&gt;""),"Text - Converted to Date", IF(ISNUMBER(G170),"Valid","Check"))))</f>
        <v>Text - Converted to Date</v>
      </c>
      <c r="J170" s="9" t="str">
        <f>IF(OR(C170="", H170=""), "Cannot Check - Date Missing", IF(H170&lt;C170, "Invalid - Ship Before Order", "Valid"))</f>
        <v>Valid</v>
      </c>
      <c r="K170" s="5">
        <f>IF(OR(C170="", H170=""), "", IF(H170&lt;C170, "", H170-C170))</f>
        <v>5</v>
      </c>
      <c r="L170" s="3" t="s">
        <v>3120</v>
      </c>
      <c r="M170" s="3" t="s">
        <v>168</v>
      </c>
      <c r="N170" s="4" t="str">
        <f>TRIM(SUBSTITUTE(M170,"_"," "))</f>
        <v>Sneha Kapoor</v>
      </c>
      <c r="O170" s="3" t="s">
        <v>26</v>
      </c>
      <c r="P170" s="6" t="str">
        <f>PROPER(TRIM(SUBSTITUTE(O170,".","")))</f>
        <v>Consumer</v>
      </c>
      <c r="Q170" s="3" t="s">
        <v>62</v>
      </c>
      <c r="R170" s="7" t="str">
        <f>PROPER(TRIM(SUBSTITUTE(Q170,"  "," ")))</f>
        <v>South</v>
      </c>
      <c r="S170" s="3" t="s">
        <v>100</v>
      </c>
      <c r="T170" s="6" t="str">
        <f>PROPER(TRIM(SUBSTITUTE(S170,"  "," ")))</f>
        <v>Andhra Pradesh</v>
      </c>
      <c r="U170" s="3" t="s">
        <v>101</v>
      </c>
      <c r="V170" s="6" t="str">
        <f>PROPER(TRIM(SUBSTITUTE(U170,"  "," ")))</f>
        <v>Vijayawada</v>
      </c>
      <c r="W170" s="3" t="s">
        <v>86</v>
      </c>
      <c r="X170" s="6" t="str">
        <f>PROPER(TRIM(SUBSTITUTE(W170,"  "," ")))</f>
        <v>Technology</v>
      </c>
      <c r="Y170" s="3" t="s">
        <v>382</v>
      </c>
      <c r="Z170" s="6" t="str">
        <f>PROPER(TRIM(SUBSTITUTE(Y170,"  "," ")))</f>
        <v>Machines</v>
      </c>
      <c r="AA170" s="3" t="s">
        <v>3121</v>
      </c>
      <c r="AB170" s="3" t="s">
        <v>33</v>
      </c>
      <c r="AC170" s="6" t="str">
        <f>PROPER(TRIM(SUBSTITUTE(AB170,"  "," ")))</f>
        <v>Second Class</v>
      </c>
      <c r="AD170" s="3">
        <v>7</v>
      </c>
      <c r="AE170" s="3">
        <v>232.5</v>
      </c>
      <c r="AF170" s="3">
        <v>0</v>
      </c>
      <c r="AG170" s="17">
        <v>0</v>
      </c>
      <c r="AH170" s="6" t="str">
        <f t="shared" si="19"/>
        <v>Valid</v>
      </c>
      <c r="AI170" s="3">
        <v>1627.5</v>
      </c>
      <c r="AJ170" s="3">
        <v>939.9</v>
      </c>
      <c r="AK170" s="3">
        <v>687.6</v>
      </c>
      <c r="AL170" s="3" t="s">
        <v>34</v>
      </c>
      <c r="AM170" s="6" t="str">
        <f>PROPER(TRIM(SUBSTITUTE(AL170,".","")))</f>
        <v>Paid</v>
      </c>
      <c r="AN170" s="3" t="s">
        <v>35</v>
      </c>
      <c r="AO170" s="8" t="str">
        <f>PROPER(TRIM(SUBSTITUTE(AN170,".","")))</f>
        <v>Completed</v>
      </c>
      <c r="AP170" t="str">
        <f>IF(COUNTIF($A$2:$A$933, A170) &gt; 1, "Duplicate ID", "Unique")</f>
        <v>Unique</v>
      </c>
      <c r="AR170">
        <f t="shared" si="20"/>
        <v>1627.5</v>
      </c>
      <c r="AS170">
        <f t="shared" si="21"/>
        <v>687.6</v>
      </c>
      <c r="AT170" s="15">
        <f t="shared" si="22"/>
        <v>0.4224884792626728</v>
      </c>
      <c r="AU170" t="str">
        <f t="shared" si="23"/>
        <v>Clean</v>
      </c>
      <c r="AV170" s="8" t="str">
        <f t="shared" si="24"/>
        <v>Active</v>
      </c>
    </row>
    <row r="171" spans="1:48">
      <c r="A171" s="3" t="s">
        <v>3175</v>
      </c>
      <c r="B171" s="3" t="s">
        <v>3176</v>
      </c>
      <c r="C171" s="9">
        <f>IFERROR(DATEVALUE(TEXT(B171,"DD/MM/YYYY")), IF(ISNUMBER(B171), B171, ""))</f>
        <v>45430</v>
      </c>
      <c r="D171" s="9" t="str">
        <f>IF(B171="","Missing", IF(AND(ISNUMBER(B171)=FALSE, C171=""),"Invalid - Could Not Parse", IF(AND(ISNUMBER(B171)=FALSE, C171&lt;&gt;""),"Text - Converted to Date", IF(ISNUMBER(B171),"Valid","Check"))))</f>
        <v>Text - Converted to Date</v>
      </c>
      <c r="E171" s="5">
        <f t="shared" si="17"/>
        <v>5</v>
      </c>
      <c r="F171" s="5">
        <f t="shared" si="18"/>
        <v>2024</v>
      </c>
      <c r="G171" s="3" t="s">
        <v>3177</v>
      </c>
      <c r="H171" s="9">
        <f>IFERROR(DATEVALUE(TEXT(G171,"DD/MM/YYYY")), IF(ISNUMBER(G171), G171, ""))</f>
        <v>45433</v>
      </c>
      <c r="I171" s="9" t="str">
        <f>IF(G171="","Missing", IF(AND(ISNUMBER(G171)=FALSE, H171=""),"Invalid - Could Not Parse", IF(AND(ISNUMBER(G171)=FALSE, H171&lt;&gt;""),"Text - Converted to Date", IF(ISNUMBER(G171),"Valid","Check"))))</f>
        <v>Text - Converted to Date</v>
      </c>
      <c r="J171" s="9" t="str">
        <f>IF(OR(C171="", H171=""), "Cannot Check - Date Missing", IF(H171&lt;C171, "Invalid - Ship Before Order", "Valid"))</f>
        <v>Valid</v>
      </c>
      <c r="K171" s="5">
        <f>IF(OR(C171="", H171=""), "", IF(H171&lt;C171, "", H171-C171))</f>
        <v>3</v>
      </c>
      <c r="L171" s="3" t="s">
        <v>3178</v>
      </c>
      <c r="M171" s="3" t="s">
        <v>83</v>
      </c>
      <c r="N171" s="4" t="str">
        <f>TRIM(SUBSTITUTE(M171,"_"," "))</f>
        <v>Vikram Iyer</v>
      </c>
      <c r="O171" s="3" t="s">
        <v>108</v>
      </c>
      <c r="P171" s="6" t="str">
        <f>PROPER(TRIM(SUBSTITUTE(O171,".","")))</f>
        <v>Corporate</v>
      </c>
      <c r="Q171" s="3" t="s">
        <v>42</v>
      </c>
      <c r="R171" s="7" t="str">
        <f>PROPER(TRIM(SUBSTITUTE(Q171,"  "," ")))</f>
        <v>East</v>
      </c>
      <c r="S171" s="3" t="s">
        <v>311</v>
      </c>
      <c r="T171" s="6" t="str">
        <f>PROPER(TRIM(SUBSTITUTE(S171,"  "," ")))</f>
        <v>Jharkhand</v>
      </c>
      <c r="U171" s="3" t="s">
        <v>312</v>
      </c>
      <c r="V171" s="6" t="str">
        <f>PROPER(TRIM(SUBSTITUTE(U171,"  "," ")))</f>
        <v>Ranchi</v>
      </c>
      <c r="W171" s="3" t="s">
        <v>86</v>
      </c>
      <c r="X171" s="6" t="str">
        <f>PROPER(TRIM(SUBSTITUTE(W171,"  "," ")))</f>
        <v>Technology</v>
      </c>
      <c r="Y171" s="3" t="s">
        <v>87</v>
      </c>
      <c r="Z171" s="6" t="str">
        <f>PROPER(TRIM(SUBSTITUTE(Y171,"  "," ")))</f>
        <v>Accessories</v>
      </c>
      <c r="AA171" s="3" t="s">
        <v>3179</v>
      </c>
      <c r="AB171" s="3" t="s">
        <v>33</v>
      </c>
      <c r="AC171" s="6" t="str">
        <f>PROPER(TRIM(SUBSTITUTE(AB171,"  "," ")))</f>
        <v>Second Class</v>
      </c>
      <c r="AD171" s="3">
        <v>1</v>
      </c>
      <c r="AE171" s="3">
        <v>1033.71</v>
      </c>
      <c r="AF171" s="3">
        <v>0</v>
      </c>
      <c r="AG171" s="17">
        <v>0</v>
      </c>
      <c r="AH171" s="6" t="str">
        <f t="shared" si="19"/>
        <v>Valid</v>
      </c>
      <c r="AI171" s="3">
        <v>1033.71</v>
      </c>
      <c r="AJ171" s="3">
        <v>630.82000000000005</v>
      </c>
      <c r="AK171" s="3">
        <v>402.89</v>
      </c>
      <c r="AL171" s="3" t="s">
        <v>137</v>
      </c>
      <c r="AM171" s="6" t="str">
        <f>PROPER(TRIM(SUBSTITUTE(AL171,".","")))</f>
        <v>Pending</v>
      </c>
      <c r="AN171" s="3" t="s">
        <v>125</v>
      </c>
      <c r="AO171" s="8" t="str">
        <f>PROPER(TRIM(SUBSTITUTE(AN171,".","")))</f>
        <v>Returned</v>
      </c>
      <c r="AP171" t="str">
        <f>IF(COUNTIF($A$2:$A$933, A171) &gt; 1, "Duplicate ID", "Unique")</f>
        <v>Unique</v>
      </c>
      <c r="AR171">
        <f t="shared" si="20"/>
        <v>1033.71</v>
      </c>
      <c r="AS171">
        <f t="shared" si="21"/>
        <v>402.89</v>
      </c>
      <c r="AT171" s="15">
        <f t="shared" si="22"/>
        <v>0.38975147768716562</v>
      </c>
      <c r="AU171" t="str">
        <f t="shared" si="23"/>
        <v>Clean</v>
      </c>
      <c r="AV171" s="8" t="str">
        <f t="shared" si="24"/>
        <v>Active</v>
      </c>
    </row>
    <row r="172" spans="1:48">
      <c r="A172" s="3" t="s">
        <v>2585</v>
      </c>
      <c r="B172" s="3" t="s">
        <v>2586</v>
      </c>
      <c r="C172" s="9">
        <f>IFERROR(DATEVALUE(TEXT(B172,"DD/MM/YYYY")), IF(ISNUMBER(B172), B172, ""))</f>
        <v>45431</v>
      </c>
      <c r="D172" s="9" t="str">
        <f>IF(B172="","Missing", IF(AND(ISNUMBER(B172)=FALSE, C172=""),"Invalid - Could Not Parse", IF(AND(ISNUMBER(B172)=FALSE, C172&lt;&gt;""),"Text - Converted to Date", IF(ISNUMBER(B172),"Valid","Check"))))</f>
        <v>Text - Converted to Date</v>
      </c>
      <c r="E172" s="5">
        <f t="shared" si="17"/>
        <v>5</v>
      </c>
      <c r="F172" s="5">
        <f t="shared" si="18"/>
        <v>2024</v>
      </c>
      <c r="G172" s="3" t="s">
        <v>2587</v>
      </c>
      <c r="H172" s="9">
        <f>IFERROR(DATEVALUE(TEXT(G172,"DD/MM/YYYY")), IF(ISNUMBER(G172), G172, ""))</f>
        <v>45433</v>
      </c>
      <c r="I172" s="9" t="str">
        <f>IF(G172="","Missing", IF(AND(ISNUMBER(G172)=FALSE, H172=""),"Invalid - Could Not Parse", IF(AND(ISNUMBER(G172)=FALSE, H172&lt;&gt;""),"Text - Converted to Date", IF(ISNUMBER(G172),"Valid","Check"))))</f>
        <v>Text - Converted to Date</v>
      </c>
      <c r="J172" s="9" t="str">
        <f>IF(OR(C172="", H172=""), "Cannot Check - Date Missing", IF(H172&lt;C172, "Invalid - Ship Before Order", "Valid"))</f>
        <v>Valid</v>
      </c>
      <c r="K172" s="5">
        <f>IF(OR(C172="", H172=""), "", IF(H172&lt;C172, "", H172-C172))</f>
        <v>2</v>
      </c>
      <c r="L172" s="3" t="s">
        <v>2588</v>
      </c>
      <c r="M172" s="3" t="s">
        <v>210</v>
      </c>
      <c r="N172" s="4" t="str">
        <f>TRIM(SUBSTITUTE(M172,"_"," "))</f>
        <v>Diya Patel</v>
      </c>
      <c r="O172" s="3" t="s">
        <v>41</v>
      </c>
      <c r="P172" s="6" t="str">
        <f>PROPER(TRIM(SUBSTITUTE(O172,".","")))</f>
        <v>Small Business</v>
      </c>
      <c r="Q172" s="3" t="s">
        <v>73</v>
      </c>
      <c r="R172" s="7" t="str">
        <f>PROPER(TRIM(SUBSTITUTE(Q172,"  "," ")))</f>
        <v>West</v>
      </c>
      <c r="S172" s="3" t="s">
        <v>74</v>
      </c>
      <c r="T172" s="6" t="str">
        <f>PROPER(TRIM(SUBSTITUTE(S172,"  "," ")))</f>
        <v>Maharashtra</v>
      </c>
      <c r="U172" s="3" t="s">
        <v>75</v>
      </c>
      <c r="V172" s="6" t="str">
        <f>PROPER(TRIM(SUBSTITUTE(U172,"  "," ")))</f>
        <v>Mumbai</v>
      </c>
      <c r="W172" s="3" t="s">
        <v>86</v>
      </c>
      <c r="X172" s="6" t="str">
        <f>PROPER(TRIM(SUBSTITUTE(W172,"  "," ")))</f>
        <v>Technology</v>
      </c>
      <c r="Y172" s="3" t="s">
        <v>94</v>
      </c>
      <c r="Z172" s="6" t="str">
        <f>PROPER(TRIM(SUBSTITUTE(Y172,"  "," ")))</f>
        <v>Copiers</v>
      </c>
      <c r="AA172" s="3" t="s">
        <v>2589</v>
      </c>
      <c r="AB172" s="3" t="s">
        <v>56</v>
      </c>
      <c r="AC172" s="6" t="str">
        <f>PROPER(TRIM(SUBSTITUTE(AB172,"  "," ")))</f>
        <v>First Class</v>
      </c>
      <c r="AD172" s="3">
        <v>3</v>
      </c>
      <c r="AE172" s="3">
        <v>4000.98</v>
      </c>
      <c r="AF172" s="3">
        <v>0.2</v>
      </c>
      <c r="AG172" s="17">
        <v>0.2</v>
      </c>
      <c r="AH172" s="6" t="str">
        <f t="shared" si="19"/>
        <v>Valid</v>
      </c>
      <c r="AI172" s="3">
        <v>9602.35</v>
      </c>
      <c r="AJ172" s="3">
        <v>7387.57</v>
      </c>
      <c r="AK172" s="3">
        <v>2214.7800000000002</v>
      </c>
      <c r="AL172" s="3" t="s">
        <v>34</v>
      </c>
      <c r="AM172" s="6" t="str">
        <f>PROPER(TRIM(SUBSTITUTE(AL172,".","")))</f>
        <v>Paid</v>
      </c>
      <c r="AN172" s="3" t="s">
        <v>35</v>
      </c>
      <c r="AO172" s="8" t="str">
        <f>PROPER(TRIM(SUBSTITUTE(AN172,".","")))</f>
        <v>Completed</v>
      </c>
      <c r="AP172" t="str">
        <f>IF(COUNTIF($A$2:$A$933, A172) &gt; 1, "Duplicate ID", "Unique")</f>
        <v>Unique</v>
      </c>
      <c r="AR172">
        <f t="shared" si="20"/>
        <v>9602.3520000000008</v>
      </c>
      <c r="AS172">
        <f t="shared" si="21"/>
        <v>2214.7820000000011</v>
      </c>
      <c r="AT172" s="15">
        <f t="shared" si="22"/>
        <v>0.23064994909580494</v>
      </c>
      <c r="AU172" t="str">
        <f t="shared" si="23"/>
        <v>Clean</v>
      </c>
      <c r="AV172" s="8" t="str">
        <f t="shared" si="24"/>
        <v>Active</v>
      </c>
    </row>
    <row r="173" spans="1:48">
      <c r="A173" s="3" t="s">
        <v>2903</v>
      </c>
      <c r="B173" s="3" t="s">
        <v>2904</v>
      </c>
      <c r="C173" s="9">
        <f>IFERROR(DATEVALUE(TEXT(B173,"DD/MM/YYYY")), IF(ISNUMBER(B173), B173, ""))</f>
        <v>45432</v>
      </c>
      <c r="D173" s="9" t="str">
        <f>IF(B173="","Missing", IF(AND(ISNUMBER(B173)=FALSE, C173=""),"Invalid - Could Not Parse", IF(AND(ISNUMBER(B173)=FALSE, C173&lt;&gt;""),"Text - Converted to Date", IF(ISNUMBER(B173),"Valid","Check"))))</f>
        <v>Text - Converted to Date</v>
      </c>
      <c r="E173" s="5">
        <f t="shared" si="17"/>
        <v>5</v>
      </c>
      <c r="F173" s="5">
        <f t="shared" si="18"/>
        <v>2024</v>
      </c>
      <c r="G173" s="3" t="s">
        <v>2905</v>
      </c>
      <c r="H173" s="9">
        <f>IFERROR(DATEVALUE(MID(G173,4,2) &amp; "/" &amp; LEFT(G173,2) &amp; "/" &amp; RIGHT(G173,4)), IF(ISNUMBER(G173), G173, IFERROR(DATEVALUE(G173), "")))</f>
        <v>45432</v>
      </c>
      <c r="I173" s="9" t="str">
        <f>IF(G173="","Missing", IF(AND(ISNUMBER(G173)=FALSE, H173=""),"Invalid - Could Not Parse", IF(AND(ISNUMBER(G173)=FALSE, H173&lt;&gt;""),"Text - Converted to Date", IF(ISNUMBER(G173),"Valid","Check"))))</f>
        <v>Text - Converted to Date</v>
      </c>
      <c r="J173" s="9" t="str">
        <f>IF(OR(C173="", H173=""), "Cannot Check - Date Missing", IF(H173&lt;C173, "Invalid - Ship Before Order", "Valid"))</f>
        <v>Valid</v>
      </c>
      <c r="K173" s="5">
        <f>IF(OR(C173="", H173=""), "", IF(H173&lt;C173, "", H173-C173))</f>
        <v>0</v>
      </c>
      <c r="L173" s="3" t="s">
        <v>2080</v>
      </c>
      <c r="M173" s="3" t="s">
        <v>25</v>
      </c>
      <c r="N173" s="4" t="str">
        <f>TRIM(SUBSTITUTE(M173,"_"," "))</f>
        <v>Karan Malhotra</v>
      </c>
      <c r="O173" s="3" t="s">
        <v>115</v>
      </c>
      <c r="P173" s="6" t="str">
        <f>PROPER(TRIM(SUBSTITUTE(O173,".","")))</f>
        <v>Home Office</v>
      </c>
      <c r="Q173" s="3" t="s">
        <v>73</v>
      </c>
      <c r="R173" s="7" t="str">
        <f>PROPER(TRIM(SUBSTITUTE(Q173,"  "," ")))</f>
        <v>West</v>
      </c>
      <c r="S173" s="3" t="s">
        <v>84</v>
      </c>
      <c r="T173" s="6" t="str">
        <f>PROPER(TRIM(SUBSTITUTE(S173,"  "," ")))</f>
        <v>Madhya Pradesh</v>
      </c>
      <c r="U173" s="3" t="s">
        <v>85</v>
      </c>
      <c r="V173" s="6" t="str">
        <f>PROPER(TRIM(SUBSTITUTE(U173,"  "," ")))</f>
        <v>Indore</v>
      </c>
      <c r="W173" s="3" t="s">
        <v>45</v>
      </c>
      <c r="X173" s="6" t="str">
        <f>PROPER(TRIM(SUBSTITUTE(W173,"  "," ")))</f>
        <v>Furniture</v>
      </c>
      <c r="Y173" s="3" t="s">
        <v>76</v>
      </c>
      <c r="Z173" s="6" t="str">
        <f>PROPER(TRIM(SUBSTITUTE(Y173,"  "," ")))</f>
        <v>Chairs</v>
      </c>
      <c r="AA173" s="3" t="s">
        <v>2906</v>
      </c>
      <c r="AB173" s="3" t="s">
        <v>67</v>
      </c>
      <c r="AC173" s="6" t="str">
        <f>PROPER(TRIM(SUBSTITUTE(AB173,"  "," ")))</f>
        <v>Standard Class</v>
      </c>
      <c r="AD173" s="3">
        <v>1</v>
      </c>
      <c r="AE173" s="3">
        <v>3032.95</v>
      </c>
      <c r="AF173" s="3">
        <v>0.1</v>
      </c>
      <c r="AG173" s="17">
        <v>0.1</v>
      </c>
      <c r="AH173" s="6" t="str">
        <f t="shared" si="19"/>
        <v>Valid</v>
      </c>
      <c r="AI173" s="3">
        <v>2729.65</v>
      </c>
      <c r="AJ173" s="3">
        <v>1715.36</v>
      </c>
      <c r="AK173" s="3">
        <v>1014.29</v>
      </c>
      <c r="AL173" s="3" t="s">
        <v>34</v>
      </c>
      <c r="AM173" s="6" t="str">
        <f>PROPER(TRIM(SUBSTITUTE(AL173,".","")))</f>
        <v>Paid</v>
      </c>
      <c r="AN173" s="3" t="s">
        <v>35</v>
      </c>
      <c r="AO173" s="8" t="str">
        <f>PROPER(TRIM(SUBSTITUTE(AN173,".","")))</f>
        <v>Completed</v>
      </c>
      <c r="AP173" t="str">
        <f>IF(COUNTIF($A$2:$A$933, A173) &gt; 1, "Duplicate ID", "Unique")</f>
        <v>Unique</v>
      </c>
      <c r="AR173">
        <f t="shared" si="20"/>
        <v>2729.6549999999997</v>
      </c>
      <c r="AS173">
        <f t="shared" si="21"/>
        <v>1014.2949999999998</v>
      </c>
      <c r="AT173" s="15">
        <f t="shared" si="22"/>
        <v>0.37158358840219735</v>
      </c>
      <c r="AU173" t="str">
        <f t="shared" si="23"/>
        <v>Clean</v>
      </c>
      <c r="AV173" s="8" t="str">
        <f t="shared" si="24"/>
        <v>Active</v>
      </c>
    </row>
    <row r="174" spans="1:48">
      <c r="A174" s="3" t="s">
        <v>3008</v>
      </c>
      <c r="B174" s="3" t="s">
        <v>2904</v>
      </c>
      <c r="C174" s="9">
        <f>IFERROR(DATEVALUE(TEXT(B174,"DD/MM/YYYY")), IF(ISNUMBER(B174), B174, ""))</f>
        <v>45432</v>
      </c>
      <c r="D174" s="9" t="str">
        <f>IF(B174="","Missing", IF(AND(ISNUMBER(B174)=FALSE, C174=""),"Invalid - Could Not Parse", IF(AND(ISNUMBER(B174)=FALSE, C174&lt;&gt;""),"Text - Converted to Date", IF(ISNUMBER(B174),"Valid","Check"))))</f>
        <v>Text - Converted to Date</v>
      </c>
      <c r="E174" s="5">
        <f t="shared" si="17"/>
        <v>5</v>
      </c>
      <c r="F174" s="5">
        <f t="shared" si="18"/>
        <v>2024</v>
      </c>
      <c r="G174" s="3" t="s">
        <v>3009</v>
      </c>
      <c r="H174" s="9">
        <f>IFERROR(DATEVALUE(TEXT(G174,"DD/MM/YYYY")), IF(ISNUMBER(G174), G174, ""))</f>
        <v>45437</v>
      </c>
      <c r="I174" s="9" t="str">
        <f>IF(G174="","Missing", IF(AND(ISNUMBER(G174)=FALSE, H174=""),"Invalid - Could Not Parse", IF(AND(ISNUMBER(G174)=FALSE, H174&lt;&gt;""),"Text - Converted to Date", IF(ISNUMBER(G174),"Valid","Check"))))</f>
        <v>Text - Converted to Date</v>
      </c>
      <c r="J174" s="9" t="str">
        <f>IF(OR(C174="", H174=""), "Cannot Check - Date Missing", IF(H174&lt;C174, "Invalid - Ship Before Order", "Valid"))</f>
        <v>Valid</v>
      </c>
      <c r="K174" s="5">
        <f>IF(OR(C174="", H174=""), "", IF(H174&lt;C174, "", H174-C174))</f>
        <v>5</v>
      </c>
      <c r="L174" s="3" t="s">
        <v>3010</v>
      </c>
      <c r="M174" s="3" t="s">
        <v>40</v>
      </c>
      <c r="N174" s="4" t="str">
        <f>TRIM(SUBSTITUTE(M174,"_"," "))</f>
        <v>Mira Das</v>
      </c>
      <c r="O174" s="3" t="s">
        <v>108</v>
      </c>
      <c r="P174" s="6" t="str">
        <f>PROPER(TRIM(SUBSTITUTE(O174,".","")))</f>
        <v>Corporate</v>
      </c>
      <c r="Q174" s="3" t="s">
        <v>62</v>
      </c>
      <c r="R174" s="7" t="str">
        <f>PROPER(TRIM(SUBSTITUTE(Q174,"  "," ")))</f>
        <v>South</v>
      </c>
      <c r="S174" s="3" t="s">
        <v>100</v>
      </c>
      <c r="T174" s="6" t="str">
        <f>PROPER(TRIM(SUBSTITUTE(S174,"  "," ")))</f>
        <v>Andhra Pradesh</v>
      </c>
      <c r="U174" s="3" t="s">
        <v>101</v>
      </c>
      <c r="V174" s="6" t="str">
        <f>PROPER(TRIM(SUBSTITUTE(U174,"  "," ")))</f>
        <v>Vijayawada</v>
      </c>
      <c r="W174" s="3" t="s">
        <v>45</v>
      </c>
      <c r="X174" s="6" t="str">
        <f>PROPER(TRIM(SUBSTITUTE(W174,"  "," ")))</f>
        <v>Furniture</v>
      </c>
      <c r="Y174" s="3" t="s">
        <v>76</v>
      </c>
      <c r="Z174" s="6" t="str">
        <f>PROPER(TRIM(SUBSTITUTE(Y174,"  "," ")))</f>
        <v>Chairs</v>
      </c>
      <c r="AA174" s="3" t="s">
        <v>3011</v>
      </c>
      <c r="AB174" s="3" t="s">
        <v>48</v>
      </c>
      <c r="AC174" s="6" t="str">
        <f>PROPER(TRIM(SUBSTITUTE(AB174,"  "," ")))</f>
        <v>Same Day</v>
      </c>
      <c r="AD174" s="3">
        <v>7</v>
      </c>
      <c r="AE174" s="3">
        <v>3122.85</v>
      </c>
      <c r="AF174" s="3">
        <v>0.25</v>
      </c>
      <c r="AG174" s="17">
        <v>0.25</v>
      </c>
      <c r="AH174" s="6" t="str">
        <f t="shared" si="19"/>
        <v>Valid</v>
      </c>
      <c r="AI174" s="3">
        <v>16394.96</v>
      </c>
      <c r="AJ174" s="3">
        <v>10404.17</v>
      </c>
      <c r="AK174" s="3">
        <v>5990.79</v>
      </c>
      <c r="AL174" s="3" t="s">
        <v>34</v>
      </c>
      <c r="AM174" s="6" t="str">
        <f>PROPER(TRIM(SUBSTITUTE(AL174,".","")))</f>
        <v>Paid</v>
      </c>
      <c r="AN174" s="3" t="s">
        <v>35</v>
      </c>
      <c r="AO174" s="8" t="str">
        <f>PROPER(TRIM(SUBSTITUTE(AN174,".","")))</f>
        <v>Completed</v>
      </c>
      <c r="AP174" t="str">
        <f>IF(COUNTIF($A$2:$A$933, A174) &gt; 1, "Duplicate ID", "Unique")</f>
        <v>Unique</v>
      </c>
      <c r="AR174">
        <f t="shared" si="20"/>
        <v>16394.962500000001</v>
      </c>
      <c r="AS174">
        <f t="shared" si="21"/>
        <v>5990.7925000000014</v>
      </c>
      <c r="AT174" s="15">
        <f t="shared" si="22"/>
        <v>0.36540446493854445</v>
      </c>
      <c r="AU174" t="str">
        <f t="shared" si="23"/>
        <v>Clean</v>
      </c>
      <c r="AV174" s="8" t="str">
        <f t="shared" si="24"/>
        <v>Active</v>
      </c>
    </row>
    <row r="175" spans="1:48">
      <c r="A175" s="3" t="s">
        <v>3624</v>
      </c>
      <c r="B175" s="3" t="s">
        <v>3625</v>
      </c>
      <c r="C175" s="9">
        <f>IFERROR(DATEVALUE(TEXT(B175,"DD/MM/YYYY")), IF(ISNUMBER(B175), B175, ""))</f>
        <v>45435</v>
      </c>
      <c r="D175" s="9" t="str">
        <f>IF(B175="","Missing", IF(AND(ISNUMBER(B175)=FALSE, C175=""),"Invalid - Could Not Parse", IF(AND(ISNUMBER(B175)=FALSE, C175&lt;&gt;""),"Text - Converted to Date", IF(ISNUMBER(B175),"Valid","Check"))))</f>
        <v>Text - Converted to Date</v>
      </c>
      <c r="E175" s="5">
        <f t="shared" si="17"/>
        <v>5</v>
      </c>
      <c r="F175" s="5">
        <f t="shared" si="18"/>
        <v>2024</v>
      </c>
      <c r="G175" s="3" t="s">
        <v>273</v>
      </c>
      <c r="H175" s="9">
        <f>IFERROR(DATEVALUE(TEXT(G175,"DD/MM/YYYY")), IF(ISNUMBER(G175), G175, ""))</f>
        <v>45441</v>
      </c>
      <c r="I175" s="9" t="str">
        <f>IF(G175="","Missing", IF(AND(ISNUMBER(G175)=FALSE, H175=""),"Invalid - Could Not Parse", IF(AND(ISNUMBER(G175)=FALSE, H175&lt;&gt;""),"Text - Converted to Date", IF(ISNUMBER(G175),"Valid","Check"))))</f>
        <v>Text - Converted to Date</v>
      </c>
      <c r="J175" s="9" t="str">
        <f>IF(OR(C175="", H175=""), "Cannot Check - Date Missing", IF(H175&lt;C175, "Invalid - Ship Before Order", "Valid"))</f>
        <v>Valid</v>
      </c>
      <c r="K175" s="5">
        <f>IF(OR(C175="", H175=""), "", IF(H175&lt;C175, "", H175-C175))</f>
        <v>6</v>
      </c>
      <c r="L175" s="3" t="s">
        <v>3626</v>
      </c>
      <c r="M175" s="3" t="s">
        <v>210</v>
      </c>
      <c r="N175" s="4" t="str">
        <f>TRIM(SUBSTITUTE(M175,"_"," "))</f>
        <v>Diya Patel</v>
      </c>
      <c r="O175" s="3" t="s">
        <v>41</v>
      </c>
      <c r="P175" s="6" t="str">
        <f>PROPER(TRIM(SUBSTITUTE(O175,".","")))</f>
        <v>Small Business</v>
      </c>
      <c r="Q175" s="3" t="s">
        <v>27</v>
      </c>
      <c r="R175" s="7" t="str">
        <f>PROPER(TRIM(SUBSTITUTE(Q175,"  "," ")))</f>
        <v>North</v>
      </c>
      <c r="S175" s="3" t="s">
        <v>323</v>
      </c>
      <c r="T175" s="6" t="str">
        <f>PROPER(TRIM(SUBSTITUTE(S175,"  "," ")))</f>
        <v>Haryana</v>
      </c>
      <c r="U175" s="3" t="s">
        <v>324</v>
      </c>
      <c r="V175" s="6" t="str">
        <f>PROPER(TRIM(SUBSTITUTE(U175,"  "," ")))</f>
        <v>Gurugram</v>
      </c>
      <c r="W175" s="3" t="s">
        <v>30</v>
      </c>
      <c r="X175" s="6" t="str">
        <f>PROPER(TRIM(SUBSTITUTE(W175,"  "," ")))</f>
        <v>Office Supplies</v>
      </c>
      <c r="Y175" s="3" t="s">
        <v>156</v>
      </c>
      <c r="Z175" s="6" t="str">
        <f>PROPER(TRIM(SUBSTITUTE(Y175,"  "," ")))</f>
        <v>Storage</v>
      </c>
      <c r="AA175" s="3" t="s">
        <v>3627</v>
      </c>
      <c r="AB175" s="3" t="s">
        <v>48</v>
      </c>
      <c r="AC175" s="6" t="str">
        <f>PROPER(TRIM(SUBSTITUTE(AB175,"  "," ")))</f>
        <v>Same Day</v>
      </c>
      <c r="AD175" s="3">
        <v>2</v>
      </c>
      <c r="AE175" s="3">
        <v>3012.94</v>
      </c>
      <c r="AF175" s="3">
        <v>0.25</v>
      </c>
      <c r="AG175" s="17">
        <v>0.25</v>
      </c>
      <c r="AH175" s="6" t="str">
        <f t="shared" si="19"/>
        <v>Valid</v>
      </c>
      <c r="AI175" s="3">
        <v>4519.41</v>
      </c>
      <c r="AJ175" s="3">
        <v>3504.16</v>
      </c>
      <c r="AK175" s="3">
        <v>1275.55</v>
      </c>
      <c r="AL175" s="3" t="s">
        <v>200</v>
      </c>
      <c r="AM175" s="6" t="str">
        <f>PROPER(TRIM(SUBSTITUTE(AL175,".","")))</f>
        <v>Failed</v>
      </c>
      <c r="AN175" s="3" t="s">
        <v>78</v>
      </c>
      <c r="AO175" s="8" t="str">
        <f>PROPER(TRIM(SUBSTITUTE(AN175,".","")))</f>
        <v>Cancelled</v>
      </c>
      <c r="AP175" t="str">
        <f>IF(COUNTIF($A$2:$A$933, A175) &gt; 1, "Duplicate ID", "Unique")</f>
        <v>Unique</v>
      </c>
      <c r="AR175">
        <f t="shared" si="20"/>
        <v>4519.41</v>
      </c>
      <c r="AS175">
        <f t="shared" si="21"/>
        <v>1015.25</v>
      </c>
      <c r="AT175" s="15">
        <f t="shared" si="22"/>
        <v>0.22464215461752751</v>
      </c>
      <c r="AU175" t="str">
        <f t="shared" si="23"/>
        <v>Clean</v>
      </c>
      <c r="AV175" s="8" t="str">
        <f t="shared" si="24"/>
        <v>Cancelled</v>
      </c>
    </row>
    <row r="176" spans="1:48">
      <c r="A176" s="3" t="s">
        <v>79</v>
      </c>
      <c r="B176" s="3" t="s">
        <v>80</v>
      </c>
      <c r="C176" s="9">
        <f>IFERROR(DATEVALUE(TEXT(B176,"DD/MM/YYYY")), IF(ISNUMBER(B176), B176, ""))</f>
        <v>45436</v>
      </c>
      <c r="D176" s="9" t="str">
        <f>IF(B176="","Missing", IF(AND(ISNUMBER(B176)=FALSE, C176=""),"Invalid - Could Not Parse", IF(AND(ISNUMBER(B176)=FALSE, C176&lt;&gt;""),"Text - Converted to Date", IF(ISNUMBER(B176),"Valid","Check"))))</f>
        <v>Text - Converted to Date</v>
      </c>
      <c r="E176" s="5">
        <f t="shared" si="17"/>
        <v>5</v>
      </c>
      <c r="F176" s="5">
        <f t="shared" si="18"/>
        <v>2024</v>
      </c>
      <c r="G176" s="3" t="s">
        <v>81</v>
      </c>
      <c r="H176" s="9">
        <f>IFERROR(DATEVALUE(TEXT(G176,"DD/MM/YYYY")), IF(ISNUMBER(G176), G176, ""))</f>
        <v>45440</v>
      </c>
      <c r="I176" s="9" t="str">
        <f>IF(G176="","Missing", IF(AND(ISNUMBER(G176)=FALSE, H176=""),"Invalid - Could Not Parse", IF(AND(ISNUMBER(G176)=FALSE, H176&lt;&gt;""),"Text - Converted to Date", IF(ISNUMBER(G176),"Valid","Check"))))</f>
        <v>Text - Converted to Date</v>
      </c>
      <c r="J176" s="9" t="str">
        <f>IF(OR(C176="", H176=""), "Cannot Check - Date Missing", IF(H176&lt;C176, "Invalid - Ship Before Order", "Valid"))</f>
        <v>Valid</v>
      </c>
      <c r="K176" s="5">
        <f>IF(OR(C176="", H176=""), "", IF(H176&lt;C176, "", H176-C176))</f>
        <v>4</v>
      </c>
      <c r="L176" s="3" t="s">
        <v>82</v>
      </c>
      <c r="M176" s="3" t="s">
        <v>83</v>
      </c>
      <c r="N176" s="4" t="str">
        <f>TRIM(SUBSTITUTE(M176,"_"," "))</f>
        <v>Vikram Iyer</v>
      </c>
      <c r="O176" s="3" t="s">
        <v>41</v>
      </c>
      <c r="P176" s="6" t="str">
        <f>PROPER(TRIM(SUBSTITUTE(O176,".","")))</f>
        <v>Small Business</v>
      </c>
      <c r="Q176" s="3" t="s">
        <v>73</v>
      </c>
      <c r="R176" s="7" t="str">
        <f>PROPER(TRIM(SUBSTITUTE(Q176,"  "," ")))</f>
        <v>West</v>
      </c>
      <c r="S176" s="3" t="s">
        <v>84</v>
      </c>
      <c r="T176" s="6" t="str">
        <f>PROPER(TRIM(SUBSTITUTE(S176,"  "," ")))</f>
        <v>Madhya Pradesh</v>
      </c>
      <c r="U176" s="3" t="s">
        <v>85</v>
      </c>
      <c r="V176" s="6" t="str">
        <f>PROPER(TRIM(SUBSTITUTE(U176,"  "," ")))</f>
        <v>Indore</v>
      </c>
      <c r="W176" s="3" t="s">
        <v>86</v>
      </c>
      <c r="X176" s="6" t="str">
        <f>PROPER(TRIM(SUBSTITUTE(W176,"  "," ")))</f>
        <v>Technology</v>
      </c>
      <c r="Y176" s="3" t="s">
        <v>87</v>
      </c>
      <c r="Z176" s="6" t="str">
        <f>PROPER(TRIM(SUBSTITUTE(Y176,"  "," ")))</f>
        <v>Accessories</v>
      </c>
      <c r="AA176" s="3" t="s">
        <v>88</v>
      </c>
      <c r="AB176" s="3" t="s">
        <v>48</v>
      </c>
      <c r="AC176" s="6" t="str">
        <f>PROPER(TRIM(SUBSTITUTE(AB176,"  "," ")))</f>
        <v>Same Day</v>
      </c>
      <c r="AD176" s="3">
        <v>3</v>
      </c>
      <c r="AE176" s="3">
        <v>1053.1099999999999</v>
      </c>
      <c r="AF176" s="3">
        <v>0.2</v>
      </c>
      <c r="AG176" s="17">
        <v>0.2</v>
      </c>
      <c r="AH176" s="6" t="str">
        <f t="shared" si="19"/>
        <v>Valid</v>
      </c>
      <c r="AI176" s="3">
        <v>2527.46</v>
      </c>
      <c r="AJ176" s="3">
        <v>1533.58</v>
      </c>
      <c r="AK176" s="3">
        <v>993.88</v>
      </c>
      <c r="AL176" s="3" t="s">
        <v>34</v>
      </c>
      <c r="AM176" s="6" t="str">
        <f>PROPER(TRIM(SUBSTITUTE(AL176,".","")))</f>
        <v>Paid</v>
      </c>
      <c r="AN176" s="3" t="s">
        <v>35</v>
      </c>
      <c r="AO176" s="8" t="str">
        <f>PROPER(TRIM(SUBSTITUTE(AN176,".","")))</f>
        <v>Completed</v>
      </c>
      <c r="AP176" t="str">
        <f>IF(COUNTIF($A$2:$A$933, A176) &gt; 1, "Duplicate ID", "Unique")</f>
        <v>Unique</v>
      </c>
      <c r="AR176">
        <f t="shared" si="20"/>
        <v>2527.4639999999999</v>
      </c>
      <c r="AS176">
        <f t="shared" si="21"/>
        <v>993.88400000000001</v>
      </c>
      <c r="AT176" s="15">
        <f t="shared" si="22"/>
        <v>0.39323369195367375</v>
      </c>
      <c r="AU176" t="str">
        <f t="shared" si="23"/>
        <v>Clean</v>
      </c>
      <c r="AV176" s="8" t="str">
        <f t="shared" si="24"/>
        <v>Active</v>
      </c>
    </row>
    <row r="177" spans="1:48">
      <c r="A177" s="3" t="s">
        <v>3017</v>
      </c>
      <c r="B177" s="3" t="s">
        <v>3018</v>
      </c>
      <c r="C177" s="9">
        <f>IFERROR(DATEVALUE(TEXT(B177,"DD/MM/YYYY")), IF(ISNUMBER(B177), B177, ""))</f>
        <v>45438</v>
      </c>
      <c r="D177" s="9" t="str">
        <f>IF(B177="","Missing", IF(AND(ISNUMBER(B177)=FALSE, C177=""),"Invalid - Could Not Parse", IF(AND(ISNUMBER(B177)=FALSE, C177&lt;&gt;""),"Text - Converted to Date", IF(ISNUMBER(B177),"Valid","Check"))))</f>
        <v>Text - Converted to Date</v>
      </c>
      <c r="E177" s="5">
        <f t="shared" si="17"/>
        <v>5</v>
      </c>
      <c r="F177" s="5">
        <f t="shared" si="18"/>
        <v>2024</v>
      </c>
      <c r="G177" s="3" t="s">
        <v>3019</v>
      </c>
      <c r="H177" s="9">
        <f>IFERROR(DATEVALUE(TEXT(G177,"DD/MM/YYYY")), IF(ISNUMBER(G177), G177, ""))</f>
        <v>45438</v>
      </c>
      <c r="I177" s="9" t="str">
        <f>IF(G177="","Missing", IF(AND(ISNUMBER(G177)=FALSE, H177=""),"Invalid - Could Not Parse", IF(AND(ISNUMBER(G177)=FALSE, H177&lt;&gt;""),"Text - Converted to Date", IF(ISNUMBER(G177),"Valid","Check"))))</f>
        <v>Text - Converted to Date</v>
      </c>
      <c r="J177" s="9" t="str">
        <f>IF(OR(C177="", H177=""), "Cannot Check - Date Missing", IF(H177&lt;C177, "Invalid - Ship Before Order", "Valid"))</f>
        <v>Valid</v>
      </c>
      <c r="K177" s="5">
        <f>IF(OR(C177="", H177=""), "", IF(H177&lt;C177, "", H177-C177))</f>
        <v>0</v>
      </c>
      <c r="L177" s="3" t="s">
        <v>3020</v>
      </c>
      <c r="M177" s="3" t="s">
        <v>148</v>
      </c>
      <c r="N177" s="4" t="str">
        <f>TRIM(SUBSTITUTE(M177,"_"," "))</f>
        <v>Rahul Verma</v>
      </c>
      <c r="O177" s="3" t="s">
        <v>41</v>
      </c>
      <c r="P177" s="6" t="str">
        <f>PROPER(TRIM(SUBSTITUTE(O177,".","")))</f>
        <v>Small Business</v>
      </c>
      <c r="Q177" s="3" t="s">
        <v>73</v>
      </c>
      <c r="R177" s="7" t="str">
        <f>PROPER(TRIM(SUBSTITUTE(Q177,"  "," ")))</f>
        <v>West</v>
      </c>
      <c r="S177" s="3" t="s">
        <v>249</v>
      </c>
      <c r="T177" s="6" t="str">
        <f>PROPER(TRIM(SUBSTITUTE(S177,"  "," ")))</f>
        <v>Goa</v>
      </c>
      <c r="U177" s="3" t="s">
        <v>250</v>
      </c>
      <c r="V177" s="6" t="str">
        <f>PROPER(TRIM(SUBSTITUTE(U177,"  "," ")))</f>
        <v>Panaji</v>
      </c>
      <c r="W177" s="3" t="s">
        <v>86</v>
      </c>
      <c r="X177" s="6" t="str">
        <f>PROPER(TRIM(SUBSTITUTE(W177,"  "," ")))</f>
        <v>Technology</v>
      </c>
      <c r="Y177" s="3" t="s">
        <v>94</v>
      </c>
      <c r="Z177" s="6" t="str">
        <f>PROPER(TRIM(SUBSTITUTE(Y177,"  "," ")))</f>
        <v>Copiers</v>
      </c>
      <c r="AA177" s="3" t="s">
        <v>3021</v>
      </c>
      <c r="AB177" s="3" t="s">
        <v>56</v>
      </c>
      <c r="AC177" s="6" t="str">
        <f>PROPER(TRIM(SUBSTITUTE(AB177,"  "," ")))</f>
        <v>First Class</v>
      </c>
      <c r="AD177" s="3">
        <v>2</v>
      </c>
      <c r="AE177" s="3">
        <v>3192.47</v>
      </c>
      <c r="AF177" s="3">
        <v>0.2</v>
      </c>
      <c r="AG177" s="17">
        <v>0.2</v>
      </c>
      <c r="AH177" s="6" t="str">
        <f t="shared" si="19"/>
        <v>Valid</v>
      </c>
      <c r="AI177" s="3">
        <v>5107.95</v>
      </c>
      <c r="AJ177" s="3">
        <v>3133.08</v>
      </c>
      <c r="AK177" s="3">
        <v>1974.87</v>
      </c>
      <c r="AL177" s="3" t="s">
        <v>34</v>
      </c>
      <c r="AM177" s="6" t="str">
        <f>PROPER(TRIM(SUBSTITUTE(AL177,".","")))</f>
        <v>Paid</v>
      </c>
      <c r="AN177" s="3" t="s">
        <v>35</v>
      </c>
      <c r="AO177" s="8" t="str">
        <f>PROPER(TRIM(SUBSTITUTE(AN177,".","")))</f>
        <v>Completed</v>
      </c>
      <c r="AP177" t="str">
        <f>IF(COUNTIF($A$2:$A$933, A177) &gt; 1, "Duplicate ID", "Unique")</f>
        <v>Unique</v>
      </c>
      <c r="AR177">
        <f t="shared" si="20"/>
        <v>5107.9520000000002</v>
      </c>
      <c r="AS177">
        <f t="shared" si="21"/>
        <v>1974.8720000000003</v>
      </c>
      <c r="AT177" s="15">
        <f t="shared" si="22"/>
        <v>0.38662696908663202</v>
      </c>
      <c r="AU177" t="str">
        <f t="shared" si="23"/>
        <v>Clean</v>
      </c>
      <c r="AV177" s="8" t="str">
        <f t="shared" si="24"/>
        <v>Active</v>
      </c>
    </row>
    <row r="178" spans="1:48">
      <c r="A178" s="3" t="s">
        <v>1219</v>
      </c>
      <c r="B178" s="3" t="s">
        <v>81</v>
      </c>
      <c r="C178" s="9">
        <f>IFERROR(DATEVALUE(TEXT(B178,"DD/MM/YYYY")), IF(ISNUMBER(B178), B178, ""))</f>
        <v>45440</v>
      </c>
      <c r="D178" s="9" t="str">
        <f>IF(B178="","Missing", IF(AND(ISNUMBER(B178)=FALSE, C178=""),"Invalid - Could Not Parse", IF(AND(ISNUMBER(B178)=FALSE, C178&lt;&gt;""),"Text - Converted to Date", IF(ISNUMBER(B178),"Valid","Check"))))</f>
        <v>Text - Converted to Date</v>
      </c>
      <c r="E178" s="5">
        <f t="shared" si="17"/>
        <v>5</v>
      </c>
      <c r="F178" s="5">
        <f t="shared" si="18"/>
        <v>2024</v>
      </c>
      <c r="G178" s="3" t="s">
        <v>1220</v>
      </c>
      <c r="H178" s="9">
        <f>IFERROR(DATEVALUE(TEXT(G178,"DD/MM/YYYY")), IF(ISNUMBER(G178), G178, ""))</f>
        <v>45446</v>
      </c>
      <c r="I178" s="9" t="str">
        <f>IF(G178="","Missing", IF(AND(ISNUMBER(G178)=FALSE, H178=""),"Invalid - Could Not Parse", IF(AND(ISNUMBER(G178)=FALSE, H178&lt;&gt;""),"Text - Converted to Date", IF(ISNUMBER(G178),"Valid","Check"))))</f>
        <v>Text - Converted to Date</v>
      </c>
      <c r="J178" s="9" t="str">
        <f>IF(OR(C178="", H178=""), "Cannot Check - Date Missing", IF(H178&lt;C178, "Invalid - Ship Before Order", "Valid"))</f>
        <v>Valid</v>
      </c>
      <c r="K178" s="5">
        <f>IF(OR(C178="", H178=""), "", IF(H178&lt;C178, "", H178-C178))</f>
        <v>6</v>
      </c>
      <c r="L178" s="3" t="s">
        <v>1221</v>
      </c>
      <c r="M178" s="3" t="s">
        <v>93</v>
      </c>
      <c r="N178" s="4" t="str">
        <f>TRIM(SUBSTITUTE(M178,"_"," "))</f>
        <v>Neha Gupta</v>
      </c>
      <c r="O178" s="3" t="s">
        <v>41</v>
      </c>
      <c r="P178" s="6" t="str">
        <f>PROPER(TRIM(SUBSTITUTE(O178,".","")))</f>
        <v>Small Business</v>
      </c>
      <c r="Q178" s="3" t="s">
        <v>27</v>
      </c>
      <c r="R178" s="7" t="str">
        <f>PROPER(TRIM(SUBSTITUTE(Q178,"  "," ")))</f>
        <v>North</v>
      </c>
      <c r="S178" s="3" t="s">
        <v>28</v>
      </c>
      <c r="T178" s="6" t="str">
        <f>PROPER(TRIM(SUBSTITUTE(S178,"  "," ")))</f>
        <v>Rajasthan</v>
      </c>
      <c r="U178" s="3" t="s">
        <v>29</v>
      </c>
      <c r="V178" s="6" t="str">
        <f>PROPER(TRIM(SUBSTITUTE(U178,"  "," ")))</f>
        <v>Jaipur</v>
      </c>
      <c r="W178" s="3" t="s">
        <v>30</v>
      </c>
      <c r="X178" s="6" t="str">
        <f>PROPER(TRIM(SUBSTITUTE(W178,"  "," ")))</f>
        <v>Office Supplies</v>
      </c>
      <c r="Y178" s="3" t="s">
        <v>31</v>
      </c>
      <c r="Z178" s="6" t="str">
        <f>PROPER(TRIM(SUBSTITUTE(Y178,"  "," ")))</f>
        <v>Paper</v>
      </c>
      <c r="AA178" s="3" t="s">
        <v>1222</v>
      </c>
      <c r="AB178" s="3" t="s">
        <v>67</v>
      </c>
      <c r="AC178" s="6" t="str">
        <f>PROPER(TRIM(SUBSTITUTE(AB178,"  "," ")))</f>
        <v>Standard Class</v>
      </c>
      <c r="AD178" s="3">
        <v>8</v>
      </c>
      <c r="AE178" s="3">
        <v>1540.33</v>
      </c>
      <c r="AF178" s="3">
        <v>0.1</v>
      </c>
      <c r="AG178" s="17">
        <v>0.1</v>
      </c>
      <c r="AH178" s="6" t="str">
        <f t="shared" si="19"/>
        <v>Valid</v>
      </c>
      <c r="AI178" s="3">
        <v>11090.38</v>
      </c>
      <c r="AJ178" s="3">
        <v>8840.9500000000007</v>
      </c>
      <c r="AK178" s="3">
        <v>2249.4299999999998</v>
      </c>
      <c r="AL178" s="3" t="s">
        <v>34</v>
      </c>
      <c r="AM178" s="6" t="str">
        <f>PROPER(TRIM(SUBSTITUTE(AL178,".","")))</f>
        <v>Paid</v>
      </c>
      <c r="AN178" s="3" t="s">
        <v>35</v>
      </c>
      <c r="AO178" s="8" t="str">
        <f>PROPER(TRIM(SUBSTITUTE(AN178,".","")))</f>
        <v>Completed</v>
      </c>
      <c r="AP178" t="str">
        <f>IF(COUNTIF($A$2:$A$933, A178) &gt; 1, "Duplicate ID", "Unique")</f>
        <v>Unique</v>
      </c>
      <c r="AR178">
        <f t="shared" si="20"/>
        <v>11090.376</v>
      </c>
      <c r="AS178">
        <f t="shared" si="21"/>
        <v>2249.4259999999995</v>
      </c>
      <c r="AT178" s="15">
        <f t="shared" si="22"/>
        <v>0.20282684734944958</v>
      </c>
      <c r="AU178" t="str">
        <f t="shared" si="23"/>
        <v>Clean</v>
      </c>
      <c r="AV178" s="8" t="str">
        <f t="shared" si="24"/>
        <v>Active</v>
      </c>
    </row>
    <row r="179" spans="1:48">
      <c r="A179" s="3" t="s">
        <v>3655</v>
      </c>
      <c r="B179" s="3" t="s">
        <v>81</v>
      </c>
      <c r="C179" s="9">
        <f>IFERROR(DATEVALUE(TEXT(B179,"DD/MM/YYYY")), IF(ISNUMBER(B179), B179, ""))</f>
        <v>45440</v>
      </c>
      <c r="D179" s="9" t="str">
        <f>IF(B179="","Missing", IF(AND(ISNUMBER(B179)=FALSE, C179=""),"Invalid - Could Not Parse", IF(AND(ISNUMBER(B179)=FALSE, C179&lt;&gt;""),"Text - Converted to Date", IF(ISNUMBER(B179),"Valid","Check"))))</f>
        <v>Text - Converted to Date</v>
      </c>
      <c r="E179" s="5">
        <f t="shared" si="17"/>
        <v>5</v>
      </c>
      <c r="F179" s="5">
        <f t="shared" si="18"/>
        <v>2024</v>
      </c>
      <c r="G179" s="3" t="s">
        <v>3656</v>
      </c>
      <c r="H179" s="9">
        <f>IFERROR(DATEVALUE(TEXT(G179,"DD/MM/YYYY")), IF(ISNUMBER(G179), G179, ""))</f>
        <v>45446</v>
      </c>
      <c r="I179" s="9" t="str">
        <f>IF(G179="","Missing", IF(AND(ISNUMBER(G179)=FALSE, H179=""),"Invalid - Could Not Parse", IF(AND(ISNUMBER(G179)=FALSE, H179&lt;&gt;""),"Text - Converted to Date", IF(ISNUMBER(G179),"Valid","Check"))))</f>
        <v>Text - Converted to Date</v>
      </c>
      <c r="J179" s="9" t="str">
        <f>IF(OR(C179="", H179=""), "Cannot Check - Date Missing", IF(H179&lt;C179, "Invalid - Ship Before Order", "Valid"))</f>
        <v>Valid</v>
      </c>
      <c r="K179" s="5">
        <f>IF(OR(C179="", H179=""), "", IF(H179&lt;C179, "", H179-C179))</f>
        <v>6</v>
      </c>
      <c r="L179" s="3" t="s">
        <v>3657</v>
      </c>
      <c r="M179" s="3" t="s">
        <v>83</v>
      </c>
      <c r="N179" s="4" t="str">
        <f>TRIM(SUBSTITUTE(M179,"_"," "))</f>
        <v>Vikram Iyer</v>
      </c>
      <c r="O179" s="3" t="s">
        <v>108</v>
      </c>
      <c r="P179" s="6" t="str">
        <f>PROPER(TRIM(SUBSTITUTE(O179,".","")))</f>
        <v>Corporate</v>
      </c>
      <c r="Q179" s="3" t="s">
        <v>27</v>
      </c>
      <c r="R179" s="7" t="str">
        <f>PROPER(TRIM(SUBSTITUTE(Q179,"  "," ")))</f>
        <v>North</v>
      </c>
      <c r="S179" s="3" t="s">
        <v>28</v>
      </c>
      <c r="T179" s="6" t="str">
        <f>PROPER(TRIM(SUBSTITUTE(S179,"  "," ")))</f>
        <v>Rajasthan</v>
      </c>
      <c r="U179" s="3" t="s">
        <v>29</v>
      </c>
      <c r="V179" s="6" t="str">
        <f>PROPER(TRIM(SUBSTITUTE(U179,"  "," ")))</f>
        <v>Jaipur</v>
      </c>
      <c r="W179" s="3" t="s">
        <v>86</v>
      </c>
      <c r="X179" s="6" t="str">
        <f>PROPER(TRIM(SUBSTITUTE(W179,"  "," ")))</f>
        <v>Technology</v>
      </c>
      <c r="Y179" s="3" t="s">
        <v>94</v>
      </c>
      <c r="Z179" s="6" t="str">
        <f>PROPER(TRIM(SUBSTITUTE(Y179,"  "," ")))</f>
        <v>Copiers</v>
      </c>
      <c r="AA179" s="3" t="s">
        <v>3658</v>
      </c>
      <c r="AB179" s="3" t="s">
        <v>33</v>
      </c>
      <c r="AC179" s="6" t="str">
        <f>PROPER(TRIM(SUBSTITUTE(AB179,"  "," ")))</f>
        <v>Second Class</v>
      </c>
      <c r="AD179" s="3">
        <v>5</v>
      </c>
      <c r="AE179" s="3">
        <v>4302.32</v>
      </c>
      <c r="AF179" s="3">
        <v>0</v>
      </c>
      <c r="AG179" s="17">
        <v>0</v>
      </c>
      <c r="AH179" s="6" t="str">
        <f t="shared" si="19"/>
        <v>Valid</v>
      </c>
      <c r="AI179" s="3">
        <v>21511.599999999999</v>
      </c>
      <c r="AJ179" s="3">
        <v>15408.47</v>
      </c>
      <c r="AK179" s="3">
        <v>6103.13</v>
      </c>
      <c r="AL179" s="3" t="s">
        <v>34</v>
      </c>
      <c r="AM179" s="6" t="str">
        <f>PROPER(TRIM(SUBSTITUTE(AL179,".","")))</f>
        <v>Paid</v>
      </c>
      <c r="AN179" s="3" t="s">
        <v>35</v>
      </c>
      <c r="AO179" s="8" t="str">
        <f>PROPER(TRIM(SUBSTITUTE(AN179,".","")))</f>
        <v>Completed</v>
      </c>
      <c r="AP179" t="str">
        <f>IF(COUNTIF($A$2:$A$933, A179) &gt; 1, "Duplicate ID", "Unique")</f>
        <v>Unique</v>
      </c>
      <c r="AR179">
        <f t="shared" si="20"/>
        <v>21511.599999999999</v>
      </c>
      <c r="AS179">
        <f t="shared" si="21"/>
        <v>6103.1299999999992</v>
      </c>
      <c r="AT179" s="15">
        <f t="shared" si="22"/>
        <v>0.28371343833094703</v>
      </c>
      <c r="AU179" t="str">
        <f t="shared" si="23"/>
        <v>Clean</v>
      </c>
      <c r="AV179" s="8" t="str">
        <f t="shared" si="24"/>
        <v>Active</v>
      </c>
    </row>
    <row r="180" spans="1:48">
      <c r="A180" s="3" t="s">
        <v>272</v>
      </c>
      <c r="B180" s="3" t="s">
        <v>273</v>
      </c>
      <c r="C180" s="9">
        <f>IFERROR(DATEVALUE(TEXT(B180,"DD/MM/YYYY")), IF(ISNUMBER(B180), B180, ""))</f>
        <v>45441</v>
      </c>
      <c r="D180" s="9" t="str">
        <f>IF(B180="","Missing", IF(AND(ISNUMBER(B180)=FALSE, C180=""),"Invalid - Could Not Parse", IF(AND(ISNUMBER(B180)=FALSE, C180&lt;&gt;""),"Text - Converted to Date", IF(ISNUMBER(B180),"Valid","Check"))))</f>
        <v>Text - Converted to Date</v>
      </c>
      <c r="E180" s="5">
        <f t="shared" si="17"/>
        <v>5</v>
      </c>
      <c r="F180" s="5">
        <f t="shared" si="18"/>
        <v>2024</v>
      </c>
      <c r="G180" s="3" t="s">
        <v>274</v>
      </c>
      <c r="H180" s="9">
        <f>IFERROR(DATEVALUE(TEXT(G180,"DD/MM/YYYY")), IF(ISNUMBER(G180), G180, ""))</f>
        <v>45441</v>
      </c>
      <c r="I180" s="9" t="str">
        <f>IF(G180="","Missing", IF(AND(ISNUMBER(G180)=FALSE, H180=""),"Invalid - Could Not Parse", IF(AND(ISNUMBER(G180)=FALSE, H180&lt;&gt;""),"Text - Converted to Date", IF(ISNUMBER(G180),"Valid","Check"))))</f>
        <v>Text - Converted to Date</v>
      </c>
      <c r="J180" s="9" t="str">
        <f>IF(OR(C180="", H180=""), "Cannot Check - Date Missing", IF(H180&lt;C180, "Invalid - Ship Before Order", "Valid"))</f>
        <v>Valid</v>
      </c>
      <c r="K180" s="5">
        <f>IF(OR(C180="", H180=""), "", IF(H180&lt;C180, "", H180-C180))</f>
        <v>0</v>
      </c>
      <c r="L180" s="3" t="s">
        <v>275</v>
      </c>
      <c r="M180" s="3" t="s">
        <v>168</v>
      </c>
      <c r="N180" s="4" t="str">
        <f>TRIM(SUBSTITUTE(M180,"_"," "))</f>
        <v>Sneha Kapoor</v>
      </c>
      <c r="O180" s="3" t="s">
        <v>41</v>
      </c>
      <c r="P180" s="6" t="str">
        <f>PROPER(TRIM(SUBSTITUTE(O180,".","")))</f>
        <v>Small Business</v>
      </c>
      <c r="Q180" s="3" t="s">
        <v>73</v>
      </c>
      <c r="R180" s="7" t="str">
        <f>PROPER(TRIM(SUBSTITUTE(Q180,"  "," ")))</f>
        <v>West</v>
      </c>
      <c r="S180" s="3" t="s">
        <v>235</v>
      </c>
      <c r="T180" s="6" t="str">
        <f>PROPER(TRIM(SUBSTITUTE(S180,"  "," ")))</f>
        <v>Gujarat</v>
      </c>
      <c r="U180" s="3" t="s">
        <v>236</v>
      </c>
      <c r="V180" s="6" t="str">
        <f>PROPER(TRIM(SUBSTITUTE(U180,"  "," ")))</f>
        <v>Ahmedabad</v>
      </c>
      <c r="W180" s="3" t="s">
        <v>45</v>
      </c>
      <c r="X180" s="6" t="str">
        <f>PROPER(TRIM(SUBSTITUTE(W180,"  "," ")))</f>
        <v>Furniture</v>
      </c>
      <c r="Y180" s="3" t="s">
        <v>204</v>
      </c>
      <c r="Z180" s="6" t="str">
        <f>PROPER(TRIM(SUBSTITUTE(Y180,"  "," ")))</f>
        <v>Bookcases</v>
      </c>
      <c r="AA180" s="3" t="s">
        <v>276</v>
      </c>
      <c r="AB180" s="3" t="s">
        <v>33</v>
      </c>
      <c r="AC180" s="6" t="str">
        <f>PROPER(TRIM(SUBSTITUTE(AB180,"  "," ")))</f>
        <v>Second Class</v>
      </c>
      <c r="AD180" s="3">
        <v>8</v>
      </c>
      <c r="AE180" s="3">
        <v>2507.12</v>
      </c>
      <c r="AF180" s="3">
        <v>0.05</v>
      </c>
      <c r="AG180" s="17">
        <v>0.05</v>
      </c>
      <c r="AH180" s="6" t="str">
        <f t="shared" si="19"/>
        <v>Valid</v>
      </c>
      <c r="AI180" s="3">
        <v>19054.11</v>
      </c>
      <c r="AJ180" s="3">
        <v>15313.83</v>
      </c>
      <c r="AK180" s="3">
        <v>3740.28</v>
      </c>
      <c r="AL180" s="3" t="s">
        <v>137</v>
      </c>
      <c r="AM180" s="6" t="str">
        <f>PROPER(TRIM(SUBSTITUTE(AL180,".","")))</f>
        <v>Pending</v>
      </c>
      <c r="AN180" s="3" t="s">
        <v>125</v>
      </c>
      <c r="AO180" s="8" t="str">
        <f>PROPER(TRIM(SUBSTITUTE(AN180,".","")))</f>
        <v>Returned</v>
      </c>
      <c r="AP180" t="str">
        <f>IF(COUNTIF($A$2:$A$933, A180) &gt; 1, "Duplicate ID", "Unique")</f>
        <v>Unique</v>
      </c>
      <c r="AR180">
        <f t="shared" si="20"/>
        <v>19054.111999999997</v>
      </c>
      <c r="AS180">
        <f t="shared" si="21"/>
        <v>3740.2819999999974</v>
      </c>
      <c r="AT180" s="15">
        <f t="shared" si="22"/>
        <v>0.19629789097492437</v>
      </c>
      <c r="AU180" t="str">
        <f t="shared" si="23"/>
        <v>Clean</v>
      </c>
      <c r="AV180" s="8" t="str">
        <f t="shared" si="24"/>
        <v>Active</v>
      </c>
    </row>
    <row r="181" spans="1:48">
      <c r="A181" s="3" t="s">
        <v>2645</v>
      </c>
      <c r="B181" s="3" t="s">
        <v>274</v>
      </c>
      <c r="C181" s="9">
        <f>IFERROR(DATEVALUE(TEXT(B181,"DD/MM/YYYY")), IF(ISNUMBER(B181), B181, ""))</f>
        <v>45441</v>
      </c>
      <c r="D181" s="9" t="str">
        <f>IF(B181="","Missing", IF(AND(ISNUMBER(B181)=FALSE, C181=""),"Invalid - Could Not Parse", IF(AND(ISNUMBER(B181)=FALSE, C181&lt;&gt;""),"Text - Converted to Date", IF(ISNUMBER(B181),"Valid","Check"))))</f>
        <v>Text - Converted to Date</v>
      </c>
      <c r="E181" s="5">
        <f t="shared" si="17"/>
        <v>5</v>
      </c>
      <c r="F181" s="5">
        <f t="shared" si="18"/>
        <v>2024</v>
      </c>
      <c r="G181" s="3" t="s">
        <v>273</v>
      </c>
      <c r="H181" s="9">
        <f>IFERROR(DATEVALUE(TEXT(G181,"DD/MM/YYYY")), IF(ISNUMBER(G181), G181, ""))</f>
        <v>45441</v>
      </c>
      <c r="I181" s="9" t="str">
        <f>IF(G181="","Missing", IF(AND(ISNUMBER(G181)=FALSE, H181=""),"Invalid - Could Not Parse", IF(AND(ISNUMBER(G181)=FALSE, H181&lt;&gt;""),"Text - Converted to Date", IF(ISNUMBER(G181),"Valid","Check"))))</f>
        <v>Text - Converted to Date</v>
      </c>
      <c r="J181" s="9" t="str">
        <f>IF(OR(C181="", H181=""), "Cannot Check - Date Missing", IF(H181&lt;C181, "Invalid - Ship Before Order", "Valid"))</f>
        <v>Valid</v>
      </c>
      <c r="K181" s="5">
        <f>IF(OR(C181="", H181=""), "", IF(H181&lt;C181, "", H181-C181))</f>
        <v>0</v>
      </c>
      <c r="L181" s="3" t="s">
        <v>2646</v>
      </c>
      <c r="M181" s="3" t="s">
        <v>180</v>
      </c>
      <c r="N181" s="4" t="str">
        <f>TRIM(SUBSTITUTE(M181,"_"," "))</f>
        <v>Rohan Mehta</v>
      </c>
      <c r="O181" s="3" t="s">
        <v>108</v>
      </c>
      <c r="P181" s="6" t="str">
        <f>PROPER(TRIM(SUBSTITUTE(O181,".","")))</f>
        <v>Corporate</v>
      </c>
      <c r="Q181" s="3" t="s">
        <v>42</v>
      </c>
      <c r="R181" s="7" t="str">
        <f>PROPER(TRIM(SUBSTITUTE(Q181,"  "," ")))</f>
        <v>East</v>
      </c>
      <c r="S181" s="3" t="s">
        <v>186</v>
      </c>
      <c r="T181" s="6" t="str">
        <f>PROPER(TRIM(SUBSTITUTE(S181,"  "," ")))</f>
        <v>Bihar</v>
      </c>
      <c r="U181" s="3" t="s">
        <v>187</v>
      </c>
      <c r="V181" s="6" t="str">
        <f>PROPER(TRIM(SUBSTITUTE(U181,"  "," ")))</f>
        <v>Patna</v>
      </c>
      <c r="W181" s="3" t="s">
        <v>45</v>
      </c>
      <c r="X181" s="6" t="str">
        <f>PROPER(TRIM(SUBSTITUTE(W181,"  "," ")))</f>
        <v>Furniture</v>
      </c>
      <c r="Y181" s="3" t="s">
        <v>204</v>
      </c>
      <c r="Z181" s="6" t="str">
        <f>PROPER(TRIM(SUBSTITUTE(Y181,"  "," ")))</f>
        <v>Bookcases</v>
      </c>
      <c r="AA181" s="3" t="s">
        <v>2647</v>
      </c>
      <c r="AB181" s="3" t="s">
        <v>48</v>
      </c>
      <c r="AC181" s="6" t="str">
        <f>PROPER(TRIM(SUBSTITUTE(AB181,"  "," ")))</f>
        <v>Same Day</v>
      </c>
      <c r="AD181" s="3">
        <v>1</v>
      </c>
      <c r="AE181" s="3">
        <v>1072.01</v>
      </c>
      <c r="AF181" s="3">
        <v>0</v>
      </c>
      <c r="AG181" s="17">
        <v>0</v>
      </c>
      <c r="AH181" s="6" t="str">
        <f t="shared" si="19"/>
        <v>Valid</v>
      </c>
      <c r="AI181" s="3">
        <v>1072.01</v>
      </c>
      <c r="AJ181" s="3">
        <v>852.62</v>
      </c>
      <c r="AK181" s="3">
        <v>219.39</v>
      </c>
      <c r="AL181" s="3" t="s">
        <v>137</v>
      </c>
      <c r="AM181" s="6" t="str">
        <f>PROPER(TRIM(SUBSTITUTE(AL181,".","")))</f>
        <v>Pending</v>
      </c>
      <c r="AN181" s="3" t="s">
        <v>78</v>
      </c>
      <c r="AO181" s="8" t="str">
        <f>PROPER(TRIM(SUBSTITUTE(AN181,".","")))</f>
        <v>Cancelled</v>
      </c>
      <c r="AP181" t="str">
        <f>IF(COUNTIF($A$2:$A$933, A181) &gt; 1, "Duplicate ID", "Unique")</f>
        <v>Unique</v>
      </c>
      <c r="AR181">
        <f t="shared" si="20"/>
        <v>1072.01</v>
      </c>
      <c r="AS181">
        <f t="shared" si="21"/>
        <v>219.39</v>
      </c>
      <c r="AT181" s="15">
        <f t="shared" si="22"/>
        <v>0.20465294167032022</v>
      </c>
      <c r="AU181" t="str">
        <f t="shared" si="23"/>
        <v>Clean</v>
      </c>
      <c r="AV181" s="8" t="str">
        <f t="shared" si="24"/>
        <v>Cancelled</v>
      </c>
    </row>
    <row r="182" spans="1:48">
      <c r="A182" s="3" t="s">
        <v>2825</v>
      </c>
      <c r="B182" s="3" t="s">
        <v>273</v>
      </c>
      <c r="C182" s="9">
        <f>IFERROR(DATEVALUE(TEXT(B182,"DD/MM/YYYY")), IF(ISNUMBER(B182), B182, ""))</f>
        <v>45441</v>
      </c>
      <c r="D182" s="9" t="str">
        <f>IF(B182="","Missing", IF(AND(ISNUMBER(B182)=FALSE, C182=""),"Invalid - Could Not Parse", IF(AND(ISNUMBER(B182)=FALSE, C182&lt;&gt;""),"Text - Converted to Date", IF(ISNUMBER(B182),"Valid","Check"))))</f>
        <v>Text - Converted to Date</v>
      </c>
      <c r="E182" s="5">
        <f t="shared" si="17"/>
        <v>5</v>
      </c>
      <c r="F182" s="5">
        <f t="shared" si="18"/>
        <v>2024</v>
      </c>
      <c r="G182" s="3" t="s">
        <v>2826</v>
      </c>
      <c r="H182" s="9">
        <f>IFERROR(DATEVALUE(TEXT(G182,"DD/MM/YYYY")), IF(ISNUMBER(G182), G182, ""))</f>
        <v>45441</v>
      </c>
      <c r="I182" s="9" t="str">
        <f>IF(G182="","Missing", IF(AND(ISNUMBER(G182)=FALSE, H182=""),"Invalid - Could Not Parse", IF(AND(ISNUMBER(G182)=FALSE, H182&lt;&gt;""),"Text - Converted to Date", IF(ISNUMBER(G182),"Valid","Check"))))</f>
        <v>Text - Converted to Date</v>
      </c>
      <c r="J182" s="9" t="str">
        <f>IF(OR(C182="", H182=""), "Cannot Check - Date Missing", IF(H182&lt;C182, "Invalid - Ship Before Order", "Valid"))</f>
        <v>Valid</v>
      </c>
      <c r="K182" s="5">
        <f>IF(OR(C182="", H182=""), "", IF(H182&lt;C182, "", H182-C182))</f>
        <v>0</v>
      </c>
      <c r="L182" s="3" t="s">
        <v>2827</v>
      </c>
      <c r="M182" s="3" t="s">
        <v>162</v>
      </c>
      <c r="N182" s="4" t="str">
        <f>TRIM(SUBSTITUTE(M182,"_"," "))</f>
        <v>Aarav Sharma</v>
      </c>
      <c r="O182" s="3" t="s">
        <v>115</v>
      </c>
      <c r="P182" s="6" t="str">
        <f>PROPER(TRIM(SUBSTITUTE(O182,".","")))</f>
        <v>Home Office</v>
      </c>
      <c r="Q182" s="3" t="s">
        <v>27</v>
      </c>
      <c r="R182" s="7" t="str">
        <f>PROPER(TRIM(SUBSTITUTE(Q182,"  "," ")))</f>
        <v>North</v>
      </c>
      <c r="S182" s="3" t="s">
        <v>506</v>
      </c>
      <c r="T182" s="6" t="str">
        <f>PROPER(TRIM(SUBSTITUTE(S182,"  "," ")))</f>
        <v>Delhi</v>
      </c>
      <c r="U182" s="3" t="s">
        <v>507</v>
      </c>
      <c r="V182" s="6" t="str">
        <f>PROPER(TRIM(SUBSTITUTE(U182,"  "," ")))</f>
        <v>New Delhi</v>
      </c>
      <c r="W182" s="3" t="s">
        <v>45</v>
      </c>
      <c r="X182" s="6" t="str">
        <f>PROPER(TRIM(SUBSTITUTE(W182,"  "," ")))</f>
        <v>Furniture</v>
      </c>
      <c r="Y182" s="3" t="s">
        <v>76</v>
      </c>
      <c r="Z182" s="6" t="str">
        <f>PROPER(TRIM(SUBSTITUTE(Y182,"  "," ")))</f>
        <v>Chairs</v>
      </c>
      <c r="AA182" s="3" t="s">
        <v>2828</v>
      </c>
      <c r="AB182" s="3" t="s">
        <v>48</v>
      </c>
      <c r="AC182" s="6" t="str">
        <f>PROPER(TRIM(SUBSTITUTE(AB182,"  "," ")))</f>
        <v>Same Day</v>
      </c>
      <c r="AD182" s="3">
        <v>6</v>
      </c>
      <c r="AE182" s="3">
        <v>3430.35</v>
      </c>
      <c r="AF182" s="3">
        <v>0</v>
      </c>
      <c r="AG182" s="17">
        <v>0</v>
      </c>
      <c r="AH182" s="6" t="str">
        <f t="shared" si="19"/>
        <v>Valid</v>
      </c>
      <c r="AI182" s="3">
        <v>20582.099999999999</v>
      </c>
      <c r="AJ182" s="3">
        <v>15897.65</v>
      </c>
      <c r="AK182" s="3">
        <v>4684.45</v>
      </c>
      <c r="AL182" s="3" t="s">
        <v>137</v>
      </c>
      <c r="AM182" s="6" t="str">
        <f>PROPER(TRIM(SUBSTITUTE(AL182,".","")))</f>
        <v>Pending</v>
      </c>
      <c r="AN182" s="3" t="s">
        <v>78</v>
      </c>
      <c r="AO182" s="8" t="str">
        <f>PROPER(TRIM(SUBSTITUTE(AN182,".","")))</f>
        <v>Cancelled</v>
      </c>
      <c r="AP182" t="str">
        <f>IF(COUNTIF($A$2:$A$933, A182) &gt; 1, "Duplicate ID", "Unique")</f>
        <v>Unique</v>
      </c>
      <c r="AR182">
        <f t="shared" si="20"/>
        <v>20582.099999999999</v>
      </c>
      <c r="AS182">
        <f t="shared" si="21"/>
        <v>4684.4499999999989</v>
      </c>
      <c r="AT182" s="15">
        <f t="shared" si="22"/>
        <v>0.22759825285077806</v>
      </c>
      <c r="AU182" t="str">
        <f t="shared" si="23"/>
        <v>Clean</v>
      </c>
      <c r="AV182" s="8" t="str">
        <f t="shared" si="24"/>
        <v>Cancelled</v>
      </c>
    </row>
    <row r="183" spans="1:48">
      <c r="A183" s="3" t="s">
        <v>3202</v>
      </c>
      <c r="B183" s="3" t="s">
        <v>274</v>
      </c>
      <c r="C183" s="9">
        <f>IFERROR(DATEVALUE(TEXT(B183,"DD/MM/YYYY")), IF(ISNUMBER(B183), B183, ""))</f>
        <v>45441</v>
      </c>
      <c r="D183" s="9" t="str">
        <f>IF(B183="","Missing", IF(AND(ISNUMBER(B183)=FALSE, C183=""),"Invalid - Could Not Parse", IF(AND(ISNUMBER(B183)=FALSE, C183&lt;&gt;""),"Text - Converted to Date", IF(ISNUMBER(B183),"Valid","Check"))))</f>
        <v>Text - Converted to Date</v>
      </c>
      <c r="E183" s="5">
        <f t="shared" si="17"/>
        <v>5</v>
      </c>
      <c r="F183" s="5">
        <f t="shared" si="18"/>
        <v>2024</v>
      </c>
      <c r="G183" s="3" t="s">
        <v>577</v>
      </c>
      <c r="H183" s="9">
        <f>IFERROR(DATEVALUE(TEXT(G183,"DD/MM/YYYY")), IF(ISNUMBER(G183), G183, ""))</f>
        <v>45448</v>
      </c>
      <c r="I183" s="9" t="str">
        <f>IF(G183="","Missing", IF(AND(ISNUMBER(G183)=FALSE, H183=""),"Invalid - Could Not Parse", IF(AND(ISNUMBER(G183)=FALSE, H183&lt;&gt;""),"Text - Converted to Date", IF(ISNUMBER(G183),"Valid","Check"))))</f>
        <v>Text - Converted to Date</v>
      </c>
      <c r="J183" s="9" t="str">
        <f>IF(OR(C183="", H183=""), "Cannot Check - Date Missing", IF(H183&lt;C183, "Invalid - Ship Before Order", "Valid"))</f>
        <v>Valid</v>
      </c>
      <c r="K183" s="5">
        <f>IF(OR(C183="", H183=""), "", IF(H183&lt;C183, "", H183-C183))</f>
        <v>7</v>
      </c>
      <c r="L183" s="3" t="s">
        <v>3203</v>
      </c>
      <c r="M183" s="3" t="s">
        <v>366</v>
      </c>
      <c r="N183" s="4" t="str">
        <f>TRIM(SUBSTITUTE(M183,"_"," "))</f>
        <v>Kabir Singh</v>
      </c>
      <c r="O183" s="3" t="s">
        <v>108</v>
      </c>
      <c r="P183" s="6" t="str">
        <f>PROPER(TRIM(SUBSTITUTE(O183,".","")))</f>
        <v>Corporate</v>
      </c>
      <c r="Q183" s="3" t="s">
        <v>62</v>
      </c>
      <c r="R183" s="7" t="str">
        <f>PROPER(TRIM(SUBSTITUTE(Q183,"  "," ")))</f>
        <v>South</v>
      </c>
      <c r="S183" s="3" t="s">
        <v>339</v>
      </c>
      <c r="T183" s="6" t="str">
        <f>PROPER(TRIM(SUBSTITUTE(S183,"  "," ")))</f>
        <v>Tamil Nadu</v>
      </c>
      <c r="U183" s="3" t="s">
        <v>340</v>
      </c>
      <c r="V183" s="6" t="str">
        <f>PROPER(TRIM(SUBSTITUTE(U183,"  "," ")))</f>
        <v>Chennai</v>
      </c>
      <c r="W183" s="3" t="s">
        <v>86</v>
      </c>
      <c r="X183" s="6" t="str">
        <f>PROPER(TRIM(SUBSTITUTE(W183,"  "," ")))</f>
        <v>Technology</v>
      </c>
      <c r="Y183" s="3" t="s">
        <v>87</v>
      </c>
      <c r="Z183" s="6" t="str">
        <f>PROPER(TRIM(SUBSTITUTE(Y183,"  "," ")))</f>
        <v>Accessories</v>
      </c>
      <c r="AA183" s="3" t="s">
        <v>3204</v>
      </c>
      <c r="AB183" s="3" t="s">
        <v>56</v>
      </c>
      <c r="AC183" s="6" t="str">
        <f>PROPER(TRIM(SUBSTITUTE(AB183,"  "," ")))</f>
        <v>First Class</v>
      </c>
      <c r="AD183" s="3">
        <v>4</v>
      </c>
      <c r="AE183" s="3">
        <v>3700.24</v>
      </c>
      <c r="AF183" s="3">
        <v>0</v>
      </c>
      <c r="AG183" s="17">
        <v>0</v>
      </c>
      <c r="AH183" s="6" t="str">
        <f t="shared" si="19"/>
        <v>Valid</v>
      </c>
      <c r="AI183" s="3">
        <v>14800.96</v>
      </c>
      <c r="AJ183" s="3">
        <v>12048.39</v>
      </c>
      <c r="AK183" s="3">
        <v>2752.57</v>
      </c>
      <c r="AL183" s="3" t="s">
        <v>34</v>
      </c>
      <c r="AM183" s="6" t="str">
        <f>PROPER(TRIM(SUBSTITUTE(AL183,".","")))</f>
        <v>Paid</v>
      </c>
      <c r="AN183" s="3" t="s">
        <v>35</v>
      </c>
      <c r="AO183" s="8" t="str">
        <f>PROPER(TRIM(SUBSTITUTE(AN183,".","")))</f>
        <v>Completed</v>
      </c>
      <c r="AP183" t="str">
        <f>IF(COUNTIF($A$2:$A$933, A183) &gt; 1, "Duplicate ID", "Unique")</f>
        <v>Unique</v>
      </c>
      <c r="AR183">
        <f t="shared" si="20"/>
        <v>14800.96</v>
      </c>
      <c r="AS183">
        <f t="shared" si="21"/>
        <v>2752.5699999999997</v>
      </c>
      <c r="AT183" s="15">
        <f t="shared" si="22"/>
        <v>0.18597239638509933</v>
      </c>
      <c r="AU183" t="str">
        <f t="shared" si="23"/>
        <v>Clean</v>
      </c>
      <c r="AV183" s="8" t="str">
        <f t="shared" si="24"/>
        <v>Active</v>
      </c>
    </row>
    <row r="184" spans="1:48">
      <c r="A184" s="3" t="s">
        <v>3473</v>
      </c>
      <c r="B184" s="3" t="s">
        <v>3474</v>
      </c>
      <c r="C184" s="9">
        <f>IFERROR(DATEVALUE(TEXT(B184,"DD/MM/YYYY")), IF(ISNUMBER(B184), B184, ""))</f>
        <v>45442</v>
      </c>
      <c r="D184" s="9" t="str">
        <f>IF(B184="","Missing", IF(AND(ISNUMBER(B184)=FALSE, C184=""),"Invalid - Could Not Parse", IF(AND(ISNUMBER(B184)=FALSE, C184&lt;&gt;""),"Text - Converted to Date", IF(ISNUMBER(B184),"Valid","Check"))))</f>
        <v>Text - Converted to Date</v>
      </c>
      <c r="E184" s="5">
        <f t="shared" si="17"/>
        <v>5</v>
      </c>
      <c r="F184" s="5">
        <f t="shared" si="18"/>
        <v>2024</v>
      </c>
      <c r="G184" s="3" t="s">
        <v>3475</v>
      </c>
      <c r="H184" s="9">
        <f>IFERROR(DATEVALUE(MID(G184,4,2) &amp; "/" &amp; LEFT(G184,2) &amp; "/" &amp; RIGHT(G184,4)), IF(ISNUMBER(G184), G184, IFERROR(DATEVALUE(G184), "")))</f>
        <v>45442</v>
      </c>
      <c r="I184" s="9" t="str">
        <f>IF(G184="","Missing", IF(AND(ISNUMBER(G184)=FALSE, H184=""),"Invalid - Could Not Parse", IF(AND(ISNUMBER(G184)=FALSE, H184&lt;&gt;""),"Text - Converted to Date", IF(ISNUMBER(G184),"Valid","Check"))))</f>
        <v>Text - Converted to Date</v>
      </c>
      <c r="J184" s="9" t="str">
        <f>IF(OR(C184="", H184=""), "Cannot Check - Date Missing", IF(H184&lt;C184, "Invalid - Ship Before Order", "Valid"))</f>
        <v>Valid</v>
      </c>
      <c r="K184" s="5">
        <f>IF(OR(C184="", H184=""), "", IF(H184&lt;C184, "", H184-C184))</f>
        <v>0</v>
      </c>
      <c r="L184" s="3" t="s">
        <v>3476</v>
      </c>
      <c r="M184" s="3" t="s">
        <v>210</v>
      </c>
      <c r="N184" s="4" t="str">
        <f>TRIM(SUBSTITUTE(M184,"_"," "))</f>
        <v>Diya Patel</v>
      </c>
      <c r="O184" s="3" t="s">
        <v>115</v>
      </c>
      <c r="P184" s="6" t="str">
        <f>PROPER(TRIM(SUBSTITUTE(O184,".","")))</f>
        <v>Home Office</v>
      </c>
      <c r="Q184" s="3" t="s">
        <v>27</v>
      </c>
      <c r="R184" s="7" t="str">
        <f>PROPER(TRIM(SUBSTITUTE(Q184,"  "," ")))</f>
        <v>North</v>
      </c>
      <c r="S184" s="3" t="s">
        <v>323</v>
      </c>
      <c r="T184" s="6" t="str">
        <f>PROPER(TRIM(SUBSTITUTE(S184,"  "," ")))</f>
        <v>Haryana</v>
      </c>
      <c r="U184" s="3" t="s">
        <v>324</v>
      </c>
      <c r="V184" s="6" t="str">
        <f>PROPER(TRIM(SUBSTITUTE(U184,"  "," ")))</f>
        <v>Gurugram</v>
      </c>
      <c r="W184" s="3" t="s">
        <v>86</v>
      </c>
      <c r="X184" s="6" t="str">
        <f>PROPER(TRIM(SUBSTITUTE(W184,"  "," ")))</f>
        <v>Technology</v>
      </c>
      <c r="Y184" s="3" t="s">
        <v>223</v>
      </c>
      <c r="Z184" s="6" t="str">
        <f>PROPER(TRIM(SUBSTITUTE(Y184,"  "," ")))</f>
        <v>Phones</v>
      </c>
      <c r="AA184" s="3" t="s">
        <v>3477</v>
      </c>
      <c r="AB184" s="3" t="s">
        <v>33</v>
      </c>
      <c r="AC184" s="6" t="str">
        <f>PROPER(TRIM(SUBSTITUTE(AB184,"  "," ")))</f>
        <v>Second Class</v>
      </c>
      <c r="AD184" s="3">
        <v>1</v>
      </c>
      <c r="AE184" s="3">
        <v>3848.04</v>
      </c>
      <c r="AF184" s="3">
        <v>0.25</v>
      </c>
      <c r="AG184" s="17">
        <v>0.25</v>
      </c>
      <c r="AH184" s="6" t="str">
        <f t="shared" si="19"/>
        <v>Valid</v>
      </c>
      <c r="AI184" s="3">
        <v>2886.03</v>
      </c>
      <c r="AJ184" s="3">
        <v>2064.83</v>
      </c>
      <c r="AK184" s="3">
        <v>821.2</v>
      </c>
      <c r="AL184" s="3" t="s">
        <v>34</v>
      </c>
      <c r="AM184" s="6" t="str">
        <f>PROPER(TRIM(SUBSTITUTE(AL184,".","")))</f>
        <v>Paid</v>
      </c>
      <c r="AN184" s="3" t="s">
        <v>35</v>
      </c>
      <c r="AO184" s="8" t="str">
        <f>PROPER(TRIM(SUBSTITUTE(AN184,".","")))</f>
        <v>Completed</v>
      </c>
      <c r="AP184" t="str">
        <f>IF(COUNTIF($A$2:$A$933, A184) &gt; 1, "Duplicate ID", "Unique")</f>
        <v>Unique</v>
      </c>
      <c r="AR184">
        <f t="shared" si="20"/>
        <v>2886.0299999999997</v>
      </c>
      <c r="AS184">
        <f t="shared" si="21"/>
        <v>821.19999999999982</v>
      </c>
      <c r="AT184" s="15">
        <f t="shared" si="22"/>
        <v>0.28454312671732446</v>
      </c>
      <c r="AU184" t="str">
        <f t="shared" si="23"/>
        <v>Clean</v>
      </c>
      <c r="AV184" s="8" t="str">
        <f t="shared" si="24"/>
        <v>Active</v>
      </c>
    </row>
    <row r="185" spans="1:48">
      <c r="A185" s="3" t="s">
        <v>790</v>
      </c>
      <c r="B185" s="3" t="s">
        <v>791</v>
      </c>
      <c r="C185" s="9">
        <f>IFERROR(DATEVALUE(TEXT(B185,"DD/MM/YYYY")), IF(ISNUMBER(B185), B185, ""))</f>
        <v>45443</v>
      </c>
      <c r="D185" s="9" t="str">
        <f>IF(B185="","Missing", IF(AND(ISNUMBER(B185)=FALSE, C185=""),"Invalid - Could Not Parse", IF(AND(ISNUMBER(B185)=FALSE, C185&lt;&gt;""),"Text - Converted to Date", IF(ISNUMBER(B185),"Valid","Check"))))</f>
        <v>Text - Converted to Date</v>
      </c>
      <c r="E185" s="5">
        <f t="shared" si="17"/>
        <v>5</v>
      </c>
      <c r="F185" s="5">
        <f t="shared" si="18"/>
        <v>2024</v>
      </c>
      <c r="G185" s="3" t="s">
        <v>792</v>
      </c>
      <c r="H185" s="9">
        <f>IFERROR(DATEVALUE(TEXT(G185,"DD/MM/YYYY")), IF(ISNUMBER(G185), G185, ""))</f>
        <v>45444</v>
      </c>
      <c r="I185" s="9" t="str">
        <f>IF(G185="","Missing", IF(AND(ISNUMBER(G185)=FALSE, H185=""),"Invalid - Could Not Parse", IF(AND(ISNUMBER(G185)=FALSE, H185&lt;&gt;""),"Text - Converted to Date", IF(ISNUMBER(G185),"Valid","Check"))))</f>
        <v>Text - Converted to Date</v>
      </c>
      <c r="J185" s="9" t="str">
        <f>IF(OR(C185="", H185=""), "Cannot Check - Date Missing", IF(H185&lt;C185, "Invalid - Ship Before Order", "Valid"))</f>
        <v>Valid</v>
      </c>
      <c r="K185" s="5">
        <f>IF(OR(C185="", H185=""), "", IF(H185&lt;C185, "", H185-C185))</f>
        <v>1</v>
      </c>
      <c r="L185" s="3" t="s">
        <v>793</v>
      </c>
      <c r="M185" s="3" t="s">
        <v>40</v>
      </c>
      <c r="N185" s="4" t="str">
        <f>TRIM(SUBSTITUTE(M185,"_"," "))</f>
        <v>Mira Das</v>
      </c>
      <c r="O185" s="3" t="s">
        <v>108</v>
      </c>
      <c r="P185" s="6" t="str">
        <f>PROPER(TRIM(SUBSTITUTE(O185,".","")))</f>
        <v>Corporate</v>
      </c>
      <c r="Q185" s="3" t="s">
        <v>62</v>
      </c>
      <c r="R185" s="7" t="str">
        <f>PROPER(TRIM(SUBSTITUTE(Q185,"  "," ")))</f>
        <v>South</v>
      </c>
      <c r="S185" s="3" t="s">
        <v>229</v>
      </c>
      <c r="T185" s="6" t="str">
        <f>PROPER(TRIM(SUBSTITUTE(S185,"  "," ")))</f>
        <v>Karnataka</v>
      </c>
      <c r="U185" s="3" t="s">
        <v>230</v>
      </c>
      <c r="V185" s="6" t="str">
        <f>PROPER(TRIM(SUBSTITUTE(U185,"  "," ")))</f>
        <v>Bengaluru</v>
      </c>
      <c r="W185" s="3" t="s">
        <v>45</v>
      </c>
      <c r="X185" s="6" t="str">
        <f>PROPER(TRIM(SUBSTITUTE(W185,"  "," ")))</f>
        <v>Furniture</v>
      </c>
      <c r="Y185" s="3" t="s">
        <v>204</v>
      </c>
      <c r="Z185" s="6" t="str">
        <f>PROPER(TRIM(SUBSTITUTE(Y185,"  "," ")))</f>
        <v>Bookcases</v>
      </c>
      <c r="AA185" s="3" t="s">
        <v>794</v>
      </c>
      <c r="AB185" s="3" t="s">
        <v>48</v>
      </c>
      <c r="AC185" s="6" t="str">
        <f>PROPER(TRIM(SUBSTITUTE(AB185,"  "," ")))</f>
        <v>Same Day</v>
      </c>
      <c r="AD185" s="3">
        <v>3</v>
      </c>
      <c r="AE185" s="3">
        <v>2914.55</v>
      </c>
      <c r="AF185" s="3">
        <v>0</v>
      </c>
      <c r="AG185" s="17">
        <v>0</v>
      </c>
      <c r="AH185" s="6" t="str">
        <f t="shared" si="19"/>
        <v>Valid</v>
      </c>
      <c r="AI185" s="3">
        <v>8743.65</v>
      </c>
      <c r="AJ185" s="3">
        <v>6603.76</v>
      </c>
      <c r="AK185" s="3">
        <v>2139.89</v>
      </c>
      <c r="AL185" s="3" t="s">
        <v>34</v>
      </c>
      <c r="AM185" s="6" t="str">
        <f>PROPER(TRIM(SUBSTITUTE(AL185,".","")))</f>
        <v>Paid</v>
      </c>
      <c r="AN185" s="3" t="s">
        <v>35</v>
      </c>
      <c r="AO185" s="8" t="str">
        <f>PROPER(TRIM(SUBSTITUTE(AN185,".","")))</f>
        <v>Completed</v>
      </c>
      <c r="AP185" t="str">
        <f>IF(COUNTIF($A$2:$A$933, A185) &gt; 1, "Duplicate ID", "Unique")</f>
        <v>Unique</v>
      </c>
      <c r="AR185">
        <f t="shared" si="20"/>
        <v>8743.6500000000015</v>
      </c>
      <c r="AS185">
        <f t="shared" si="21"/>
        <v>2139.8900000000012</v>
      </c>
      <c r="AT185" s="15">
        <f t="shared" si="22"/>
        <v>0.24473646589239059</v>
      </c>
      <c r="AU185" t="str">
        <f t="shared" si="23"/>
        <v>Clean</v>
      </c>
      <c r="AV185" s="8" t="str">
        <f t="shared" si="24"/>
        <v>Active</v>
      </c>
    </row>
    <row r="186" spans="1:48">
      <c r="A186" s="3" t="s">
        <v>3642</v>
      </c>
      <c r="B186" s="3" t="s">
        <v>3643</v>
      </c>
      <c r="C186" s="9">
        <f>IFERROR(DATEVALUE(TEXT(B186,"DD/MM/YYYY")), IF(ISNUMBER(B186), B186, ""))</f>
        <v>45443</v>
      </c>
      <c r="D186" s="9" t="str">
        <f>IF(B186="","Missing", IF(AND(ISNUMBER(B186)=FALSE, C186=""),"Invalid - Could Not Parse", IF(AND(ISNUMBER(B186)=FALSE, C186&lt;&gt;""),"Text - Converted to Date", IF(ISNUMBER(B186),"Valid","Check"))))</f>
        <v>Text - Converted to Date</v>
      </c>
      <c r="E186" s="5">
        <f t="shared" si="17"/>
        <v>5</v>
      </c>
      <c r="F186" s="5">
        <f t="shared" si="18"/>
        <v>2024</v>
      </c>
      <c r="G186" s="3" t="s">
        <v>3644</v>
      </c>
      <c r="H186" s="9">
        <f>IFERROR(DATEVALUE(TEXT(G186,"DD/MM/YYYY")), IF(ISNUMBER(G186), G186, ""))</f>
        <v>45445</v>
      </c>
      <c r="I186" s="9" t="str">
        <f>IF(G186="","Missing", IF(AND(ISNUMBER(G186)=FALSE, H186=""),"Invalid - Could Not Parse", IF(AND(ISNUMBER(G186)=FALSE, H186&lt;&gt;""),"Text - Converted to Date", IF(ISNUMBER(G186),"Valid","Check"))))</f>
        <v>Text - Converted to Date</v>
      </c>
      <c r="J186" s="9" t="str">
        <f>IF(OR(C186="", H186=""), "Cannot Check - Date Missing", IF(H186&lt;C186, "Invalid - Ship Before Order", "Valid"))</f>
        <v>Valid</v>
      </c>
      <c r="K186" s="5">
        <f>IF(OR(C186="", H186=""), "", IF(H186&lt;C186, "", H186-C186))</f>
        <v>2</v>
      </c>
      <c r="L186" s="3" t="s">
        <v>3645</v>
      </c>
      <c r="M186" s="3" t="s">
        <v>148</v>
      </c>
      <c r="N186" s="4" t="str">
        <f>TRIM(SUBSTITUTE(M186,"_"," "))</f>
        <v>Rahul Verma</v>
      </c>
      <c r="O186" s="3" t="s">
        <v>108</v>
      </c>
      <c r="P186" s="6" t="str">
        <f>PROPER(TRIM(SUBSTITUTE(O186,".","")))</f>
        <v>Corporate</v>
      </c>
      <c r="Q186" s="3" t="s">
        <v>62</v>
      </c>
      <c r="R186" s="7" t="str">
        <f>PROPER(TRIM(SUBSTITUTE(Q186,"  "," ")))</f>
        <v>South</v>
      </c>
      <c r="S186" s="3" t="s">
        <v>100</v>
      </c>
      <c r="T186" s="6" t="str">
        <f>PROPER(TRIM(SUBSTITUTE(S186,"  "," ")))</f>
        <v>Andhra Pradesh</v>
      </c>
      <c r="U186" s="3" t="s">
        <v>101</v>
      </c>
      <c r="V186" s="6" t="str">
        <f>PROPER(TRIM(SUBSTITUTE(U186,"  "," ")))</f>
        <v>Vijayawada</v>
      </c>
      <c r="W186" s="3" t="s">
        <v>30</v>
      </c>
      <c r="X186" s="6" t="str">
        <f>PROPER(TRIM(SUBSTITUTE(W186,"  "," ")))</f>
        <v>Office Supplies</v>
      </c>
      <c r="Y186" s="3" t="s">
        <v>54</v>
      </c>
      <c r="Z186" s="6" t="str">
        <f>PROPER(TRIM(SUBSTITUTE(Y186,"  "," ")))</f>
        <v>Art</v>
      </c>
      <c r="AA186" s="3" t="s">
        <v>3646</v>
      </c>
      <c r="AB186" s="3" t="s">
        <v>67</v>
      </c>
      <c r="AC186" s="6" t="str">
        <f>PROPER(TRIM(SUBSTITUTE(AB186,"  "," ")))</f>
        <v>Standard Class</v>
      </c>
      <c r="AD186" s="3">
        <v>8</v>
      </c>
      <c r="AE186" s="3">
        <v>667.59</v>
      </c>
      <c r="AF186" s="3">
        <v>0.2</v>
      </c>
      <c r="AG186" s="17">
        <v>0.2</v>
      </c>
      <c r="AH186" s="6" t="str">
        <f t="shared" si="19"/>
        <v>Valid</v>
      </c>
      <c r="AI186" s="3">
        <v>4272.58</v>
      </c>
      <c r="AJ186" s="3">
        <v>3328.92</v>
      </c>
      <c r="AK186" s="3">
        <v>943.66</v>
      </c>
      <c r="AL186" s="3" t="s">
        <v>34</v>
      </c>
      <c r="AM186" s="6" t="str">
        <f>PROPER(TRIM(SUBSTITUTE(AL186,".","")))</f>
        <v>Paid</v>
      </c>
      <c r="AN186" s="3" t="s">
        <v>35</v>
      </c>
      <c r="AO186" s="8" t="str">
        <f>PROPER(TRIM(SUBSTITUTE(AN186,".","")))</f>
        <v>Completed</v>
      </c>
      <c r="AP186" t="str">
        <f>IF(COUNTIF($A$2:$A$933, A186) &gt; 1, "Duplicate ID", "Unique")</f>
        <v>Unique</v>
      </c>
      <c r="AR186">
        <f t="shared" si="20"/>
        <v>4272.576</v>
      </c>
      <c r="AS186">
        <f t="shared" si="21"/>
        <v>943.65599999999995</v>
      </c>
      <c r="AT186" s="15">
        <f t="shared" si="22"/>
        <v>0.22086347908147214</v>
      </c>
      <c r="AU186" t="str">
        <f t="shared" si="23"/>
        <v>Clean</v>
      </c>
      <c r="AV186" s="8" t="str">
        <f t="shared" si="24"/>
        <v>Active</v>
      </c>
    </row>
    <row r="187" spans="1:48">
      <c r="A187" s="3" t="s">
        <v>967</v>
      </c>
      <c r="B187" s="3" t="s">
        <v>968</v>
      </c>
      <c r="C187" s="9">
        <f>IFERROR(DATEVALUE(TEXT(B187,"DD/MM/YYYY")), IF(ISNUMBER(B187), B187, ""))</f>
        <v>45444</v>
      </c>
      <c r="D187" s="9" t="str">
        <f>IF(B187="","Missing", IF(AND(ISNUMBER(B187)=FALSE, C187=""),"Invalid - Could Not Parse", IF(AND(ISNUMBER(B187)=FALSE, C187&lt;&gt;""),"Text - Converted to Date", IF(ISNUMBER(B187),"Valid","Check"))))</f>
        <v>Text - Converted to Date</v>
      </c>
      <c r="E187" s="5">
        <f t="shared" si="17"/>
        <v>6</v>
      </c>
      <c r="F187" s="5">
        <f t="shared" si="18"/>
        <v>2024</v>
      </c>
      <c r="G187" s="3" t="s">
        <v>969</v>
      </c>
      <c r="H187" s="9">
        <f>IFERROR(DATEVALUE(TEXT(G187,"DD/MM/YYYY")), IF(ISNUMBER(G187), G187, ""))</f>
        <v>45357</v>
      </c>
      <c r="I187" s="9" t="str">
        <f>IF(G187="","Missing", IF(AND(ISNUMBER(G187)=FALSE, H187=""),"Invalid - Could Not Parse", IF(AND(ISNUMBER(G187)=FALSE, H187&lt;&gt;""),"Text - Converted to Date", IF(ISNUMBER(G187),"Valid","Check"))))</f>
        <v>Text - Converted to Date</v>
      </c>
      <c r="J187" s="9" t="str">
        <f>IF(OR(C187="", H187=""), "Cannot Check - Date Missing", IF(H187&lt;C187, "Invalid - Ship Before Order", "Valid"))</f>
        <v>Invalid - Ship Before Order</v>
      </c>
      <c r="K187" s="5" t="str">
        <f>IF(OR(C187="", H187=""), "", IF(H187&lt;C187, "", H187-C187))</f>
        <v/>
      </c>
      <c r="L187" s="3" t="s">
        <v>970</v>
      </c>
      <c r="M187" s="3" t="s">
        <v>168</v>
      </c>
      <c r="N187" s="4" t="str">
        <f>TRIM(SUBSTITUTE(M187,"_"," "))</f>
        <v>Sneha Kapoor</v>
      </c>
      <c r="O187" s="3" t="s">
        <v>115</v>
      </c>
      <c r="P187" s="6" t="str">
        <f>PROPER(TRIM(SUBSTITUTE(O187,".","")))</f>
        <v>Home Office</v>
      </c>
      <c r="Q187" s="3"/>
      <c r="R187" s="6" t="str">
        <f>IF(ISBLANK(Q187), "Unknown", Q187)</f>
        <v>Unknown</v>
      </c>
      <c r="S187" s="3" t="s">
        <v>186</v>
      </c>
      <c r="T187" s="6" t="str">
        <f>PROPER(TRIM(SUBSTITUTE(S187,"  "," ")))</f>
        <v>Bihar</v>
      </c>
      <c r="U187" s="3" t="s">
        <v>187</v>
      </c>
      <c r="V187" s="6" t="str">
        <f>PROPER(TRIM(SUBSTITUTE(U187,"  "," ")))</f>
        <v>Patna</v>
      </c>
      <c r="W187" s="3" t="s">
        <v>30</v>
      </c>
      <c r="X187" s="6" t="str">
        <f>PROPER(TRIM(SUBSTITUTE(W187,"  "," ")))</f>
        <v>Office Supplies</v>
      </c>
      <c r="Y187" s="3" t="s">
        <v>54</v>
      </c>
      <c r="Z187" s="6" t="str">
        <f>PROPER(TRIM(SUBSTITUTE(Y187,"  "," ")))</f>
        <v>Art</v>
      </c>
      <c r="AA187" s="3" t="s">
        <v>971</v>
      </c>
      <c r="AB187" s="3" t="s">
        <v>48</v>
      </c>
      <c r="AC187" s="6" t="str">
        <f>PROPER(TRIM(SUBSTITUTE(AB187,"  "," ")))</f>
        <v>Same Day</v>
      </c>
      <c r="AD187" s="3">
        <v>8</v>
      </c>
      <c r="AE187" s="3">
        <v>3879.95</v>
      </c>
      <c r="AF187" s="3">
        <v>0</v>
      </c>
      <c r="AG187" s="17">
        <v>0</v>
      </c>
      <c r="AH187" s="6" t="str">
        <f t="shared" si="19"/>
        <v>Valid</v>
      </c>
      <c r="AI187" s="3">
        <v>31039.599999999999</v>
      </c>
      <c r="AJ187" s="3">
        <v>20866.72</v>
      </c>
      <c r="AK187" s="3">
        <v>10172.879999999999</v>
      </c>
      <c r="AL187" s="3" t="s">
        <v>34</v>
      </c>
      <c r="AM187" s="6" t="str">
        <f>PROPER(TRIM(SUBSTITUTE(AL187,".","")))</f>
        <v>Paid</v>
      </c>
      <c r="AN187" s="3" t="s">
        <v>35</v>
      </c>
      <c r="AO187" s="8" t="str">
        <f>PROPER(TRIM(SUBSTITUTE(AN187,".","")))</f>
        <v>Completed</v>
      </c>
      <c r="AP187" t="str">
        <f>IF(COUNTIF($A$2:$A$933, A187) &gt; 1, "Duplicate ID", "Unique")</f>
        <v>Unique</v>
      </c>
      <c r="AR187">
        <f t="shared" si="20"/>
        <v>31039.599999999999</v>
      </c>
      <c r="AS187">
        <f t="shared" si="21"/>
        <v>10172.879999999997</v>
      </c>
      <c r="AT187" s="15">
        <f t="shared" si="22"/>
        <v>0.32773875952009685</v>
      </c>
      <c r="AU187" t="str">
        <f t="shared" si="23"/>
        <v>Invalid</v>
      </c>
      <c r="AV187" s="8" t="str">
        <f t="shared" si="24"/>
        <v>Active</v>
      </c>
    </row>
    <row r="188" spans="1:48">
      <c r="A188" s="3" t="s">
        <v>4081</v>
      </c>
      <c r="B188" s="3" t="s">
        <v>3644</v>
      </c>
      <c r="C188" s="9">
        <f>IFERROR(DATEVALUE(TEXT(B188,"DD/MM/YYYY")), IF(ISNUMBER(B188), B188, ""))</f>
        <v>45445</v>
      </c>
      <c r="D188" s="9" t="str">
        <f>IF(B188="","Missing", IF(AND(ISNUMBER(B188)=FALSE, C188=""),"Invalid - Could Not Parse", IF(AND(ISNUMBER(B188)=FALSE, C188&lt;&gt;""),"Text - Converted to Date", IF(ISNUMBER(B188),"Valid","Check"))))</f>
        <v>Text - Converted to Date</v>
      </c>
      <c r="E188" s="5">
        <f t="shared" si="17"/>
        <v>6</v>
      </c>
      <c r="F188" s="5">
        <f t="shared" si="18"/>
        <v>2024</v>
      </c>
      <c r="G188" s="3" t="s">
        <v>50</v>
      </c>
      <c r="H188" s="9">
        <f>IFERROR(DATEVALUE(TEXT(G188,"DD/MM/YYYY")), IF(ISNUMBER(G188), G188, ""))</f>
        <v>45510</v>
      </c>
      <c r="I188" s="9" t="str">
        <f>IF(G188="","Missing", IF(AND(ISNUMBER(G188)=FALSE, H188=""),"Invalid - Could Not Parse", IF(AND(ISNUMBER(G188)=FALSE, H188&lt;&gt;""),"Text - Converted to Date", IF(ISNUMBER(G188),"Valid","Check"))))</f>
        <v>Text - Converted to Date</v>
      </c>
      <c r="J188" s="9" t="str">
        <f>IF(OR(C188="", H188=""), "Cannot Check - Date Missing", IF(H188&lt;C188, "Invalid - Ship Before Order", "Valid"))</f>
        <v>Valid</v>
      </c>
      <c r="K188" s="5">
        <f>IF(OR(C188="", H188=""), "", IF(H188&lt;C188, "", H188-C188))</f>
        <v>65</v>
      </c>
      <c r="L188" s="3" t="s">
        <v>4082</v>
      </c>
      <c r="M188" s="3" t="s">
        <v>83</v>
      </c>
      <c r="N188" s="4" t="str">
        <f>TRIM(SUBSTITUTE(M188,"_"," "))</f>
        <v>Vikram Iyer</v>
      </c>
      <c r="O188" s="3" t="s">
        <v>26</v>
      </c>
      <c r="P188" s="6" t="str">
        <f>PROPER(TRIM(SUBSTITUTE(O188,".","")))</f>
        <v>Consumer</v>
      </c>
      <c r="Q188" s="3" t="s">
        <v>27</v>
      </c>
      <c r="R188" s="7" t="str">
        <f>PROPER(TRIM(SUBSTITUTE(Q188,"  "," ")))</f>
        <v>North</v>
      </c>
      <c r="S188" s="3" t="s">
        <v>506</v>
      </c>
      <c r="T188" s="6" t="str">
        <f>PROPER(TRIM(SUBSTITUTE(S188,"  "," ")))</f>
        <v>Delhi</v>
      </c>
      <c r="U188" s="3" t="s">
        <v>507</v>
      </c>
      <c r="V188" s="6" t="str">
        <f>PROPER(TRIM(SUBSTITUTE(U188,"  "," ")))</f>
        <v>New Delhi</v>
      </c>
      <c r="W188" s="3" t="s">
        <v>45</v>
      </c>
      <c r="X188" s="6" t="str">
        <f>PROPER(TRIM(SUBSTITUTE(W188,"  "," ")))</f>
        <v>Furniture</v>
      </c>
      <c r="Y188" s="3" t="s">
        <v>46</v>
      </c>
      <c r="Z188" s="6" t="str">
        <f>PROPER(TRIM(SUBSTITUTE(Y188,"  "," ")))</f>
        <v>Tables</v>
      </c>
      <c r="AA188" s="3" t="s">
        <v>4083</v>
      </c>
      <c r="AB188" s="3" t="s">
        <v>56</v>
      </c>
      <c r="AC188" s="6" t="str">
        <f>PROPER(TRIM(SUBSTITUTE(AB188,"  "," ")))</f>
        <v>First Class</v>
      </c>
      <c r="AD188" s="3">
        <v>4</v>
      </c>
      <c r="AE188" s="3">
        <v>1536.7</v>
      </c>
      <c r="AF188" s="3">
        <v>0.2</v>
      </c>
      <c r="AG188" s="17">
        <v>0.2</v>
      </c>
      <c r="AH188" s="6" t="str">
        <f t="shared" si="19"/>
        <v>Valid</v>
      </c>
      <c r="AI188" s="3">
        <v>4917.4399999999996</v>
      </c>
      <c r="AJ188" s="3">
        <v>3846.77</v>
      </c>
      <c r="AK188" s="3">
        <v>1070.67</v>
      </c>
      <c r="AL188" s="3" t="s">
        <v>34</v>
      </c>
      <c r="AM188" s="6" t="str">
        <f>PROPER(TRIM(SUBSTITUTE(AL188,".","")))</f>
        <v>Paid</v>
      </c>
      <c r="AN188" s="3" t="s">
        <v>35</v>
      </c>
      <c r="AO188" s="8" t="str">
        <f>PROPER(TRIM(SUBSTITUTE(AN188,".","")))</f>
        <v>Completed</v>
      </c>
      <c r="AP188" t="str">
        <f>IF(COUNTIF($A$2:$A$933, A188) &gt; 1, "Duplicate ID", "Unique")</f>
        <v>Unique</v>
      </c>
      <c r="AR188">
        <f t="shared" si="20"/>
        <v>4917.4400000000005</v>
      </c>
      <c r="AS188">
        <f t="shared" si="21"/>
        <v>1070.6700000000005</v>
      </c>
      <c r="AT188" s="15">
        <f t="shared" si="22"/>
        <v>0.21772914361944434</v>
      </c>
      <c r="AU188" t="str">
        <f t="shared" si="23"/>
        <v>Warning</v>
      </c>
      <c r="AV188" s="8" t="str">
        <f t="shared" si="24"/>
        <v>Active</v>
      </c>
    </row>
    <row r="189" spans="1:48">
      <c r="A189" s="3" t="s">
        <v>1556</v>
      </c>
      <c r="B189" s="3" t="s">
        <v>1557</v>
      </c>
      <c r="C189" s="9">
        <f>IFERROR(DATEVALUE(TEXT(B189,"DD/MM/YYYY")), IF(ISNUMBER(B189), B189, ""))</f>
        <v>45446</v>
      </c>
      <c r="D189" s="9" t="str">
        <f>IF(B189="","Missing", IF(AND(ISNUMBER(B189)=FALSE, C189=""),"Invalid - Could Not Parse", IF(AND(ISNUMBER(B189)=FALSE, C189&lt;&gt;""),"Text - Converted to Date", IF(ISNUMBER(B189),"Valid","Check"))))</f>
        <v>Text - Converted to Date</v>
      </c>
      <c r="E189" s="5">
        <f t="shared" si="17"/>
        <v>6</v>
      </c>
      <c r="F189" s="5">
        <f t="shared" si="18"/>
        <v>2024</v>
      </c>
      <c r="G189" s="3" t="s">
        <v>1558</v>
      </c>
      <c r="H189" s="9">
        <f>IFERROR(DATEVALUE(TEXT(G189,"DD/MM/YYYY")), IF(ISNUMBER(G189), G189, ""))</f>
        <v>45364</v>
      </c>
      <c r="I189" s="9" t="str">
        <f>IF(G189="","Missing", IF(AND(ISNUMBER(G189)=FALSE, H189=""),"Invalid - Could Not Parse", IF(AND(ISNUMBER(G189)=FALSE, H189&lt;&gt;""),"Text - Converted to Date", IF(ISNUMBER(G189),"Valid","Check"))))</f>
        <v>Text - Converted to Date</v>
      </c>
      <c r="J189" s="9" t="str">
        <f>IF(OR(C189="", H189=""), "Cannot Check - Date Missing", IF(H189&lt;C189, "Invalid - Ship Before Order", "Valid"))</f>
        <v>Invalid - Ship Before Order</v>
      </c>
      <c r="K189" s="5" t="str">
        <f>IF(OR(C189="", H189=""), "", IF(H189&lt;C189, "", H189-C189))</f>
        <v/>
      </c>
      <c r="L189" s="3" t="s">
        <v>1559</v>
      </c>
      <c r="M189" s="3" t="s">
        <v>25</v>
      </c>
      <c r="N189" s="4" t="str">
        <f>TRIM(SUBSTITUTE(M189,"_"," "))</f>
        <v>Karan Malhotra</v>
      </c>
      <c r="O189" s="3" t="s">
        <v>26</v>
      </c>
      <c r="P189" s="6" t="str">
        <f>PROPER(TRIM(SUBSTITUTE(O189,".","")))</f>
        <v>Consumer</v>
      </c>
      <c r="Q189" s="3" t="s">
        <v>27</v>
      </c>
      <c r="R189" s="7" t="str">
        <f>PROPER(TRIM(SUBSTITUTE(Q189,"  "," ")))</f>
        <v>North</v>
      </c>
      <c r="S189" s="3" t="s">
        <v>154</v>
      </c>
      <c r="T189" s="6" t="str">
        <f>PROPER(TRIM(SUBSTITUTE(S189,"  "," ")))</f>
        <v>Punjab</v>
      </c>
      <c r="U189" s="3" t="s">
        <v>155</v>
      </c>
      <c r="V189" s="6" t="str">
        <f>PROPER(TRIM(SUBSTITUTE(U189,"  "," ")))</f>
        <v>Ludhiana</v>
      </c>
      <c r="W189" s="3" t="s">
        <v>45</v>
      </c>
      <c r="X189" s="6" t="str">
        <f>PROPER(TRIM(SUBSTITUTE(W189,"  "," ")))</f>
        <v>Furniture</v>
      </c>
      <c r="Y189" s="3" t="s">
        <v>65</v>
      </c>
      <c r="Z189" s="6" t="str">
        <f>PROPER(TRIM(SUBSTITUTE(Y189,"  "," ")))</f>
        <v>Furnishings</v>
      </c>
      <c r="AA189" s="3" t="s">
        <v>1560</v>
      </c>
      <c r="AB189" s="3" t="s">
        <v>67</v>
      </c>
      <c r="AC189" s="6" t="str">
        <f>PROPER(TRIM(SUBSTITUTE(AB189,"  "," ")))</f>
        <v>Standard Class</v>
      </c>
      <c r="AD189" s="3">
        <v>6</v>
      </c>
      <c r="AE189" s="3">
        <v>2403.0500000000002</v>
      </c>
      <c r="AF189" s="3">
        <v>0.1</v>
      </c>
      <c r="AG189" s="17">
        <v>0.1</v>
      </c>
      <c r="AH189" s="6" t="str">
        <f t="shared" si="19"/>
        <v>Valid</v>
      </c>
      <c r="AI189" s="3">
        <v>12976.47</v>
      </c>
      <c r="AJ189" s="3">
        <v>10019.98</v>
      </c>
      <c r="AK189" s="3">
        <v>2956.49</v>
      </c>
      <c r="AL189" s="3" t="s">
        <v>34</v>
      </c>
      <c r="AM189" s="6" t="str">
        <f>PROPER(TRIM(SUBSTITUTE(AL189,".","")))</f>
        <v>Paid</v>
      </c>
      <c r="AN189" s="3" t="s">
        <v>35</v>
      </c>
      <c r="AO189" s="8" t="str">
        <f>PROPER(TRIM(SUBSTITUTE(AN189,".","")))</f>
        <v>Completed</v>
      </c>
      <c r="AP189" t="str">
        <f>IF(COUNTIF($A$2:$A$933, A189) &gt; 1, "Duplicate ID", "Unique")</f>
        <v>Unique</v>
      </c>
      <c r="AR189">
        <f t="shared" si="20"/>
        <v>12976.470000000001</v>
      </c>
      <c r="AS189">
        <f t="shared" si="21"/>
        <v>2956.4900000000016</v>
      </c>
      <c r="AT189" s="15">
        <f t="shared" si="22"/>
        <v>0.22783468847845378</v>
      </c>
      <c r="AU189" t="str">
        <f t="shared" si="23"/>
        <v>Invalid</v>
      </c>
      <c r="AV189" s="8" t="str">
        <f t="shared" si="24"/>
        <v>Active</v>
      </c>
    </row>
    <row r="190" spans="1:48">
      <c r="A190" s="3" t="s">
        <v>2318</v>
      </c>
      <c r="B190" s="3" t="s">
        <v>1220</v>
      </c>
      <c r="C190" s="9">
        <f>IFERROR(DATEVALUE(TEXT(B190,"DD/MM/YYYY")), IF(ISNUMBER(B190), B190, ""))</f>
        <v>45446</v>
      </c>
      <c r="D190" s="9" t="str">
        <f>IF(B190="","Missing", IF(AND(ISNUMBER(B190)=FALSE, C190=""),"Invalid - Could Not Parse", IF(AND(ISNUMBER(B190)=FALSE, C190&lt;&gt;""),"Text - Converted to Date", IF(ISNUMBER(B190),"Valid","Check"))))</f>
        <v>Text - Converted to Date</v>
      </c>
      <c r="E190" s="5">
        <f t="shared" si="17"/>
        <v>6</v>
      </c>
      <c r="F190" s="5">
        <f t="shared" si="18"/>
        <v>2024</v>
      </c>
      <c r="G190" s="3" t="s">
        <v>2319</v>
      </c>
      <c r="H190" s="9">
        <f>IFERROR(DATEVALUE(TEXT(G190,"DD/MM/YYYY")), IF(ISNUMBER(G190), G190, ""))</f>
        <v>45453</v>
      </c>
      <c r="I190" s="9" t="str">
        <f>IF(G190="","Missing", IF(AND(ISNUMBER(G190)=FALSE, H190=""),"Invalid - Could Not Parse", IF(AND(ISNUMBER(G190)=FALSE, H190&lt;&gt;""),"Text - Converted to Date", IF(ISNUMBER(G190),"Valid","Check"))))</f>
        <v>Text - Converted to Date</v>
      </c>
      <c r="J190" s="9" t="str">
        <f>IF(OR(C190="", H190=""), "Cannot Check - Date Missing", IF(H190&lt;C190, "Invalid - Ship Before Order", "Valid"))</f>
        <v>Valid</v>
      </c>
      <c r="K190" s="5">
        <f>IF(OR(C190="", H190=""), "", IF(H190&lt;C190, "", H190-C190))</f>
        <v>7</v>
      </c>
      <c r="L190" s="3" t="s">
        <v>2320</v>
      </c>
      <c r="M190" s="3" t="s">
        <v>210</v>
      </c>
      <c r="N190" s="4" t="str">
        <f>TRIM(SUBSTITUTE(M190,"_"," "))</f>
        <v>Diya Patel</v>
      </c>
      <c r="O190" s="3" t="s">
        <v>108</v>
      </c>
      <c r="P190" s="6" t="str">
        <f>PROPER(TRIM(SUBSTITUTE(O190,".","")))</f>
        <v>Corporate</v>
      </c>
      <c r="Q190" s="3" t="s">
        <v>27</v>
      </c>
      <c r="R190" s="7" t="str">
        <f>PROPER(TRIM(SUBSTITUTE(Q190,"  "," ")))</f>
        <v>North</v>
      </c>
      <c r="S190" s="3" t="s">
        <v>154</v>
      </c>
      <c r="T190" s="6" t="str">
        <f>PROPER(TRIM(SUBSTITUTE(S190,"  "," ")))</f>
        <v>Punjab</v>
      </c>
      <c r="U190" s="3" t="s">
        <v>155</v>
      </c>
      <c r="V190" s="6" t="str">
        <f>PROPER(TRIM(SUBSTITUTE(U190,"  "," ")))</f>
        <v>Ludhiana</v>
      </c>
      <c r="W190" s="3" t="s">
        <v>45</v>
      </c>
      <c r="X190" s="6" t="str">
        <f>PROPER(TRIM(SUBSTITUTE(W190,"  "," ")))</f>
        <v>Furniture</v>
      </c>
      <c r="Y190" s="3" t="s">
        <v>65</v>
      </c>
      <c r="Z190" s="6" t="str">
        <f>PROPER(TRIM(SUBSTITUTE(Y190,"  "," ")))</f>
        <v>Furnishings</v>
      </c>
      <c r="AA190" s="3" t="s">
        <v>2321</v>
      </c>
      <c r="AB190" s="3" t="s">
        <v>67</v>
      </c>
      <c r="AC190" s="6" t="str">
        <f>PROPER(TRIM(SUBSTITUTE(AB190,"  "," ")))</f>
        <v>Standard Class</v>
      </c>
      <c r="AD190" s="3">
        <v>3</v>
      </c>
      <c r="AE190" s="3">
        <v>1633.57</v>
      </c>
      <c r="AF190" s="3">
        <v>0</v>
      </c>
      <c r="AG190" s="17">
        <v>0</v>
      </c>
      <c r="AH190" s="6" t="str">
        <f t="shared" si="19"/>
        <v>Valid</v>
      </c>
      <c r="AI190" s="3">
        <v>4900.71</v>
      </c>
      <c r="AJ190" s="3">
        <v>2713.9</v>
      </c>
      <c r="AK190" s="3">
        <v>2186.81</v>
      </c>
      <c r="AL190" s="3" t="s">
        <v>34</v>
      </c>
      <c r="AM190" s="6" t="str">
        <f>PROPER(TRIM(SUBSTITUTE(AL190,".","")))</f>
        <v>Paid</v>
      </c>
      <c r="AN190" s="3" t="s">
        <v>35</v>
      </c>
      <c r="AO190" s="8" t="str">
        <f>PROPER(TRIM(SUBSTITUTE(AN190,".","")))</f>
        <v>Completed</v>
      </c>
      <c r="AP190" t="str">
        <f>IF(COUNTIF($A$2:$A$933, A190) &gt; 1, "Duplicate ID", "Unique")</f>
        <v>Unique</v>
      </c>
      <c r="AR190">
        <f t="shared" si="20"/>
        <v>4900.71</v>
      </c>
      <c r="AS190">
        <f t="shared" si="21"/>
        <v>2186.81</v>
      </c>
      <c r="AT190" s="15">
        <f t="shared" si="22"/>
        <v>0.44622309828575857</v>
      </c>
      <c r="AU190" t="str">
        <f t="shared" si="23"/>
        <v>Clean</v>
      </c>
      <c r="AV190" s="8" t="str">
        <f t="shared" si="24"/>
        <v>Active</v>
      </c>
    </row>
    <row r="191" spans="1:48">
      <c r="A191" s="3" t="s">
        <v>3821</v>
      </c>
      <c r="B191" s="3" t="s">
        <v>3822</v>
      </c>
      <c r="C191" s="9">
        <f>IFERROR(DATEVALUE(TEXT(B191,"DD/MM/YYYY")), IF(ISNUMBER(B191), B191, ""))</f>
        <v>45447</v>
      </c>
      <c r="D191" s="9" t="str">
        <f>IF(B191="","Missing", IF(AND(ISNUMBER(B191)=FALSE, C191=""),"Invalid - Could Not Parse", IF(AND(ISNUMBER(B191)=FALSE, C191&lt;&gt;""),"Text - Converted to Date", IF(ISNUMBER(B191),"Valid","Check"))))</f>
        <v>Text - Converted to Date</v>
      </c>
      <c r="E191" s="5">
        <f t="shared" si="17"/>
        <v>6</v>
      </c>
      <c r="F191" s="5">
        <f t="shared" si="18"/>
        <v>2024</v>
      </c>
      <c r="G191" s="3" t="s">
        <v>3823</v>
      </c>
      <c r="H191" s="9">
        <f>IFERROR(DATEVALUE(TEXT(G191,"DD/MM/YYYY")), IF(ISNUMBER(G191), G191, ""))</f>
        <v>45388</v>
      </c>
      <c r="I191" s="9" t="str">
        <f>IF(G191="","Missing", IF(AND(ISNUMBER(G191)=FALSE, H191=""),"Invalid - Could Not Parse", IF(AND(ISNUMBER(G191)=FALSE, H191&lt;&gt;""),"Text - Converted to Date", IF(ISNUMBER(G191),"Valid","Check"))))</f>
        <v>Text - Converted to Date</v>
      </c>
      <c r="J191" s="9" t="str">
        <f>IF(OR(C191="", H191=""), "Cannot Check - Date Missing", IF(H191&lt;C191, "Invalid - Ship Before Order", "Valid"))</f>
        <v>Invalid - Ship Before Order</v>
      </c>
      <c r="K191" s="5" t="str">
        <f>IF(OR(C191="", H191=""), "", IF(H191&lt;C191, "", H191-C191))</f>
        <v/>
      </c>
      <c r="L191" s="3" t="s">
        <v>3824</v>
      </c>
      <c r="M191" s="3" t="s">
        <v>148</v>
      </c>
      <c r="N191" s="4" t="str">
        <f>TRIM(SUBSTITUTE(M191,"_"," "))</f>
        <v>Rahul Verma</v>
      </c>
      <c r="O191" s="3" t="s">
        <v>115</v>
      </c>
      <c r="P191" s="6" t="str">
        <f>PROPER(TRIM(SUBSTITUTE(O191,".","")))</f>
        <v>Home Office</v>
      </c>
      <c r="Q191" s="3" t="s">
        <v>42</v>
      </c>
      <c r="R191" s="7" t="str">
        <f>PROPER(TRIM(SUBSTITUTE(Q191,"  "," ")))</f>
        <v>East</v>
      </c>
      <c r="S191" s="3" t="s">
        <v>121</v>
      </c>
      <c r="T191" s="6" t="str">
        <f>PROPER(TRIM(SUBSTITUTE(S191,"  "," ")))</f>
        <v>West Bengal</v>
      </c>
      <c r="U191" s="3" t="s">
        <v>122</v>
      </c>
      <c r="V191" s="6" t="str">
        <f>PROPER(TRIM(SUBSTITUTE(U191,"  "," ")))</f>
        <v>Kolkata</v>
      </c>
      <c r="W191" s="3" t="s">
        <v>45</v>
      </c>
      <c r="X191" s="6" t="str">
        <f>PROPER(TRIM(SUBSTITUTE(W191,"  "," ")))</f>
        <v>Furniture</v>
      </c>
      <c r="Y191" s="3" t="s">
        <v>204</v>
      </c>
      <c r="Z191" s="6" t="str">
        <f>PROPER(TRIM(SUBSTITUTE(Y191,"  "," ")))</f>
        <v>Bookcases</v>
      </c>
      <c r="AA191" s="3" t="s">
        <v>3825</v>
      </c>
      <c r="AB191" s="3" t="s">
        <v>56</v>
      </c>
      <c r="AC191" s="6" t="str">
        <f>PROPER(TRIM(SUBSTITUTE(AB191,"  "," ")))</f>
        <v>First Class</v>
      </c>
      <c r="AD191" s="3">
        <v>6</v>
      </c>
      <c r="AE191" s="3">
        <v>3949.4</v>
      </c>
      <c r="AF191" s="3">
        <v>0</v>
      </c>
      <c r="AG191" s="17">
        <v>0</v>
      </c>
      <c r="AH191" s="6" t="str">
        <f t="shared" si="19"/>
        <v>Valid</v>
      </c>
      <c r="AI191" s="3">
        <v>23696.400000000001</v>
      </c>
      <c r="AJ191" s="3">
        <v>18109.77</v>
      </c>
      <c r="AK191" s="3">
        <v>5586.63</v>
      </c>
      <c r="AL191" s="3" t="s">
        <v>34</v>
      </c>
      <c r="AM191" s="6" t="str">
        <f>PROPER(TRIM(SUBSTITUTE(AL191,".","")))</f>
        <v>Paid</v>
      </c>
      <c r="AN191" s="3" t="s">
        <v>35</v>
      </c>
      <c r="AO191" s="8" t="str">
        <f>PROPER(TRIM(SUBSTITUTE(AN191,".","")))</f>
        <v>Completed</v>
      </c>
      <c r="AP191" t="str">
        <f>IF(COUNTIF($A$2:$A$933, A191) &gt; 1, "Duplicate ID", "Unique")</f>
        <v>Unique</v>
      </c>
      <c r="AR191">
        <f t="shared" si="20"/>
        <v>23696.400000000001</v>
      </c>
      <c r="AS191">
        <f t="shared" si="21"/>
        <v>5586.630000000001</v>
      </c>
      <c r="AT191" s="15">
        <f t="shared" si="22"/>
        <v>0.23575859624246723</v>
      </c>
      <c r="AU191" t="str">
        <f t="shared" si="23"/>
        <v>Invalid</v>
      </c>
      <c r="AV191" s="8" t="str">
        <f t="shared" si="24"/>
        <v>Active</v>
      </c>
    </row>
    <row r="192" spans="1:48">
      <c r="A192" s="3" t="s">
        <v>3920</v>
      </c>
      <c r="B192" s="3" t="s">
        <v>3921</v>
      </c>
      <c r="C192" s="9">
        <f>IFERROR(DATEVALUE(TEXT(B192,"DD/MM/YYYY")), IF(ISNUMBER(B192), B192, ""))</f>
        <v>45447</v>
      </c>
      <c r="D192" s="9" t="str">
        <f>IF(B192="","Missing", IF(AND(ISNUMBER(B192)=FALSE, C192=""),"Invalid - Could Not Parse", IF(AND(ISNUMBER(B192)=FALSE, C192&lt;&gt;""),"Text - Converted to Date", IF(ISNUMBER(B192),"Valid","Check"))))</f>
        <v>Text - Converted to Date</v>
      </c>
      <c r="E192" s="5">
        <f t="shared" si="17"/>
        <v>6</v>
      </c>
      <c r="F192" s="5">
        <f t="shared" si="18"/>
        <v>2024</v>
      </c>
      <c r="G192" s="3" t="s">
        <v>3922</v>
      </c>
      <c r="H192" s="9">
        <f>IFERROR(DATEVALUE(TEXT(G192,"DD/MM/YYYY")), IF(ISNUMBER(G192), G192, ""))</f>
        <v>45447</v>
      </c>
      <c r="I192" s="9" t="str">
        <f>IF(G192="","Missing", IF(AND(ISNUMBER(G192)=FALSE, H192=""),"Invalid - Could Not Parse", IF(AND(ISNUMBER(G192)=FALSE, H192&lt;&gt;""),"Text - Converted to Date", IF(ISNUMBER(G192),"Valid","Check"))))</f>
        <v>Text - Converted to Date</v>
      </c>
      <c r="J192" s="9" t="str">
        <f>IF(OR(C192="", H192=""), "Cannot Check - Date Missing", IF(H192&lt;C192, "Invalid - Ship Before Order", "Valid"))</f>
        <v>Valid</v>
      </c>
      <c r="K192" s="5">
        <f>IF(OR(C192="", H192=""), "", IF(H192&lt;C192, "", H192-C192))</f>
        <v>0</v>
      </c>
      <c r="L192" s="3" t="s">
        <v>3235</v>
      </c>
      <c r="M192" s="3" t="s">
        <v>168</v>
      </c>
      <c r="N192" s="4" t="str">
        <f>TRIM(SUBSTITUTE(M192,"_"," "))</f>
        <v>Sneha Kapoor</v>
      </c>
      <c r="O192" s="3" t="s">
        <v>115</v>
      </c>
      <c r="P192" s="6" t="str">
        <f>PROPER(TRIM(SUBSTITUTE(O192,".","")))</f>
        <v>Home Office</v>
      </c>
      <c r="Q192" s="3" t="s">
        <v>62</v>
      </c>
      <c r="R192" s="7" t="str">
        <f>PROPER(TRIM(SUBSTITUTE(Q192,"  "," ")))</f>
        <v>South</v>
      </c>
      <c r="S192" s="3" t="s">
        <v>242</v>
      </c>
      <c r="T192" s="6" t="str">
        <f>PROPER(TRIM(SUBSTITUTE(S192,"  "," ")))</f>
        <v>Kerala</v>
      </c>
      <c r="U192" s="3" t="s">
        <v>243</v>
      </c>
      <c r="V192" s="6" t="str">
        <f>PROPER(TRIM(SUBSTITUTE(U192,"  "," ")))</f>
        <v>Kochi</v>
      </c>
      <c r="W192" s="3" t="s">
        <v>30</v>
      </c>
      <c r="X192" s="6" t="str">
        <f>PROPER(TRIM(SUBSTITUTE(W192,"  "," ")))</f>
        <v>Office Supplies</v>
      </c>
      <c r="Y192" s="3" t="s">
        <v>156</v>
      </c>
      <c r="Z192" s="6" t="str">
        <f>PROPER(TRIM(SUBSTITUTE(Y192,"  "," ")))</f>
        <v>Storage</v>
      </c>
      <c r="AA192" s="3" t="s">
        <v>3923</v>
      </c>
      <c r="AB192" s="3" t="s">
        <v>56</v>
      </c>
      <c r="AC192" s="6" t="str">
        <f>PROPER(TRIM(SUBSTITUTE(AB192,"  "," ")))</f>
        <v>First Class</v>
      </c>
      <c r="AD192" s="3">
        <v>6</v>
      </c>
      <c r="AE192" s="3">
        <v>2708.97</v>
      </c>
      <c r="AF192" s="3">
        <v>0.25</v>
      </c>
      <c r="AG192" s="17">
        <v>0.25</v>
      </c>
      <c r="AH192" s="6" t="str">
        <f t="shared" si="19"/>
        <v>Valid</v>
      </c>
      <c r="AI192" s="3">
        <v>12190.36</v>
      </c>
      <c r="AJ192" s="3">
        <v>10176.99</v>
      </c>
      <c r="AK192" s="3">
        <v>2013.37</v>
      </c>
      <c r="AL192" s="3" t="s">
        <v>34</v>
      </c>
      <c r="AM192" s="6" t="str">
        <f>PROPER(TRIM(SUBSTITUTE(AL192,".","")))</f>
        <v>Paid</v>
      </c>
      <c r="AN192" s="3" t="s">
        <v>35</v>
      </c>
      <c r="AO192" s="8" t="str">
        <f>PROPER(TRIM(SUBSTITUTE(AN192,".","")))</f>
        <v>Completed</v>
      </c>
      <c r="AP192" t="str">
        <f>IF(COUNTIF($A$2:$A$933, A192) &gt; 1, "Duplicate ID", "Unique")</f>
        <v>Unique</v>
      </c>
      <c r="AR192">
        <f t="shared" si="20"/>
        <v>12190.365</v>
      </c>
      <c r="AS192">
        <f t="shared" si="21"/>
        <v>2013.375</v>
      </c>
      <c r="AT192" s="15">
        <f t="shared" si="22"/>
        <v>0.16516117441930575</v>
      </c>
      <c r="AU192" t="str">
        <f t="shared" si="23"/>
        <v>Clean</v>
      </c>
      <c r="AV192" s="8" t="str">
        <f t="shared" si="24"/>
        <v>Active</v>
      </c>
    </row>
    <row r="193" spans="1:48">
      <c r="A193" s="3" t="s">
        <v>576</v>
      </c>
      <c r="B193" s="3" t="s">
        <v>577</v>
      </c>
      <c r="C193" s="9">
        <f>IFERROR(DATEVALUE(TEXT(B193,"DD/MM/YYYY")), IF(ISNUMBER(B193), B193, ""))</f>
        <v>45448</v>
      </c>
      <c r="D193" s="9" t="str">
        <f>IF(B193="","Missing", IF(AND(ISNUMBER(B193)=FALSE, C193=""),"Invalid - Could Not Parse", IF(AND(ISNUMBER(B193)=FALSE, C193&lt;&gt;""),"Text - Converted to Date", IF(ISNUMBER(B193),"Valid","Check"))))</f>
        <v>Text - Converted to Date</v>
      </c>
      <c r="E193" s="5">
        <f t="shared" si="17"/>
        <v>6</v>
      </c>
      <c r="F193" s="5">
        <f t="shared" si="18"/>
        <v>2024</v>
      </c>
      <c r="G193" s="3" t="s">
        <v>578</v>
      </c>
      <c r="H193" s="9">
        <f>IFERROR(DATEVALUE(TEXT(G193,"DD/MM/YYYY")), IF(ISNUMBER(G193), G193, ""))</f>
        <v>45450</v>
      </c>
      <c r="I193" s="9" t="str">
        <f>IF(G193="","Missing", IF(AND(ISNUMBER(G193)=FALSE, H193=""),"Invalid - Could Not Parse", IF(AND(ISNUMBER(G193)=FALSE, H193&lt;&gt;""),"Text - Converted to Date", IF(ISNUMBER(G193),"Valid","Check"))))</f>
        <v>Text - Converted to Date</v>
      </c>
      <c r="J193" s="9" t="str">
        <f>IF(OR(C193="", H193=""), "Cannot Check - Date Missing", IF(H193&lt;C193, "Invalid - Ship Before Order", "Valid"))</f>
        <v>Valid</v>
      </c>
      <c r="K193" s="5">
        <f>IF(OR(C193="", H193=""), "", IF(H193&lt;C193, "", H193-C193))</f>
        <v>2</v>
      </c>
      <c r="L193" s="3" t="s">
        <v>579</v>
      </c>
      <c r="M193" s="3" t="s">
        <v>148</v>
      </c>
      <c r="N193" s="4" t="str">
        <f>TRIM(SUBSTITUTE(M193,"_"," "))</f>
        <v>Rahul Verma</v>
      </c>
      <c r="O193" s="3" t="s">
        <v>115</v>
      </c>
      <c r="P193" s="6" t="str">
        <f>PROPER(TRIM(SUBSTITUTE(O193,".","")))</f>
        <v>Home Office</v>
      </c>
      <c r="Q193" s="3" t="s">
        <v>42</v>
      </c>
      <c r="R193" s="7" t="str">
        <f>PROPER(TRIM(SUBSTITUTE(Q193,"  "," ")))</f>
        <v>East</v>
      </c>
      <c r="S193" s="3" t="s">
        <v>43</v>
      </c>
      <c r="T193" s="6" t="str">
        <f>PROPER(TRIM(SUBSTITUTE(S193,"  "," ")))</f>
        <v>Odisha</v>
      </c>
      <c r="U193" s="3" t="s">
        <v>44</v>
      </c>
      <c r="V193" s="6" t="str">
        <f>PROPER(TRIM(SUBSTITUTE(U193,"  "," ")))</f>
        <v>Bhubaneswar</v>
      </c>
      <c r="W193" s="3" t="s">
        <v>86</v>
      </c>
      <c r="X193" s="6" t="str">
        <f>PROPER(TRIM(SUBSTITUTE(W193,"  "," ")))</f>
        <v>Technology</v>
      </c>
      <c r="Y193" s="3" t="s">
        <v>94</v>
      </c>
      <c r="Z193" s="6" t="str">
        <f>PROPER(TRIM(SUBSTITUTE(Y193,"  "," ")))</f>
        <v>Copiers</v>
      </c>
      <c r="AA193" s="3" t="s">
        <v>580</v>
      </c>
      <c r="AB193" s="3" t="s">
        <v>33</v>
      </c>
      <c r="AC193" s="6" t="str">
        <f>PROPER(TRIM(SUBSTITUTE(AB193,"  "," ")))</f>
        <v>Second Class</v>
      </c>
      <c r="AD193" s="3">
        <v>2</v>
      </c>
      <c r="AE193" s="3">
        <v>2259.2399999999998</v>
      </c>
      <c r="AF193" s="3">
        <v>0.15</v>
      </c>
      <c r="AG193" s="17">
        <v>0.15</v>
      </c>
      <c r="AH193" s="6" t="str">
        <f t="shared" si="19"/>
        <v>Valid</v>
      </c>
      <c r="AI193" s="3">
        <v>3840.71</v>
      </c>
      <c r="AJ193" s="3">
        <v>2516.29</v>
      </c>
      <c r="AK193" s="3">
        <v>1324.42</v>
      </c>
      <c r="AL193" s="3" t="s">
        <v>34</v>
      </c>
      <c r="AM193" s="6" t="str">
        <f>PROPER(TRIM(SUBSTITUTE(AL193,".","")))</f>
        <v>Paid</v>
      </c>
      <c r="AN193" s="3" t="s">
        <v>35</v>
      </c>
      <c r="AO193" s="8" t="str">
        <f>PROPER(TRIM(SUBSTITUTE(AN193,".","")))</f>
        <v>Completed</v>
      </c>
      <c r="AP193" t="str">
        <f>IF(COUNTIF($A$2:$A$933, A193) &gt; 1, "Duplicate ID", "Unique")</f>
        <v>Unique</v>
      </c>
      <c r="AR193">
        <f t="shared" si="20"/>
        <v>3840.7079999999996</v>
      </c>
      <c r="AS193">
        <f t="shared" si="21"/>
        <v>1324.4179999999997</v>
      </c>
      <c r="AT193" s="15">
        <f t="shared" si="22"/>
        <v>0.34483694152224009</v>
      </c>
      <c r="AU193" t="str">
        <f t="shared" si="23"/>
        <v>Clean</v>
      </c>
      <c r="AV193" s="8" t="str">
        <f t="shared" si="24"/>
        <v>Active</v>
      </c>
    </row>
    <row r="194" spans="1:48">
      <c r="A194" s="3" t="s">
        <v>1065</v>
      </c>
      <c r="B194" s="3" t="s">
        <v>1066</v>
      </c>
      <c r="C194" s="9">
        <f>IFERROR(DATEVALUE(TEXT(B194,"DD/MM/YYYY")), IF(ISNUMBER(B194), B194, ""))</f>
        <v>45448</v>
      </c>
      <c r="D194" s="9" t="str">
        <f>IF(B194="","Missing", IF(AND(ISNUMBER(B194)=FALSE, C194=""),"Invalid - Could Not Parse", IF(AND(ISNUMBER(B194)=FALSE, C194&lt;&gt;""),"Text - Converted to Date", IF(ISNUMBER(B194),"Valid","Check"))))</f>
        <v>Text - Converted to Date</v>
      </c>
      <c r="E194" s="5">
        <f t="shared" si="17"/>
        <v>6</v>
      </c>
      <c r="F194" s="5">
        <f t="shared" si="18"/>
        <v>2024</v>
      </c>
      <c r="G194" s="3" t="s">
        <v>1067</v>
      </c>
      <c r="H194" s="9">
        <f>IFERROR(DATEVALUE(TEXT(G194,"DD/MM/YYYY")), IF(ISNUMBER(G194), G194, ""))</f>
        <v>45449</v>
      </c>
      <c r="I194" s="9" t="str">
        <f>IF(G194="","Missing", IF(AND(ISNUMBER(G194)=FALSE, H194=""),"Invalid - Could Not Parse", IF(AND(ISNUMBER(G194)=FALSE, H194&lt;&gt;""),"Text - Converted to Date", IF(ISNUMBER(G194),"Valid","Check"))))</f>
        <v>Text - Converted to Date</v>
      </c>
      <c r="J194" s="9" t="str">
        <f>IF(OR(C194="", H194=""), "Cannot Check - Date Missing", IF(H194&lt;C194, "Invalid - Ship Before Order", "Valid"))</f>
        <v>Valid</v>
      </c>
      <c r="K194" s="5">
        <f>IF(OR(C194="", H194=""), "", IF(H194&lt;C194, "", H194-C194))</f>
        <v>1</v>
      </c>
      <c r="L194" s="3" t="s">
        <v>1068</v>
      </c>
      <c r="M194" s="3" t="s">
        <v>168</v>
      </c>
      <c r="N194" s="4" t="str">
        <f>TRIM(SUBSTITUTE(M194,"_"," "))</f>
        <v>Sneha Kapoor</v>
      </c>
      <c r="O194" s="3" t="s">
        <v>26</v>
      </c>
      <c r="P194" s="6" t="str">
        <f>PROPER(TRIM(SUBSTITUTE(O194,".","")))</f>
        <v>Consumer</v>
      </c>
      <c r="Q194" s="3" t="s">
        <v>73</v>
      </c>
      <c r="R194" s="7" t="str">
        <f>PROPER(TRIM(SUBSTITUTE(Q194,"  "," ")))</f>
        <v>West</v>
      </c>
      <c r="S194" s="3" t="s">
        <v>235</v>
      </c>
      <c r="T194" s="6" t="str">
        <f>PROPER(TRIM(SUBSTITUTE(S194,"  "," ")))</f>
        <v>Gujarat</v>
      </c>
      <c r="U194" s="3" t="s">
        <v>236</v>
      </c>
      <c r="V194" s="6" t="str">
        <f>PROPER(TRIM(SUBSTITUTE(U194,"  "," ")))</f>
        <v>Ahmedabad</v>
      </c>
      <c r="W194" s="3" t="s">
        <v>30</v>
      </c>
      <c r="X194" s="6" t="str">
        <f>PROPER(TRIM(SUBSTITUTE(W194,"  "," ")))</f>
        <v>Office Supplies</v>
      </c>
      <c r="Y194" s="3" t="s">
        <v>54</v>
      </c>
      <c r="Z194" s="6" t="str">
        <f>PROPER(TRIM(SUBSTITUTE(Y194,"  "," ")))</f>
        <v>Art</v>
      </c>
      <c r="AA194" s="3" t="s">
        <v>1069</v>
      </c>
      <c r="AB194" s="3" t="s">
        <v>33</v>
      </c>
      <c r="AC194" s="6" t="str">
        <f>PROPER(TRIM(SUBSTITUTE(AB194,"  "," ")))</f>
        <v>Second Class</v>
      </c>
      <c r="AD194" s="3">
        <v>1</v>
      </c>
      <c r="AE194" s="3">
        <v>1184.58</v>
      </c>
      <c r="AF194" s="3">
        <v>0.05</v>
      </c>
      <c r="AG194" s="17">
        <v>0.05</v>
      </c>
      <c r="AH194" s="6" t="str">
        <f t="shared" si="19"/>
        <v>Valid</v>
      </c>
      <c r="AI194" s="3">
        <v>1125.3499999999999</v>
      </c>
      <c r="AJ194" s="3">
        <v>676.97</v>
      </c>
      <c r="AK194" s="3">
        <v>448.38</v>
      </c>
      <c r="AL194" s="3" t="s">
        <v>200</v>
      </c>
      <c r="AM194" s="6" t="str">
        <f>PROPER(TRIM(SUBSTITUTE(AL194,".","")))</f>
        <v>Failed</v>
      </c>
      <c r="AN194" s="3" t="s">
        <v>78</v>
      </c>
      <c r="AO194" s="8" t="str">
        <f>PROPER(TRIM(SUBSTITUTE(AN194,".","")))</f>
        <v>Cancelled</v>
      </c>
      <c r="AP194" t="str">
        <f>IF(COUNTIF($A$2:$A$933, A194) &gt; 1, "Duplicate ID", "Unique")</f>
        <v>Unique</v>
      </c>
      <c r="AR194">
        <f t="shared" si="20"/>
        <v>1125.3509999999999</v>
      </c>
      <c r="AS194">
        <f t="shared" si="21"/>
        <v>448.38099999999986</v>
      </c>
      <c r="AT194" s="15">
        <f t="shared" si="22"/>
        <v>0.39843657667696558</v>
      </c>
      <c r="AU194" t="str">
        <f t="shared" si="23"/>
        <v>Clean</v>
      </c>
      <c r="AV194" s="8" t="str">
        <f t="shared" si="24"/>
        <v>Cancelled</v>
      </c>
    </row>
    <row r="195" spans="1:48">
      <c r="A195" s="3" t="s">
        <v>2707</v>
      </c>
      <c r="B195" s="3" t="s">
        <v>2708</v>
      </c>
      <c r="C195" s="9">
        <f>IFERROR(DATEVALUE(TEXT(B195,"DD/MM/YYYY")), IF(ISNUMBER(B195), B195, ""))</f>
        <v>45448</v>
      </c>
      <c r="D195" s="9" t="str">
        <f>IF(B195="","Missing", IF(AND(ISNUMBER(B195)=FALSE, C195=""),"Invalid - Could Not Parse", IF(AND(ISNUMBER(B195)=FALSE, C195&lt;&gt;""),"Text - Converted to Date", IF(ISNUMBER(B195),"Valid","Check"))))</f>
        <v>Text - Converted to Date</v>
      </c>
      <c r="E195" s="5">
        <f t="shared" ref="E195:E258" si="25">IFERROR(MONTH(C195), "")</f>
        <v>6</v>
      </c>
      <c r="F195" s="5">
        <f t="shared" ref="F195:F258" si="26">IFERROR(YEAR(C195), "")</f>
        <v>2024</v>
      </c>
      <c r="G195" s="3" t="s">
        <v>1784</v>
      </c>
      <c r="H195" s="9">
        <f>IFERROR(DATEVALUE(TEXT(G195,"DD/MM/YYYY")), IF(ISNUMBER(G195), G195, ""))</f>
        <v>45424</v>
      </c>
      <c r="I195" s="9" t="str">
        <f>IF(G195="","Missing", IF(AND(ISNUMBER(G195)=FALSE, H195=""),"Invalid - Could Not Parse", IF(AND(ISNUMBER(G195)=FALSE, H195&lt;&gt;""),"Text - Converted to Date", IF(ISNUMBER(G195),"Valid","Check"))))</f>
        <v>Text - Converted to Date</v>
      </c>
      <c r="J195" s="9" t="str">
        <f>IF(OR(C195="", H195=""), "Cannot Check - Date Missing", IF(H195&lt;C195, "Invalid - Ship Before Order", "Valid"))</f>
        <v>Invalid - Ship Before Order</v>
      </c>
      <c r="K195" s="5" t="str">
        <f>IF(OR(C195="", H195=""), "", IF(H195&lt;C195, "", H195-C195))</f>
        <v/>
      </c>
      <c r="L195" s="3" t="s">
        <v>2709</v>
      </c>
      <c r="M195" s="3" t="s">
        <v>61</v>
      </c>
      <c r="N195" s="4" t="str">
        <f>TRIM(SUBSTITUTE(M195,"_"," "))</f>
        <v>Arjun Bose</v>
      </c>
      <c r="O195" s="3" t="s">
        <v>108</v>
      </c>
      <c r="P195" s="6" t="str">
        <f>PROPER(TRIM(SUBSTITUTE(O195,".","")))</f>
        <v>Corporate</v>
      </c>
      <c r="Q195" s="3" t="s">
        <v>73</v>
      </c>
      <c r="R195" s="7" t="str">
        <f>PROPER(TRIM(SUBSTITUTE(Q195,"  "," ")))</f>
        <v>West</v>
      </c>
      <c r="S195" s="3" t="s">
        <v>249</v>
      </c>
      <c r="T195" s="6" t="str">
        <f>PROPER(TRIM(SUBSTITUTE(S195,"  "," ")))</f>
        <v>Goa</v>
      </c>
      <c r="U195" s="3" t="s">
        <v>250</v>
      </c>
      <c r="V195" s="6" t="str">
        <f>PROPER(TRIM(SUBSTITUTE(U195,"  "," ")))</f>
        <v>Panaji</v>
      </c>
      <c r="W195" s="3" t="s">
        <v>45</v>
      </c>
      <c r="X195" s="6" t="str">
        <f>PROPER(TRIM(SUBSTITUTE(W195,"  "," ")))</f>
        <v>Furniture</v>
      </c>
      <c r="Y195" s="3" t="s">
        <v>46</v>
      </c>
      <c r="Z195" s="6" t="str">
        <f>PROPER(TRIM(SUBSTITUTE(Y195,"  "," ")))</f>
        <v>Tables</v>
      </c>
      <c r="AA195" s="3" t="s">
        <v>2710</v>
      </c>
      <c r="AB195" s="3" t="s">
        <v>67</v>
      </c>
      <c r="AC195" s="6" t="str">
        <f>PROPER(TRIM(SUBSTITUTE(AB195,"  "," ")))</f>
        <v>Standard Class</v>
      </c>
      <c r="AD195" s="3">
        <v>9</v>
      </c>
      <c r="AE195" s="3">
        <v>790.97</v>
      </c>
      <c r="AF195" s="3">
        <v>0.2</v>
      </c>
      <c r="AG195" s="17">
        <v>0.2</v>
      </c>
      <c r="AH195" s="6" t="str">
        <f t="shared" ref="AH195:AH258" si="27">IF(ISBLANK(AF195), "Missing", IF(AF195 &lt; 0, "Invalid - Negative", IF(AF195 &gt; 0.5, "Invalid - Above Range", "Valid")))</f>
        <v>Valid</v>
      </c>
      <c r="AI195" s="3">
        <v>5694.98</v>
      </c>
      <c r="AJ195" s="3">
        <v>4618.33</v>
      </c>
      <c r="AK195" s="3">
        <v>1076.6500000000001</v>
      </c>
      <c r="AL195" s="3" t="s">
        <v>137</v>
      </c>
      <c r="AM195" s="6" t="str">
        <f>PROPER(TRIM(SUBSTITUTE(AL195,".","")))</f>
        <v>Pending</v>
      </c>
      <c r="AN195" s="3" t="s">
        <v>78</v>
      </c>
      <c r="AO195" s="8" t="str">
        <f>PROPER(TRIM(SUBSTITUTE(AN195,".","")))</f>
        <v>Cancelled</v>
      </c>
      <c r="AP195" t="str">
        <f>IF(COUNTIF($A$2:$A$933, A195) &gt; 1, "Duplicate ID", "Unique")</f>
        <v>Unique</v>
      </c>
      <c r="AR195">
        <f t="shared" ref="AR195:AR258" si="28">AD195 * AE195 * (1 - AG195)</f>
        <v>5694.9840000000004</v>
      </c>
      <c r="AS195">
        <f t="shared" ref="AS195:AS258" si="29">AR195-AJ195</f>
        <v>1076.6540000000005</v>
      </c>
      <c r="AT195" s="15">
        <f t="shared" ref="AT195:AT258" si="30">IFERROR(AS195 / AR195, "")</f>
        <v>0.1890530333360024</v>
      </c>
      <c r="AU195" t="str">
        <f t="shared" ref="AU195:AU258" si="31">IF(OR(AH195="Invalid - Negative",AH195="Invalid - Above Range", J195="Invalid - Ship Before Order", AQ195="Conflicting Duplicate - Flagged"), "Invalid", IF(OR(R194="Unknown", AC194="Unknown", AH195="Missing"), "Warning", "Clean"))</f>
        <v>Invalid</v>
      </c>
      <c r="AV195" s="8" t="str">
        <f t="shared" ref="AV195:AV258" si="32">IF(AM195 = "Refunded", "Refund", IF(AO195 = "Cancelled", "Cancelled", "Active"))</f>
        <v>Cancelled</v>
      </c>
    </row>
    <row r="196" spans="1:48">
      <c r="A196" s="3" t="s">
        <v>1958</v>
      </c>
      <c r="B196" s="3" t="s">
        <v>1067</v>
      </c>
      <c r="C196" s="9">
        <f>IFERROR(DATEVALUE(TEXT(B196,"DD/MM/YYYY")), IF(ISNUMBER(B196), B196, ""))</f>
        <v>45449</v>
      </c>
      <c r="D196" s="9" t="str">
        <f>IF(B196="","Missing", IF(AND(ISNUMBER(B196)=FALSE, C196=""),"Invalid - Could Not Parse", IF(AND(ISNUMBER(B196)=FALSE, C196&lt;&gt;""),"Text - Converted to Date", IF(ISNUMBER(B196),"Valid","Check"))))</f>
        <v>Text - Converted to Date</v>
      </c>
      <c r="E196" s="5">
        <f t="shared" si="25"/>
        <v>6</v>
      </c>
      <c r="F196" s="5">
        <f t="shared" si="26"/>
        <v>2024</v>
      </c>
      <c r="G196" s="3" t="s">
        <v>1754</v>
      </c>
      <c r="H196" s="9">
        <f>IFERROR(DATEVALUE(TEXT(G196,"DD/MM/YYYY")), IF(ISNUMBER(G196), G196, ""))</f>
        <v>45479</v>
      </c>
      <c r="I196" s="9" t="str">
        <f>IF(G196="","Missing", IF(AND(ISNUMBER(G196)=FALSE, H196=""),"Invalid - Could Not Parse", IF(AND(ISNUMBER(G196)=FALSE, H196&lt;&gt;""),"Text - Converted to Date", IF(ISNUMBER(G196),"Valid","Check"))))</f>
        <v>Text - Converted to Date</v>
      </c>
      <c r="J196" s="9" t="str">
        <f>IF(OR(C196="", H196=""), "Cannot Check - Date Missing", IF(H196&lt;C196, "Invalid - Ship Before Order", "Valid"))</f>
        <v>Valid</v>
      </c>
      <c r="K196" s="5">
        <f>IF(OR(C196="", H196=""), "", IF(H196&lt;C196, "", H196-C196))</f>
        <v>30</v>
      </c>
      <c r="L196" s="3" t="s">
        <v>1959</v>
      </c>
      <c r="M196" s="3" t="s">
        <v>148</v>
      </c>
      <c r="N196" s="4" t="str">
        <f>TRIM(SUBSTITUTE(M196,"_"," "))</f>
        <v>Rahul Verma</v>
      </c>
      <c r="O196" s="3" t="s">
        <v>115</v>
      </c>
      <c r="P196" s="6" t="str">
        <f>PROPER(TRIM(SUBSTITUTE(O196,".","")))</f>
        <v>Home Office</v>
      </c>
      <c r="Q196" s="3" t="s">
        <v>62</v>
      </c>
      <c r="R196" s="7" t="str">
        <f>PROPER(TRIM(SUBSTITUTE(Q196,"  "," ")))</f>
        <v>South</v>
      </c>
      <c r="S196" s="3" t="s">
        <v>339</v>
      </c>
      <c r="T196" s="6" t="str">
        <f>PROPER(TRIM(SUBSTITUTE(S196,"  "," ")))</f>
        <v>Tamil Nadu</v>
      </c>
      <c r="U196" s="3" t="s">
        <v>340</v>
      </c>
      <c r="V196" s="6" t="str">
        <f>PROPER(TRIM(SUBSTITUTE(U196,"  "," ")))</f>
        <v>Chennai</v>
      </c>
      <c r="W196" s="3" t="s">
        <v>45</v>
      </c>
      <c r="X196" s="6" t="str">
        <f>PROPER(TRIM(SUBSTITUTE(W196,"  "," ")))</f>
        <v>Furniture</v>
      </c>
      <c r="Y196" s="3" t="s">
        <v>46</v>
      </c>
      <c r="Z196" s="6" t="str">
        <f>PROPER(TRIM(SUBSTITUTE(Y196,"  "," ")))</f>
        <v>Tables</v>
      </c>
      <c r="AA196" s="3" t="s">
        <v>1960</v>
      </c>
      <c r="AB196" s="3" t="s">
        <v>48</v>
      </c>
      <c r="AC196" s="6" t="str">
        <f>PROPER(TRIM(SUBSTITUTE(AB196,"  "," ")))</f>
        <v>Same Day</v>
      </c>
      <c r="AD196" s="3">
        <v>7</v>
      </c>
      <c r="AE196" s="3">
        <v>861.91</v>
      </c>
      <c r="AF196" s="3">
        <v>0.05</v>
      </c>
      <c r="AG196" s="17">
        <v>0.05</v>
      </c>
      <c r="AH196" s="6" t="str">
        <f t="shared" si="27"/>
        <v>Valid</v>
      </c>
      <c r="AI196" s="3">
        <v>5731.7</v>
      </c>
      <c r="AJ196" s="3">
        <v>4115.5600000000004</v>
      </c>
      <c r="AK196" s="3">
        <v>1616.14</v>
      </c>
      <c r="AL196" s="3" t="s">
        <v>34</v>
      </c>
      <c r="AM196" s="6" t="str">
        <f>PROPER(TRIM(SUBSTITUTE(AL196,".","")))</f>
        <v>Paid</v>
      </c>
      <c r="AN196" s="3" t="s">
        <v>35</v>
      </c>
      <c r="AO196" s="8" t="str">
        <f>PROPER(TRIM(SUBSTITUTE(AN196,".","")))</f>
        <v>Completed</v>
      </c>
      <c r="AP196" t="str">
        <f>IF(COUNTIF($A$2:$A$933, A196) &gt; 1, "Duplicate ID", "Unique")</f>
        <v>Unique</v>
      </c>
      <c r="AR196">
        <f t="shared" si="28"/>
        <v>5731.7014999999992</v>
      </c>
      <c r="AS196">
        <f t="shared" si="29"/>
        <v>1616.1414999999988</v>
      </c>
      <c r="AT196" s="15">
        <f t="shared" si="30"/>
        <v>0.28196539893084088</v>
      </c>
      <c r="AU196" t="str">
        <f t="shared" si="31"/>
        <v>Clean</v>
      </c>
      <c r="AV196" s="8" t="str">
        <f t="shared" si="32"/>
        <v>Active</v>
      </c>
    </row>
    <row r="197" spans="1:48">
      <c r="A197" s="3" t="s">
        <v>2208</v>
      </c>
      <c r="B197" s="3" t="s">
        <v>2209</v>
      </c>
      <c r="C197" s="9">
        <f>IFERROR(DATEVALUE(TEXT(B197,"DD/MM/YYYY")), IF(ISNUMBER(B197), B197, ""))</f>
        <v>45449</v>
      </c>
      <c r="D197" s="9" t="str">
        <f>IF(B197="","Missing", IF(AND(ISNUMBER(B197)=FALSE, C197=""),"Invalid - Could Not Parse", IF(AND(ISNUMBER(B197)=FALSE, C197&lt;&gt;""),"Text - Converted to Date", IF(ISNUMBER(B197),"Valid","Check"))))</f>
        <v>Text - Converted to Date</v>
      </c>
      <c r="E197" s="5">
        <f t="shared" si="25"/>
        <v>6</v>
      </c>
      <c r="F197" s="5">
        <f t="shared" si="26"/>
        <v>2024</v>
      </c>
      <c r="G197" s="3" t="s">
        <v>2210</v>
      </c>
      <c r="H197" s="9">
        <f>IFERROR(DATEVALUE(TEXT(G197,"DD/MM/YYYY")), IF(ISNUMBER(G197), G197, ""))</f>
        <v>45456</v>
      </c>
      <c r="I197" s="9" t="str">
        <f>IF(G197="","Missing", IF(AND(ISNUMBER(G197)=FALSE, H197=""),"Invalid - Could Not Parse", IF(AND(ISNUMBER(G197)=FALSE, H197&lt;&gt;""),"Text - Converted to Date", IF(ISNUMBER(G197),"Valid","Check"))))</f>
        <v>Text - Converted to Date</v>
      </c>
      <c r="J197" s="9" t="str">
        <f>IF(OR(C197="", H197=""), "Cannot Check - Date Missing", IF(H197&lt;C197, "Invalid - Ship Before Order", "Valid"))</f>
        <v>Valid</v>
      </c>
      <c r="K197" s="5">
        <f>IF(OR(C197="", H197=""), "", IF(H197&lt;C197, "", H197-C197))</f>
        <v>7</v>
      </c>
      <c r="L197" s="3" t="s">
        <v>2043</v>
      </c>
      <c r="M197" s="3" t="s">
        <v>107</v>
      </c>
      <c r="N197" s="4" t="str">
        <f>TRIM(SUBSTITUTE(M197,"_"," "))</f>
        <v>Aditi Sen</v>
      </c>
      <c r="O197" s="3" t="s">
        <v>108</v>
      </c>
      <c r="P197" s="6" t="str">
        <f>PROPER(TRIM(SUBSTITUTE(O197,".","")))</f>
        <v>Corporate</v>
      </c>
      <c r="Q197" s="3" t="s">
        <v>42</v>
      </c>
      <c r="R197" s="7" t="str">
        <f>PROPER(TRIM(SUBSTITUTE(Q197,"  "," ")))</f>
        <v>East</v>
      </c>
      <c r="S197" s="3" t="s">
        <v>216</v>
      </c>
      <c r="T197" s="6" t="str">
        <f>PROPER(TRIM(SUBSTITUTE(S197,"  "," ")))</f>
        <v>Assam</v>
      </c>
      <c r="U197" s="3" t="s">
        <v>217</v>
      </c>
      <c r="V197" s="6" t="str">
        <f>PROPER(TRIM(SUBSTITUTE(U197,"  "," ")))</f>
        <v>Guwahati</v>
      </c>
      <c r="W197" s="3" t="s">
        <v>86</v>
      </c>
      <c r="X197" s="6" t="str">
        <f>PROPER(TRIM(SUBSTITUTE(W197,"  "," ")))</f>
        <v>Technology</v>
      </c>
      <c r="Y197" s="3" t="s">
        <v>382</v>
      </c>
      <c r="Z197" s="6" t="str">
        <f>PROPER(TRIM(SUBSTITUTE(Y197,"  "," ")))</f>
        <v>Machines</v>
      </c>
      <c r="AA197" s="3" t="s">
        <v>2211</v>
      </c>
      <c r="AB197" s="3" t="s">
        <v>33</v>
      </c>
      <c r="AC197" s="6" t="str">
        <f>PROPER(TRIM(SUBSTITUTE(AB197,"  "," ")))</f>
        <v>Second Class</v>
      </c>
      <c r="AD197" s="3">
        <v>6</v>
      </c>
      <c r="AE197" s="3">
        <v>3270.36</v>
      </c>
      <c r="AF197" s="3">
        <v>0</v>
      </c>
      <c r="AG197" s="17">
        <v>0</v>
      </c>
      <c r="AH197" s="6" t="str">
        <f t="shared" si="27"/>
        <v>Valid</v>
      </c>
      <c r="AI197" s="3">
        <v>19622.16</v>
      </c>
      <c r="AJ197" s="3">
        <v>14271.27</v>
      </c>
      <c r="AK197" s="3">
        <v>5350.89</v>
      </c>
      <c r="AL197" s="3" t="s">
        <v>34</v>
      </c>
      <c r="AM197" s="6" t="str">
        <f>PROPER(TRIM(SUBSTITUTE(AL197,".","")))</f>
        <v>Paid</v>
      </c>
      <c r="AN197" s="3" t="s">
        <v>35</v>
      </c>
      <c r="AO197" s="8" t="str">
        <f>PROPER(TRIM(SUBSTITUTE(AN197,".","")))</f>
        <v>Completed</v>
      </c>
      <c r="AP197" t="str">
        <f>IF(COUNTIF($A$2:$A$933, A197) &gt; 1, "Duplicate ID", "Unique")</f>
        <v>Unique</v>
      </c>
      <c r="AR197">
        <f t="shared" si="28"/>
        <v>19622.16</v>
      </c>
      <c r="AS197">
        <f t="shared" si="29"/>
        <v>5350.8899999999994</v>
      </c>
      <c r="AT197" s="15">
        <f t="shared" si="30"/>
        <v>0.27269627808559299</v>
      </c>
      <c r="AU197" t="str">
        <f t="shared" si="31"/>
        <v>Clean</v>
      </c>
      <c r="AV197" s="8" t="str">
        <f t="shared" si="32"/>
        <v>Active</v>
      </c>
    </row>
    <row r="198" spans="1:48">
      <c r="A198" s="3" t="s">
        <v>4061</v>
      </c>
      <c r="B198" s="3" t="s">
        <v>4062</v>
      </c>
      <c r="C198" s="9">
        <f>IFERROR(DATEVALUE(TEXT(B198,"DD/MM/YYYY")), IF(ISNUMBER(B198), B198, ""))</f>
        <v>45449</v>
      </c>
      <c r="D198" s="9" t="str">
        <f>IF(B198="","Missing", IF(AND(ISNUMBER(B198)=FALSE, C198=""),"Invalid - Could Not Parse", IF(AND(ISNUMBER(B198)=FALSE, C198&lt;&gt;""),"Text - Converted to Date", IF(ISNUMBER(B198),"Valid","Check"))))</f>
        <v>Text - Converted to Date</v>
      </c>
      <c r="E198" s="5">
        <f t="shared" si="25"/>
        <v>6</v>
      </c>
      <c r="F198" s="5">
        <f t="shared" si="26"/>
        <v>2024</v>
      </c>
      <c r="G198" s="3" t="s">
        <v>4063</v>
      </c>
      <c r="H198" s="9">
        <f>IFERROR(DATEVALUE(TEXT(G198,"DD/MM/YYYY")), IF(ISNUMBER(G198), G198, ""))</f>
        <v>45451</v>
      </c>
      <c r="I198" s="9" t="str">
        <f>IF(G198="","Missing", IF(AND(ISNUMBER(G198)=FALSE, H198=""),"Invalid - Could Not Parse", IF(AND(ISNUMBER(G198)=FALSE, H198&lt;&gt;""),"Text - Converted to Date", IF(ISNUMBER(G198),"Valid","Check"))))</f>
        <v>Text - Converted to Date</v>
      </c>
      <c r="J198" s="9" t="str">
        <f>IF(OR(C198="", H198=""), "Cannot Check - Date Missing", IF(H198&lt;C198, "Invalid - Ship Before Order", "Valid"))</f>
        <v>Valid</v>
      </c>
      <c r="K198" s="5">
        <f>IF(OR(C198="", H198=""), "", IF(H198&lt;C198, "", H198-C198))</f>
        <v>2</v>
      </c>
      <c r="L198" s="3" t="s">
        <v>4064</v>
      </c>
      <c r="M198" s="3" t="s">
        <v>162</v>
      </c>
      <c r="N198" s="4" t="str">
        <f>TRIM(SUBSTITUTE(M198,"_"," "))</f>
        <v>Aarav Sharma</v>
      </c>
      <c r="O198" s="3" t="s">
        <v>108</v>
      </c>
      <c r="P198" s="6" t="str">
        <f>PROPER(TRIM(SUBSTITUTE(O198,".","")))</f>
        <v>Corporate</v>
      </c>
      <c r="Q198" s="3" t="s">
        <v>62</v>
      </c>
      <c r="R198" s="7" t="str">
        <f>PROPER(TRIM(SUBSTITUTE(Q198,"  "," ")))</f>
        <v>South</v>
      </c>
      <c r="S198" s="3" t="s">
        <v>229</v>
      </c>
      <c r="T198" s="6" t="str">
        <f>PROPER(TRIM(SUBSTITUTE(S198,"  "," ")))</f>
        <v>Karnataka</v>
      </c>
      <c r="U198" s="3" t="s">
        <v>230</v>
      </c>
      <c r="V198" s="6" t="str">
        <f>PROPER(TRIM(SUBSTITUTE(U198,"  "," ")))</f>
        <v>Bengaluru</v>
      </c>
      <c r="W198" s="3" t="s">
        <v>45</v>
      </c>
      <c r="X198" s="6" t="str">
        <f>PROPER(TRIM(SUBSTITUTE(W198,"  "," ")))</f>
        <v>Furniture</v>
      </c>
      <c r="Y198" s="3" t="s">
        <v>46</v>
      </c>
      <c r="Z198" s="6" t="str">
        <f>PROPER(TRIM(SUBSTITUTE(Y198,"  "," ")))</f>
        <v>Tables</v>
      </c>
      <c r="AA198" s="3" t="s">
        <v>4065</v>
      </c>
      <c r="AB198" s="3" t="s">
        <v>33</v>
      </c>
      <c r="AC198" s="6" t="str">
        <f>PROPER(TRIM(SUBSTITUTE(AB198,"  "," ")))</f>
        <v>Second Class</v>
      </c>
      <c r="AD198" s="3">
        <v>3</v>
      </c>
      <c r="AE198" s="3">
        <v>395.49</v>
      </c>
      <c r="AF198" s="3">
        <v>0.05</v>
      </c>
      <c r="AG198" s="17">
        <v>0.05</v>
      </c>
      <c r="AH198" s="6" t="str">
        <f t="shared" si="27"/>
        <v>Valid</v>
      </c>
      <c r="AI198" s="3">
        <v>1127.1500000000001</v>
      </c>
      <c r="AJ198" s="3">
        <v>845.62</v>
      </c>
      <c r="AK198" s="3">
        <v>281.52999999999997</v>
      </c>
      <c r="AL198" s="3" t="s">
        <v>34</v>
      </c>
      <c r="AM198" s="6" t="str">
        <f>PROPER(TRIM(SUBSTITUTE(AL198,".","")))</f>
        <v>Paid</v>
      </c>
      <c r="AN198" s="3" t="s">
        <v>125</v>
      </c>
      <c r="AO198" s="8" t="str">
        <f>PROPER(TRIM(SUBSTITUTE(AN198,".","")))</f>
        <v>Returned</v>
      </c>
      <c r="AP198" t="str">
        <f>IF(COUNTIF($A$2:$A$933, A198) &gt; 1, "Duplicate ID", "Unique")</f>
        <v>Unique</v>
      </c>
      <c r="AR198">
        <f t="shared" si="28"/>
        <v>1127.1465000000001</v>
      </c>
      <c r="AS198">
        <f t="shared" si="29"/>
        <v>281.52650000000006</v>
      </c>
      <c r="AT198" s="15">
        <f t="shared" si="30"/>
        <v>0.24976921810962466</v>
      </c>
      <c r="AU198" t="str">
        <f t="shared" si="31"/>
        <v>Clean</v>
      </c>
      <c r="AV198" s="8" t="str">
        <f t="shared" si="32"/>
        <v>Active</v>
      </c>
    </row>
    <row r="199" spans="1:48">
      <c r="A199" s="3" t="s">
        <v>809</v>
      </c>
      <c r="B199" s="3" t="s">
        <v>578</v>
      </c>
      <c r="C199" s="9">
        <f>IFERROR(DATEVALUE(TEXT(B199,"DD/MM/YYYY")), IF(ISNUMBER(B199), B199, ""))</f>
        <v>45450</v>
      </c>
      <c r="D199" s="9" t="str">
        <f>IF(B199="","Missing", IF(AND(ISNUMBER(B199)=FALSE, C199=""),"Invalid - Could Not Parse", IF(AND(ISNUMBER(B199)=FALSE, C199&lt;&gt;""),"Text - Converted to Date", IF(ISNUMBER(B199),"Valid","Check"))))</f>
        <v>Text - Converted to Date</v>
      </c>
      <c r="E199" s="5">
        <f t="shared" si="25"/>
        <v>6</v>
      </c>
      <c r="F199" s="5">
        <f t="shared" si="26"/>
        <v>2024</v>
      </c>
      <c r="G199" s="3" t="s">
        <v>810</v>
      </c>
      <c r="H199" s="9">
        <f>IFERROR(DATEVALUE(TEXT(G199,"DD/MM/YYYY")), IF(ISNUMBER(G199), G199, ""))</f>
        <v>45458</v>
      </c>
      <c r="I199" s="9" t="str">
        <f>IF(G199="","Missing", IF(AND(ISNUMBER(G199)=FALSE, H199=""),"Invalid - Could Not Parse", IF(AND(ISNUMBER(G199)=FALSE, H199&lt;&gt;""),"Text - Converted to Date", IF(ISNUMBER(G199),"Valid","Check"))))</f>
        <v>Text - Converted to Date</v>
      </c>
      <c r="J199" s="9" t="str">
        <f>IF(OR(C199="", H199=""), "Cannot Check - Date Missing", IF(H199&lt;C199, "Invalid - Ship Before Order", "Valid"))</f>
        <v>Valid</v>
      </c>
      <c r="K199" s="5">
        <f>IF(OR(C199="", H199=""), "", IF(H199&lt;C199, "", H199-C199))</f>
        <v>8</v>
      </c>
      <c r="L199" s="3" t="s">
        <v>811</v>
      </c>
      <c r="M199" s="3" t="s">
        <v>366</v>
      </c>
      <c r="N199" s="4" t="str">
        <f>TRIM(SUBSTITUTE(M199,"_"," "))</f>
        <v>Kabir Singh</v>
      </c>
      <c r="O199" s="3" t="s">
        <v>41</v>
      </c>
      <c r="P199" s="6" t="str">
        <f>PROPER(TRIM(SUBSTITUTE(O199,".","")))</f>
        <v>Small Business</v>
      </c>
      <c r="Q199" s="3" t="s">
        <v>62</v>
      </c>
      <c r="R199" s="7" t="str">
        <f>PROPER(TRIM(SUBSTITUTE(Q199,"  "," ")))</f>
        <v>South</v>
      </c>
      <c r="S199" s="3" t="s">
        <v>63</v>
      </c>
      <c r="T199" s="6" t="str">
        <f>PROPER(TRIM(SUBSTITUTE(S199,"  "," ")))</f>
        <v>Telangana</v>
      </c>
      <c r="U199" s="3" t="s">
        <v>64</v>
      </c>
      <c r="V199" s="6" t="str">
        <f>PROPER(TRIM(SUBSTITUTE(U199,"  "," ")))</f>
        <v>Hyderabad</v>
      </c>
      <c r="W199" s="3" t="s">
        <v>86</v>
      </c>
      <c r="X199" s="6" t="str">
        <f>PROPER(TRIM(SUBSTITUTE(W199,"  "," ")))</f>
        <v>Technology</v>
      </c>
      <c r="Y199" s="3" t="s">
        <v>87</v>
      </c>
      <c r="Z199" s="6" t="str">
        <f>PROPER(TRIM(SUBSTITUTE(Y199,"  "," ")))</f>
        <v>Accessories</v>
      </c>
      <c r="AA199" s="3" t="s">
        <v>812</v>
      </c>
      <c r="AB199" s="3" t="s">
        <v>56</v>
      </c>
      <c r="AC199" s="6" t="str">
        <f>PROPER(TRIM(SUBSTITUTE(AB199,"  "," ")))</f>
        <v>First Class</v>
      </c>
      <c r="AD199" s="3">
        <v>7</v>
      </c>
      <c r="AE199" s="3">
        <v>2147.9899999999998</v>
      </c>
      <c r="AF199" s="3">
        <v>0.25</v>
      </c>
      <c r="AG199" s="17">
        <v>0.25</v>
      </c>
      <c r="AH199" s="6" t="str">
        <f t="shared" si="27"/>
        <v>Valid</v>
      </c>
      <c r="AI199" s="3">
        <v>11276.95</v>
      </c>
      <c r="AJ199" s="3">
        <v>6908.76</v>
      </c>
      <c r="AK199" s="3">
        <v>4368.1899999999996</v>
      </c>
      <c r="AL199" s="3" t="s">
        <v>124</v>
      </c>
      <c r="AM199" s="6" t="str">
        <f>PROPER(TRIM(SUBSTITUTE(AL199,".","")))</f>
        <v>Refunded</v>
      </c>
      <c r="AN199" s="3" t="s">
        <v>125</v>
      </c>
      <c r="AO199" s="8" t="str">
        <f>PROPER(TRIM(SUBSTITUTE(AN199,".","")))</f>
        <v>Returned</v>
      </c>
      <c r="AP199" t="str">
        <f>IF(COUNTIF($A$2:$A$933, A199) &gt; 1, "Duplicate ID", "Unique")</f>
        <v>Unique</v>
      </c>
      <c r="AR199">
        <f t="shared" si="28"/>
        <v>11276.947499999998</v>
      </c>
      <c r="AS199">
        <f t="shared" si="29"/>
        <v>4368.1874999999982</v>
      </c>
      <c r="AT199" s="15">
        <f t="shared" si="30"/>
        <v>0.38735548782150481</v>
      </c>
      <c r="AU199" t="str">
        <f t="shared" si="31"/>
        <v>Clean</v>
      </c>
      <c r="AV199" s="8" t="str">
        <f t="shared" si="32"/>
        <v>Refund</v>
      </c>
    </row>
    <row r="200" spans="1:48">
      <c r="A200" s="3" t="s">
        <v>3614</v>
      </c>
      <c r="B200" s="3" t="s">
        <v>3615</v>
      </c>
      <c r="C200" s="9">
        <f>IFERROR(DATEVALUE(TEXT(B200,"DD/MM/YYYY")), IF(ISNUMBER(B200), B200, ""))</f>
        <v>45450</v>
      </c>
      <c r="D200" s="9" t="str">
        <f>IF(B200="","Missing", IF(AND(ISNUMBER(B200)=FALSE, C200=""),"Invalid - Could Not Parse", IF(AND(ISNUMBER(B200)=FALSE, C200&lt;&gt;""),"Text - Converted to Date", IF(ISNUMBER(B200),"Valid","Check"))))</f>
        <v>Text - Converted to Date</v>
      </c>
      <c r="E200" s="5">
        <f t="shared" si="25"/>
        <v>6</v>
      </c>
      <c r="F200" s="5">
        <f t="shared" si="26"/>
        <v>2024</v>
      </c>
      <c r="G200" s="3" t="s">
        <v>3616</v>
      </c>
      <c r="H200" s="9">
        <f>IFERROR(DATEVALUE(TEXT(G200,"DD/MM/YYYY")), IF(ISNUMBER(G200), G200, ""))</f>
        <v>45450</v>
      </c>
      <c r="I200" s="9" t="str">
        <f>IF(G200="","Missing", IF(AND(ISNUMBER(G200)=FALSE, H200=""),"Invalid - Could Not Parse", IF(AND(ISNUMBER(G200)=FALSE, H200&lt;&gt;""),"Text - Converted to Date", IF(ISNUMBER(G200),"Valid","Check"))))</f>
        <v>Text - Converted to Date</v>
      </c>
      <c r="J200" s="9" t="str">
        <f>IF(OR(C200="", H200=""), "Cannot Check - Date Missing", IF(H200&lt;C200, "Invalid - Ship Before Order", "Valid"))</f>
        <v>Valid</v>
      </c>
      <c r="K200" s="5">
        <f>IF(OR(C200="", H200=""), "", IF(H200&lt;C200, "", H200-C200))</f>
        <v>0</v>
      </c>
      <c r="L200" s="3" t="s">
        <v>3617</v>
      </c>
      <c r="M200" s="3" t="s">
        <v>162</v>
      </c>
      <c r="N200" s="4" t="str">
        <f>TRIM(SUBSTITUTE(M200,"_"," "))</f>
        <v>Aarav Sharma</v>
      </c>
      <c r="O200" s="3" t="s">
        <v>41</v>
      </c>
      <c r="P200" s="6" t="str">
        <f>PROPER(TRIM(SUBSTITUTE(O200,".","")))</f>
        <v>Small Business</v>
      </c>
      <c r="Q200" s="3" t="s">
        <v>42</v>
      </c>
      <c r="R200" s="7" t="str">
        <f>PROPER(TRIM(SUBSTITUTE(Q200,"  "," ")))</f>
        <v>East</v>
      </c>
      <c r="S200" s="3" t="s">
        <v>186</v>
      </c>
      <c r="T200" s="6" t="str">
        <f>PROPER(TRIM(SUBSTITUTE(S200,"  "," ")))</f>
        <v>Bihar</v>
      </c>
      <c r="U200" s="3" t="s">
        <v>187</v>
      </c>
      <c r="V200" s="6" t="str">
        <f>PROPER(TRIM(SUBSTITUTE(U200,"  "," ")))</f>
        <v>Patna</v>
      </c>
      <c r="W200" s="3" t="s">
        <v>30</v>
      </c>
      <c r="X200" s="6" t="str">
        <f>PROPER(TRIM(SUBSTITUTE(W200,"  "," ")))</f>
        <v>Office Supplies</v>
      </c>
      <c r="Y200" s="3" t="s">
        <v>54</v>
      </c>
      <c r="Z200" s="6" t="str">
        <f>PROPER(TRIM(SUBSTITUTE(Y200,"  "," ")))</f>
        <v>Art</v>
      </c>
      <c r="AA200" s="3" t="s">
        <v>3618</v>
      </c>
      <c r="AB200" s="3" t="s">
        <v>33</v>
      </c>
      <c r="AC200" s="6" t="str">
        <f>PROPER(TRIM(SUBSTITUTE(AB200,"  "," ")))</f>
        <v>Second Class</v>
      </c>
      <c r="AD200" s="3">
        <v>1</v>
      </c>
      <c r="AE200" s="3">
        <v>2581.9299999999998</v>
      </c>
      <c r="AF200" s="3">
        <v>0.05</v>
      </c>
      <c r="AG200" s="17">
        <v>0.05</v>
      </c>
      <c r="AH200" s="6" t="str">
        <f t="shared" si="27"/>
        <v>Valid</v>
      </c>
      <c r="AI200" s="3">
        <v>2452.83</v>
      </c>
      <c r="AJ200" s="3">
        <v>1906.7</v>
      </c>
      <c r="AK200" s="3">
        <v>546.13</v>
      </c>
      <c r="AL200" s="3" t="s">
        <v>34</v>
      </c>
      <c r="AM200" s="6" t="str">
        <f>PROPER(TRIM(SUBSTITUTE(AL200,".","")))</f>
        <v>Paid</v>
      </c>
      <c r="AN200" s="3" t="s">
        <v>35</v>
      </c>
      <c r="AO200" s="8" t="str">
        <f>PROPER(TRIM(SUBSTITUTE(AN200,".","")))</f>
        <v>Completed</v>
      </c>
      <c r="AP200" t="str">
        <f>IF(COUNTIF($A$2:$A$933, A200) &gt; 1, "Duplicate ID", "Unique")</f>
        <v>Unique</v>
      </c>
      <c r="AR200">
        <f t="shared" si="28"/>
        <v>2452.8334999999997</v>
      </c>
      <c r="AS200">
        <f t="shared" si="29"/>
        <v>546.13349999999969</v>
      </c>
      <c r="AT200" s="15">
        <f t="shared" si="30"/>
        <v>0.22265412634000625</v>
      </c>
      <c r="AU200" t="str">
        <f t="shared" si="31"/>
        <v>Clean</v>
      </c>
      <c r="AV200" s="8" t="str">
        <f t="shared" si="32"/>
        <v>Active</v>
      </c>
    </row>
    <row r="201" spans="1:48">
      <c r="A201" s="3" t="s">
        <v>566</v>
      </c>
      <c r="B201" s="3" t="s">
        <v>567</v>
      </c>
      <c r="C201" s="9">
        <f>IFERROR(DATEVALUE(TEXT(B201,"DD/MM/YYYY")), IF(ISNUMBER(B201), B201, ""))</f>
        <v>45452</v>
      </c>
      <c r="D201" s="9" t="str">
        <f>IF(B201="","Missing", IF(AND(ISNUMBER(B201)=FALSE, C201=""),"Invalid - Could Not Parse", IF(AND(ISNUMBER(B201)=FALSE, C201&lt;&gt;""),"Text - Converted to Date", IF(ISNUMBER(B201),"Valid","Check"))))</f>
        <v>Text - Converted to Date</v>
      </c>
      <c r="E201" s="5">
        <f t="shared" si="25"/>
        <v>6</v>
      </c>
      <c r="F201" s="5">
        <f t="shared" si="26"/>
        <v>2024</v>
      </c>
      <c r="G201" s="3" t="s">
        <v>568</v>
      </c>
      <c r="H201" s="9">
        <f>IFERROR(DATEVALUE(TEXT(G201,"DD/MM/YYYY")), IF(ISNUMBER(G201), G201, ""))</f>
        <v>45544</v>
      </c>
      <c r="I201" s="9" t="str">
        <f>IF(G201="","Missing", IF(AND(ISNUMBER(G201)=FALSE, H201=""),"Invalid - Could Not Parse", IF(AND(ISNUMBER(G201)=FALSE, H201&lt;&gt;""),"Text - Converted to Date", IF(ISNUMBER(G201),"Valid","Check"))))</f>
        <v>Text - Converted to Date</v>
      </c>
      <c r="J201" s="9" t="str">
        <f>IF(OR(C201="", H201=""), "Cannot Check - Date Missing", IF(H201&lt;C201, "Invalid - Ship Before Order", "Valid"))</f>
        <v>Valid</v>
      </c>
      <c r="K201" s="5">
        <f>IF(OR(C201="", H201=""), "", IF(H201&lt;C201, "", H201-C201))</f>
        <v>92</v>
      </c>
      <c r="L201" s="3" t="s">
        <v>569</v>
      </c>
      <c r="M201" s="3" t="s">
        <v>210</v>
      </c>
      <c r="N201" s="4" t="str">
        <f>TRIM(SUBSTITUTE(M201,"_"," "))</f>
        <v>Diya Patel</v>
      </c>
      <c r="O201" s="3" t="s">
        <v>26</v>
      </c>
      <c r="P201" s="6" t="str">
        <f>PROPER(TRIM(SUBSTITUTE(O201,".","")))</f>
        <v>Consumer</v>
      </c>
      <c r="Q201" s="3" t="s">
        <v>27</v>
      </c>
      <c r="R201" s="7" t="str">
        <f>PROPER(TRIM(SUBSTITUTE(Q201,"  "," ")))</f>
        <v>North</v>
      </c>
      <c r="S201" s="3" t="s">
        <v>323</v>
      </c>
      <c r="T201" s="6" t="str">
        <f>PROPER(TRIM(SUBSTITUTE(S201,"  "," ")))</f>
        <v>Haryana</v>
      </c>
      <c r="U201" s="3" t="s">
        <v>324</v>
      </c>
      <c r="V201" s="6" t="str">
        <f>PROPER(TRIM(SUBSTITUTE(U201,"  "," ")))</f>
        <v>Gurugram</v>
      </c>
      <c r="W201" s="3" t="s">
        <v>86</v>
      </c>
      <c r="X201" s="6" t="str">
        <f>PROPER(TRIM(SUBSTITUTE(W201,"  "," ")))</f>
        <v>Technology</v>
      </c>
      <c r="Y201" s="3" t="s">
        <v>223</v>
      </c>
      <c r="Z201" s="6" t="str">
        <f>PROPER(TRIM(SUBSTITUTE(Y201,"  "," ")))</f>
        <v>Phones</v>
      </c>
      <c r="AA201" s="3" t="s">
        <v>570</v>
      </c>
      <c r="AB201" s="3" t="s">
        <v>33</v>
      </c>
      <c r="AC201" s="6" t="str">
        <f>PROPER(TRIM(SUBSTITUTE(AB201,"  "," ")))</f>
        <v>Second Class</v>
      </c>
      <c r="AD201" s="3">
        <v>7</v>
      </c>
      <c r="AE201" s="3">
        <v>3781.53</v>
      </c>
      <c r="AF201" s="3">
        <v>0</v>
      </c>
      <c r="AG201" s="17">
        <v>0</v>
      </c>
      <c r="AH201" s="6" t="str">
        <f t="shared" si="27"/>
        <v>Valid</v>
      </c>
      <c r="AI201" s="3">
        <v>26470.71</v>
      </c>
      <c r="AJ201" s="3">
        <v>21367.599999999999</v>
      </c>
      <c r="AK201" s="3">
        <v>5103.1099999999997</v>
      </c>
      <c r="AL201" s="3" t="s">
        <v>137</v>
      </c>
      <c r="AM201" s="6" t="str">
        <f>PROPER(TRIM(SUBSTITUTE(AL201,".","")))</f>
        <v>Pending</v>
      </c>
      <c r="AN201" s="3" t="s">
        <v>78</v>
      </c>
      <c r="AO201" s="8" t="str">
        <f>PROPER(TRIM(SUBSTITUTE(AN201,".","")))</f>
        <v>Cancelled</v>
      </c>
      <c r="AP201" t="str">
        <f>IF(COUNTIF($A$2:$A$933, A201) &gt; 1, "Duplicate ID", "Unique")</f>
        <v>Unique</v>
      </c>
      <c r="AR201">
        <f t="shared" si="28"/>
        <v>26470.710000000003</v>
      </c>
      <c r="AS201">
        <f t="shared" si="29"/>
        <v>5103.1100000000042</v>
      </c>
      <c r="AT201" s="15">
        <f t="shared" si="30"/>
        <v>0.19278326875251944</v>
      </c>
      <c r="AU201" t="str">
        <f t="shared" si="31"/>
        <v>Clean</v>
      </c>
      <c r="AV201" s="8" t="str">
        <f t="shared" si="32"/>
        <v>Cancelled</v>
      </c>
    </row>
    <row r="202" spans="1:48">
      <c r="A202" s="3" t="s">
        <v>3276</v>
      </c>
      <c r="B202" s="3" t="s">
        <v>3277</v>
      </c>
      <c r="C202" s="9">
        <f>IFERROR(DATEVALUE(TEXT(B202,"DD/MM/YYYY")), IF(ISNUMBER(B202), B202, ""))</f>
        <v>45454</v>
      </c>
      <c r="D202" s="9" t="str">
        <f>IF(B202="","Missing", IF(AND(ISNUMBER(B202)=FALSE, C202=""),"Invalid - Could Not Parse", IF(AND(ISNUMBER(B202)=FALSE, C202&lt;&gt;""),"Text - Converted to Date", IF(ISNUMBER(B202),"Valid","Check"))))</f>
        <v>Text - Converted to Date</v>
      </c>
      <c r="E202" s="5">
        <f t="shared" si="25"/>
        <v>6</v>
      </c>
      <c r="F202" s="5">
        <f t="shared" si="26"/>
        <v>2024</v>
      </c>
      <c r="G202" s="3" t="s">
        <v>3278</v>
      </c>
      <c r="H202" s="9">
        <f>IFERROR(DATEVALUE(TEXT(G202,"DD/MM/YYYY")), IF(ISNUMBER(G202), G202, ""))</f>
        <v>45454</v>
      </c>
      <c r="I202" s="9" t="str">
        <f>IF(G202="","Missing", IF(AND(ISNUMBER(G202)=FALSE, H202=""),"Invalid - Could Not Parse", IF(AND(ISNUMBER(G202)=FALSE, H202&lt;&gt;""),"Text - Converted to Date", IF(ISNUMBER(G202),"Valid","Check"))))</f>
        <v>Text - Converted to Date</v>
      </c>
      <c r="J202" s="9" t="str">
        <f>IF(OR(C202="", H202=""), "Cannot Check - Date Missing", IF(H202&lt;C202, "Invalid - Ship Before Order", "Valid"))</f>
        <v>Valid</v>
      </c>
      <c r="K202" s="5">
        <f>IF(OR(C202="", H202=""), "", IF(H202&lt;C202, "", H202-C202))</f>
        <v>0</v>
      </c>
      <c r="L202" s="3" t="s">
        <v>3279</v>
      </c>
      <c r="M202" s="3" t="s">
        <v>61</v>
      </c>
      <c r="N202" s="4" t="str">
        <f>TRIM(SUBSTITUTE(M202,"_"," "))</f>
        <v>Arjun Bose</v>
      </c>
      <c r="O202" s="3" t="s">
        <v>41</v>
      </c>
      <c r="P202" s="6" t="str">
        <f>PROPER(TRIM(SUBSTITUTE(O202,".","")))</f>
        <v>Small Business</v>
      </c>
      <c r="Q202" s="3" t="s">
        <v>62</v>
      </c>
      <c r="R202" s="7" t="str">
        <f>PROPER(TRIM(SUBSTITUTE(Q202,"  "," ")))</f>
        <v>South</v>
      </c>
      <c r="S202" s="3" t="s">
        <v>229</v>
      </c>
      <c r="T202" s="6" t="str">
        <f>PROPER(TRIM(SUBSTITUTE(S202,"  "," ")))</f>
        <v>Karnataka</v>
      </c>
      <c r="U202" s="3" t="s">
        <v>230</v>
      </c>
      <c r="V202" s="6" t="str">
        <f>PROPER(TRIM(SUBSTITUTE(U202,"  "," ")))</f>
        <v>Bengaluru</v>
      </c>
      <c r="W202" s="3" t="s">
        <v>45</v>
      </c>
      <c r="X202" s="6" t="str">
        <f>PROPER(TRIM(SUBSTITUTE(W202,"  "," ")))</f>
        <v>Furniture</v>
      </c>
      <c r="Y202" s="3" t="s">
        <v>204</v>
      </c>
      <c r="Z202" s="6" t="str">
        <f>PROPER(TRIM(SUBSTITUTE(Y202,"  "," ")))</f>
        <v>Bookcases</v>
      </c>
      <c r="AA202" s="3" t="s">
        <v>3280</v>
      </c>
      <c r="AB202" s="3" t="s">
        <v>67</v>
      </c>
      <c r="AC202" s="6" t="str">
        <f>PROPER(TRIM(SUBSTITUTE(AB202,"  "," ")))</f>
        <v>Standard Class</v>
      </c>
      <c r="AD202" s="3">
        <v>9</v>
      </c>
      <c r="AE202" s="3">
        <v>1400.11</v>
      </c>
      <c r="AF202" s="3">
        <v>0.25</v>
      </c>
      <c r="AG202" s="17">
        <v>0.25</v>
      </c>
      <c r="AH202" s="6" t="str">
        <f t="shared" si="27"/>
        <v>Valid</v>
      </c>
      <c r="AI202" s="3">
        <v>9450.74</v>
      </c>
      <c r="AJ202" s="3">
        <v>7798.56</v>
      </c>
      <c r="AK202" s="3">
        <v>1652.18</v>
      </c>
      <c r="AL202" s="3" t="s">
        <v>34</v>
      </c>
      <c r="AM202" s="6" t="str">
        <f>PROPER(TRIM(SUBSTITUTE(AL202,".","")))</f>
        <v>Paid</v>
      </c>
      <c r="AN202" s="3" t="s">
        <v>35</v>
      </c>
      <c r="AO202" s="8" t="str">
        <f>PROPER(TRIM(SUBSTITUTE(AN202,".","")))</f>
        <v>Completed</v>
      </c>
      <c r="AP202" t="str">
        <f>IF(COUNTIF($A$2:$A$933, A202) &gt; 1, "Duplicate ID", "Unique")</f>
        <v>Unique</v>
      </c>
      <c r="AR202">
        <f t="shared" si="28"/>
        <v>9450.7425000000003</v>
      </c>
      <c r="AS202">
        <f t="shared" si="29"/>
        <v>1652.1824999999999</v>
      </c>
      <c r="AT202" s="15">
        <f t="shared" si="30"/>
        <v>0.17482039109625511</v>
      </c>
      <c r="AU202" t="str">
        <f t="shared" si="31"/>
        <v>Clean</v>
      </c>
      <c r="AV202" s="8" t="str">
        <f t="shared" si="32"/>
        <v>Active</v>
      </c>
    </row>
    <row r="203" spans="1:48">
      <c r="A203" s="3" t="s">
        <v>688</v>
      </c>
      <c r="B203" s="3" t="s">
        <v>689</v>
      </c>
      <c r="C203" s="9">
        <f>IFERROR(DATEVALUE(TEXT(B203,"DD/MM/YYYY")), IF(ISNUMBER(B203), B203, ""))</f>
        <v>45455</v>
      </c>
      <c r="D203" s="9" t="str">
        <f>IF(B203="","Missing", IF(AND(ISNUMBER(B203)=FALSE, C203=""),"Invalid - Could Not Parse", IF(AND(ISNUMBER(B203)=FALSE, C203&lt;&gt;""),"Text - Converted to Date", IF(ISNUMBER(B203),"Valid","Check"))))</f>
        <v>Text - Converted to Date</v>
      </c>
      <c r="E203" s="5">
        <f t="shared" si="25"/>
        <v>6</v>
      </c>
      <c r="F203" s="5">
        <f t="shared" si="26"/>
        <v>2024</v>
      </c>
      <c r="G203" s="3" t="s">
        <v>690</v>
      </c>
      <c r="H203" s="9">
        <f>IFERROR(DATEVALUE(TEXT(G203,"DD/MM/YYYY")), IF(ISNUMBER(G203), G203, ""))</f>
        <v>45462</v>
      </c>
      <c r="I203" s="9" t="str">
        <f>IF(G203="","Missing", IF(AND(ISNUMBER(G203)=FALSE, H203=""),"Invalid - Could Not Parse", IF(AND(ISNUMBER(G203)=FALSE, H203&lt;&gt;""),"Text - Converted to Date", IF(ISNUMBER(G203),"Valid","Check"))))</f>
        <v>Text - Converted to Date</v>
      </c>
      <c r="J203" s="9" t="str">
        <f>IF(OR(C203="", H203=""), "Cannot Check - Date Missing", IF(H203&lt;C203, "Invalid - Ship Before Order", "Valid"))</f>
        <v>Valid</v>
      </c>
      <c r="K203" s="5">
        <f>IF(OR(C203="", H203=""), "", IF(H203&lt;C203, "", H203-C203))</f>
        <v>7</v>
      </c>
      <c r="L203" s="3" t="s">
        <v>691</v>
      </c>
      <c r="M203" s="3" t="s">
        <v>107</v>
      </c>
      <c r="N203" s="4" t="str">
        <f>TRIM(SUBSTITUTE(M203,"_"," "))</f>
        <v>Aditi Sen</v>
      </c>
      <c r="O203" s="3" t="s">
        <v>41</v>
      </c>
      <c r="P203" s="6" t="str">
        <f>PROPER(TRIM(SUBSTITUTE(O203,".","")))</f>
        <v>Small Business</v>
      </c>
      <c r="Q203" s="3" t="s">
        <v>62</v>
      </c>
      <c r="R203" s="7" t="str">
        <f>PROPER(TRIM(SUBSTITUTE(Q203,"  "," ")))</f>
        <v>South</v>
      </c>
      <c r="S203" s="3" t="s">
        <v>242</v>
      </c>
      <c r="T203" s="6" t="str">
        <f>PROPER(TRIM(SUBSTITUTE(S203,"  "," ")))</f>
        <v>Kerala</v>
      </c>
      <c r="U203" s="3" t="s">
        <v>243</v>
      </c>
      <c r="V203" s="6" t="str">
        <f>PROPER(TRIM(SUBSTITUTE(U203,"  "," ")))</f>
        <v>Kochi</v>
      </c>
      <c r="W203" s="3" t="s">
        <v>45</v>
      </c>
      <c r="X203" s="6" t="str">
        <f>PROPER(TRIM(SUBSTITUTE(W203,"  "," ")))</f>
        <v>Furniture</v>
      </c>
      <c r="Y203" s="3" t="s">
        <v>76</v>
      </c>
      <c r="Z203" s="6" t="str">
        <f>PROPER(TRIM(SUBSTITUTE(Y203,"  "," ")))</f>
        <v>Chairs</v>
      </c>
      <c r="AA203" s="3" t="s">
        <v>692</v>
      </c>
      <c r="AB203" s="3" t="s">
        <v>67</v>
      </c>
      <c r="AC203" s="6" t="str">
        <f>PROPER(TRIM(SUBSTITUTE(AB203,"  "," ")))</f>
        <v>Standard Class</v>
      </c>
      <c r="AD203" s="3">
        <v>8</v>
      </c>
      <c r="AE203" s="3">
        <v>314.05</v>
      </c>
      <c r="AF203" s="3">
        <v>0.25</v>
      </c>
      <c r="AG203" s="17">
        <v>0.25</v>
      </c>
      <c r="AH203" s="6" t="str">
        <f t="shared" si="27"/>
        <v>Valid</v>
      </c>
      <c r="AI203" s="3">
        <v>1884.3</v>
      </c>
      <c r="AJ203" s="3">
        <v>1517.69</v>
      </c>
      <c r="AK203" s="3">
        <v>366.61</v>
      </c>
      <c r="AL203" s="3" t="s">
        <v>124</v>
      </c>
      <c r="AM203" s="6" t="str">
        <f>PROPER(TRIM(SUBSTITUTE(AL203,".","")))</f>
        <v>Refunded</v>
      </c>
      <c r="AN203" s="3" t="s">
        <v>125</v>
      </c>
      <c r="AO203" s="8" t="str">
        <f>PROPER(TRIM(SUBSTITUTE(AN203,".","")))</f>
        <v>Returned</v>
      </c>
      <c r="AP203" t="str">
        <f>IF(COUNTIF($A$2:$A$933, A203) &gt; 1, "Duplicate ID", "Unique")</f>
        <v>Unique</v>
      </c>
      <c r="AR203">
        <f t="shared" si="28"/>
        <v>1884.3000000000002</v>
      </c>
      <c r="AS203">
        <f t="shared" si="29"/>
        <v>366.61000000000013</v>
      </c>
      <c r="AT203" s="15">
        <f t="shared" si="30"/>
        <v>0.19456031417502526</v>
      </c>
      <c r="AU203" t="str">
        <f t="shared" si="31"/>
        <v>Clean</v>
      </c>
      <c r="AV203" s="8" t="str">
        <f t="shared" si="32"/>
        <v>Refund</v>
      </c>
    </row>
    <row r="204" spans="1:48">
      <c r="A204" s="3" t="s">
        <v>3917</v>
      </c>
      <c r="B204" s="3" t="s">
        <v>3918</v>
      </c>
      <c r="C204" s="9">
        <f>IFERROR(DATEVALUE(TEXT(B204,"DD/MM/YYYY")), IF(ISNUMBER(B204), B204, ""))</f>
        <v>45455</v>
      </c>
      <c r="D204" s="9" t="str">
        <f>IF(B204="","Missing", IF(AND(ISNUMBER(B204)=FALSE, C204=""),"Invalid - Could Not Parse", IF(AND(ISNUMBER(B204)=FALSE, C204&lt;&gt;""),"Text - Converted to Date", IF(ISNUMBER(B204),"Valid","Check"))))</f>
        <v>Text - Converted to Date</v>
      </c>
      <c r="E204" s="5">
        <f t="shared" si="25"/>
        <v>6</v>
      </c>
      <c r="F204" s="5">
        <f t="shared" si="26"/>
        <v>2024</v>
      </c>
      <c r="G204" s="3" t="s">
        <v>690</v>
      </c>
      <c r="H204" s="9">
        <f>IFERROR(DATEVALUE(TEXT(G204,"DD/MM/YYYY")), IF(ISNUMBER(G204), G204, ""))</f>
        <v>45462</v>
      </c>
      <c r="I204" s="9" t="str">
        <f>IF(G204="","Missing", IF(AND(ISNUMBER(G204)=FALSE, H204=""),"Invalid - Could Not Parse", IF(AND(ISNUMBER(G204)=FALSE, H204&lt;&gt;""),"Text - Converted to Date", IF(ISNUMBER(G204),"Valid","Check"))))</f>
        <v>Text - Converted to Date</v>
      </c>
      <c r="J204" s="9" t="str">
        <f>IF(OR(C204="", H204=""), "Cannot Check - Date Missing", IF(H204&lt;C204, "Invalid - Ship Before Order", "Valid"))</f>
        <v>Valid</v>
      </c>
      <c r="K204" s="5">
        <f>IF(OR(C204="", H204=""), "", IF(H204&lt;C204, "", H204-C204))</f>
        <v>7</v>
      </c>
      <c r="L204" s="3" t="s">
        <v>1979</v>
      </c>
      <c r="M204" s="3" t="s">
        <v>180</v>
      </c>
      <c r="N204" s="4" t="str">
        <f>TRIM(SUBSTITUTE(M204,"_"," "))</f>
        <v>Rohan Mehta</v>
      </c>
      <c r="O204" s="3" t="s">
        <v>115</v>
      </c>
      <c r="P204" s="6" t="str">
        <f>PROPER(TRIM(SUBSTITUTE(O204,".","")))</f>
        <v>Home Office</v>
      </c>
      <c r="Q204" s="3" t="s">
        <v>62</v>
      </c>
      <c r="R204" s="7" t="str">
        <f>PROPER(TRIM(SUBSTITUTE(Q204,"  "," ")))</f>
        <v>South</v>
      </c>
      <c r="S204" s="3" t="s">
        <v>339</v>
      </c>
      <c r="T204" s="6" t="str">
        <f>PROPER(TRIM(SUBSTITUTE(S204,"  "," ")))</f>
        <v>Tamil Nadu</v>
      </c>
      <c r="U204" s="3" t="s">
        <v>340</v>
      </c>
      <c r="V204" s="6" t="str">
        <f>PROPER(TRIM(SUBSTITUTE(U204,"  "," ")))</f>
        <v>Chennai</v>
      </c>
      <c r="W204" s="3" t="s">
        <v>30</v>
      </c>
      <c r="X204" s="6" t="str">
        <f>PROPER(TRIM(SUBSTITUTE(W204,"  "," ")))</f>
        <v>Office Supplies</v>
      </c>
      <c r="Y204" s="3" t="s">
        <v>156</v>
      </c>
      <c r="Z204" s="6" t="str">
        <f>PROPER(TRIM(SUBSTITUTE(Y204,"  "," ")))</f>
        <v>Storage</v>
      </c>
      <c r="AA204" s="3" t="s">
        <v>3919</v>
      </c>
      <c r="AB204" s="3" t="s">
        <v>67</v>
      </c>
      <c r="AC204" s="6" t="str">
        <f>PROPER(TRIM(SUBSTITUTE(AB204,"  "," ")))</f>
        <v>Standard Class</v>
      </c>
      <c r="AD204" s="3">
        <v>4</v>
      </c>
      <c r="AE204" s="3">
        <v>395.1</v>
      </c>
      <c r="AF204" s="3">
        <v>-0.16</v>
      </c>
      <c r="AG204" s="17">
        <v>-0.16</v>
      </c>
      <c r="AH204" s="6" t="str">
        <f t="shared" si="27"/>
        <v>Invalid - Negative</v>
      </c>
      <c r="AI204" s="3">
        <v>1185.3</v>
      </c>
      <c r="AJ204" s="3">
        <v>966.55</v>
      </c>
      <c r="AK204" s="3">
        <v>218.75</v>
      </c>
      <c r="AL204" s="3" t="s">
        <v>200</v>
      </c>
      <c r="AM204" s="6" t="str">
        <f>PROPER(TRIM(SUBSTITUTE(AL204,".","")))</f>
        <v>Failed</v>
      </c>
      <c r="AN204" s="3" t="s">
        <v>78</v>
      </c>
      <c r="AO204" s="8" t="str">
        <f>PROPER(TRIM(SUBSTITUTE(AN204,".","")))</f>
        <v>Cancelled</v>
      </c>
      <c r="AP204" t="str">
        <f>IF(COUNTIF($A$2:$A$933, A204) &gt; 1, "Duplicate ID", "Unique")</f>
        <v>Unique</v>
      </c>
      <c r="AR204">
        <f t="shared" si="28"/>
        <v>1833.2639999999999</v>
      </c>
      <c r="AS204">
        <f t="shared" si="29"/>
        <v>866.71399999999994</v>
      </c>
      <c r="AT204" s="15">
        <f t="shared" si="30"/>
        <v>0.47277097024760206</v>
      </c>
      <c r="AU204" t="str">
        <f t="shared" si="31"/>
        <v>Invalid</v>
      </c>
      <c r="AV204" s="8" t="str">
        <f t="shared" si="32"/>
        <v>Cancelled</v>
      </c>
    </row>
    <row r="205" spans="1:48">
      <c r="A205" s="3" t="s">
        <v>4040</v>
      </c>
      <c r="B205" s="3" t="s">
        <v>3918</v>
      </c>
      <c r="C205" s="9">
        <f>IFERROR(DATEVALUE(TEXT(B205,"DD/MM/YYYY")), IF(ISNUMBER(B205), B205, ""))</f>
        <v>45455</v>
      </c>
      <c r="D205" s="9" t="str">
        <f>IF(B205="","Missing", IF(AND(ISNUMBER(B205)=FALSE, C205=""),"Invalid - Could Not Parse", IF(AND(ISNUMBER(B205)=FALSE, C205&lt;&gt;""),"Text - Converted to Date", IF(ISNUMBER(B205),"Valid","Check"))))</f>
        <v>Text - Converted to Date</v>
      </c>
      <c r="E205" s="5">
        <f t="shared" si="25"/>
        <v>6</v>
      </c>
      <c r="F205" s="5">
        <f t="shared" si="26"/>
        <v>2024</v>
      </c>
      <c r="G205" s="3" t="s">
        <v>684</v>
      </c>
      <c r="H205" s="9">
        <f>IFERROR(DATEVALUE(TEXT(G205,"DD/MM/YYYY")), IF(ISNUMBER(G205), G205, ""))</f>
        <v>45461</v>
      </c>
      <c r="I205" s="9" t="str">
        <f>IF(G205="","Missing", IF(AND(ISNUMBER(G205)=FALSE, H205=""),"Invalid - Could Not Parse", IF(AND(ISNUMBER(G205)=FALSE, H205&lt;&gt;""),"Text - Converted to Date", IF(ISNUMBER(G205),"Valid","Check"))))</f>
        <v>Text - Converted to Date</v>
      </c>
      <c r="J205" s="9" t="str">
        <f>IF(OR(C205="", H205=""), "Cannot Check - Date Missing", IF(H205&lt;C205, "Invalid - Ship Before Order", "Valid"))</f>
        <v>Valid</v>
      </c>
      <c r="K205" s="5">
        <f>IF(OR(C205="", H205=""), "", IF(H205&lt;C205, "", H205-C205))</f>
        <v>6</v>
      </c>
      <c r="L205" s="3" t="s">
        <v>4041</v>
      </c>
      <c r="M205" s="3" t="s">
        <v>162</v>
      </c>
      <c r="N205" s="4" t="str">
        <f>TRIM(SUBSTITUTE(M205,"_"," "))</f>
        <v>Aarav Sharma</v>
      </c>
      <c r="O205" s="3" t="s">
        <v>41</v>
      </c>
      <c r="P205" s="6" t="str">
        <f>PROPER(TRIM(SUBSTITUTE(O205,".","")))</f>
        <v>Small Business</v>
      </c>
      <c r="Q205" s="3" t="s">
        <v>62</v>
      </c>
      <c r="R205" s="7" t="str">
        <f>PROPER(TRIM(SUBSTITUTE(Q205,"  "," ")))</f>
        <v>South</v>
      </c>
      <c r="S205" s="3" t="s">
        <v>100</v>
      </c>
      <c r="T205" s="6" t="str">
        <f>PROPER(TRIM(SUBSTITUTE(S205,"  "," ")))</f>
        <v>Andhra Pradesh</v>
      </c>
      <c r="U205" s="3" t="s">
        <v>101</v>
      </c>
      <c r="V205" s="6" t="str">
        <f>PROPER(TRIM(SUBSTITUTE(U205,"  "," ")))</f>
        <v>Vijayawada</v>
      </c>
      <c r="W205" s="3" t="s">
        <v>30</v>
      </c>
      <c r="X205" s="6" t="str">
        <f>PROPER(TRIM(SUBSTITUTE(W205,"  "," ")))</f>
        <v>Office Supplies</v>
      </c>
      <c r="Y205" s="3" t="s">
        <v>54</v>
      </c>
      <c r="Z205" s="6" t="str">
        <f>PROPER(TRIM(SUBSTITUTE(Y205,"  "," ")))</f>
        <v>Art</v>
      </c>
      <c r="AA205" s="3" t="s">
        <v>4042</v>
      </c>
      <c r="AB205" s="3" t="s">
        <v>67</v>
      </c>
      <c r="AC205" s="6" t="str">
        <f>PROPER(TRIM(SUBSTITUTE(AB205,"  "," ")))</f>
        <v>Standard Class</v>
      </c>
      <c r="AD205" s="3">
        <v>4</v>
      </c>
      <c r="AE205" s="3">
        <v>4176.13</v>
      </c>
      <c r="AF205" s="3">
        <v>0</v>
      </c>
      <c r="AG205" s="17">
        <v>0</v>
      </c>
      <c r="AH205" s="6" t="str">
        <f t="shared" si="27"/>
        <v>Valid</v>
      </c>
      <c r="AI205" s="3">
        <v>16704.52</v>
      </c>
      <c r="AJ205" s="3">
        <v>10158.280000000001</v>
      </c>
      <c r="AK205" s="3">
        <v>6546.24</v>
      </c>
      <c r="AL205" s="3" t="s">
        <v>34</v>
      </c>
      <c r="AM205" s="6" t="str">
        <f>PROPER(TRIM(SUBSTITUTE(AL205,".","")))</f>
        <v>Paid</v>
      </c>
      <c r="AN205" s="3" t="s">
        <v>35</v>
      </c>
      <c r="AO205" s="8" t="str">
        <f>PROPER(TRIM(SUBSTITUTE(AN205,".","")))</f>
        <v>Completed</v>
      </c>
      <c r="AP205" t="str">
        <f>IF(COUNTIF($A$2:$A$933, A205) &gt; 1, "Duplicate ID", "Unique")</f>
        <v>Unique</v>
      </c>
      <c r="AR205">
        <f t="shared" si="28"/>
        <v>16704.52</v>
      </c>
      <c r="AS205">
        <f t="shared" si="29"/>
        <v>6546.24</v>
      </c>
      <c r="AT205" s="15">
        <f t="shared" si="30"/>
        <v>0.39188435225914897</v>
      </c>
      <c r="AU205" t="str">
        <f t="shared" si="31"/>
        <v>Clean</v>
      </c>
      <c r="AV205" s="8" t="str">
        <f t="shared" si="32"/>
        <v>Active</v>
      </c>
    </row>
    <row r="206" spans="1:48">
      <c r="A206" s="3" t="s">
        <v>848</v>
      </c>
      <c r="B206" s="3" t="s">
        <v>849</v>
      </c>
      <c r="C206" s="9">
        <f>IFERROR(DATEVALUE(TEXT(B206,"DD/MM/YYYY")), IF(ISNUMBER(B206), B206, ""))</f>
        <v>45457</v>
      </c>
      <c r="D206" s="9" t="str">
        <f>IF(B206="","Missing", IF(AND(ISNUMBER(B206)=FALSE, C206=""),"Invalid - Could Not Parse", IF(AND(ISNUMBER(B206)=FALSE, C206&lt;&gt;""),"Text - Converted to Date", IF(ISNUMBER(B206),"Valid","Check"))))</f>
        <v>Text - Converted to Date</v>
      </c>
      <c r="E206" s="5">
        <f t="shared" si="25"/>
        <v>6</v>
      </c>
      <c r="F206" s="5">
        <f t="shared" si="26"/>
        <v>2024</v>
      </c>
      <c r="G206" s="3" t="s">
        <v>850</v>
      </c>
      <c r="H206" s="9">
        <f>IFERROR(DATEVALUE(MID(G206,4,2) &amp; "/" &amp; LEFT(G206,2) &amp; "/" &amp; RIGHT(G206,4)), IF(ISNUMBER(G206), G206, IFERROR(DATEVALUE(G206), "")))</f>
        <v>45460</v>
      </c>
      <c r="I206" s="9" t="str">
        <f>IF(G206="","Missing", IF(AND(ISNUMBER(G206)=FALSE, H206=""),"Invalid - Could Not Parse", IF(AND(ISNUMBER(G206)=FALSE, H206&lt;&gt;""),"Text - Converted to Date", IF(ISNUMBER(G206),"Valid","Check"))))</f>
        <v>Text - Converted to Date</v>
      </c>
      <c r="J206" s="9" t="str">
        <f>IF(OR(C206="", H206=""), "Cannot Check - Date Missing", IF(H206&lt;C206, "Invalid - Ship Before Order", "Valid"))</f>
        <v>Valid</v>
      </c>
      <c r="K206" s="5">
        <f>IF(OR(C206="", H206=""), "", IF(H206&lt;C206, "", H206-C206))</f>
        <v>3</v>
      </c>
      <c r="L206" s="3" t="s">
        <v>851</v>
      </c>
      <c r="M206" s="3" t="s">
        <v>366</v>
      </c>
      <c r="N206" s="4" t="str">
        <f>TRIM(SUBSTITUTE(M206,"_"," "))</f>
        <v>Kabir Singh</v>
      </c>
      <c r="O206" s="3" t="s">
        <v>41</v>
      </c>
      <c r="P206" s="6" t="str">
        <f>PROPER(TRIM(SUBSTITUTE(O206,".","")))</f>
        <v>Small Business</v>
      </c>
      <c r="Q206" s="3" t="s">
        <v>62</v>
      </c>
      <c r="R206" s="7" t="str">
        <f>PROPER(TRIM(SUBSTITUTE(Q206,"  "," ")))</f>
        <v>South</v>
      </c>
      <c r="S206" s="3" t="s">
        <v>242</v>
      </c>
      <c r="T206" s="6" t="str">
        <f>PROPER(TRIM(SUBSTITUTE(S206,"  "," ")))</f>
        <v>Kerala</v>
      </c>
      <c r="U206" s="3" t="s">
        <v>243</v>
      </c>
      <c r="V206" s="6" t="str">
        <f>PROPER(TRIM(SUBSTITUTE(U206,"  "," ")))</f>
        <v>Kochi</v>
      </c>
      <c r="W206" s="3" t="s">
        <v>45</v>
      </c>
      <c r="X206" s="6" t="str">
        <f>PROPER(TRIM(SUBSTITUTE(W206,"  "," ")))</f>
        <v>Furniture</v>
      </c>
      <c r="Y206" s="3" t="s">
        <v>46</v>
      </c>
      <c r="Z206" s="6" t="str">
        <f>PROPER(TRIM(SUBSTITUTE(Y206,"  "," ")))</f>
        <v>Tables</v>
      </c>
      <c r="AA206" s="3" t="s">
        <v>852</v>
      </c>
      <c r="AB206" s="3" t="s">
        <v>33</v>
      </c>
      <c r="AC206" s="6" t="str">
        <f>PROPER(TRIM(SUBSTITUTE(AB206,"  "," ")))</f>
        <v>Second Class</v>
      </c>
      <c r="AD206" s="3">
        <v>6</v>
      </c>
      <c r="AE206" s="3">
        <v>1088.04</v>
      </c>
      <c r="AF206" s="3">
        <v>0.1</v>
      </c>
      <c r="AG206" s="17">
        <v>0.1</v>
      </c>
      <c r="AH206" s="6" t="str">
        <f t="shared" si="27"/>
        <v>Valid</v>
      </c>
      <c r="AI206" s="3">
        <v>5875.42</v>
      </c>
      <c r="AJ206" s="3">
        <v>4380.55</v>
      </c>
      <c r="AK206" s="3">
        <v>1494.87</v>
      </c>
      <c r="AL206" s="3" t="s">
        <v>137</v>
      </c>
      <c r="AM206" s="6" t="str">
        <f>PROPER(TRIM(SUBSTITUTE(AL206,".","")))</f>
        <v>Pending</v>
      </c>
      <c r="AN206" s="3" t="s">
        <v>125</v>
      </c>
      <c r="AO206" s="8" t="str">
        <f>PROPER(TRIM(SUBSTITUTE(AN206,".","")))</f>
        <v>Returned</v>
      </c>
      <c r="AP206" t="str">
        <f>IF(COUNTIF($A$2:$A$933, A206) &gt; 1, "Duplicate ID", "Unique")</f>
        <v>Unique</v>
      </c>
      <c r="AR206">
        <f t="shared" si="28"/>
        <v>5875.4160000000002</v>
      </c>
      <c r="AS206">
        <f t="shared" si="29"/>
        <v>1494.866</v>
      </c>
      <c r="AT206" s="15">
        <f t="shared" si="30"/>
        <v>0.25442726098032886</v>
      </c>
      <c r="AU206" t="str">
        <f t="shared" si="31"/>
        <v>Clean</v>
      </c>
      <c r="AV206" s="8" t="str">
        <f t="shared" si="32"/>
        <v>Active</v>
      </c>
    </row>
    <row r="207" spans="1:48">
      <c r="A207" s="3" t="s">
        <v>1830</v>
      </c>
      <c r="B207" s="3" t="s">
        <v>1831</v>
      </c>
      <c r="C207" s="9">
        <f>IFERROR(DATEVALUE(TEXT(B207,"DD/MM/YYYY")), IF(ISNUMBER(B207), B207, ""))</f>
        <v>45458</v>
      </c>
      <c r="D207" s="9" t="str">
        <f>IF(B207="","Missing", IF(AND(ISNUMBER(B207)=FALSE, C207=""),"Invalid - Could Not Parse", IF(AND(ISNUMBER(B207)=FALSE, C207&lt;&gt;""),"Text - Converted to Date", IF(ISNUMBER(B207),"Valid","Check"))))</f>
        <v>Text - Converted to Date</v>
      </c>
      <c r="E207" s="5">
        <f t="shared" si="25"/>
        <v>6</v>
      </c>
      <c r="F207" s="5">
        <f t="shared" si="26"/>
        <v>2024</v>
      </c>
      <c r="G207" s="3" t="s">
        <v>1832</v>
      </c>
      <c r="H207" s="9">
        <f>IFERROR(DATEVALUE(TEXT(G207,"DD/MM/YYYY")), IF(ISNUMBER(G207), G207, ""))</f>
        <v>45464</v>
      </c>
      <c r="I207" s="9" t="str">
        <f>IF(G207="","Missing", IF(AND(ISNUMBER(G207)=FALSE, H207=""),"Invalid - Could Not Parse", IF(AND(ISNUMBER(G207)=FALSE, H207&lt;&gt;""),"Text - Converted to Date", IF(ISNUMBER(G207),"Valid","Check"))))</f>
        <v>Text - Converted to Date</v>
      </c>
      <c r="J207" s="9" t="str">
        <f>IF(OR(C207="", H207=""), "Cannot Check - Date Missing", IF(H207&lt;C207, "Invalid - Ship Before Order", "Valid"))</f>
        <v>Valid</v>
      </c>
      <c r="K207" s="5">
        <f>IF(OR(C207="", H207=""), "", IF(H207&lt;C207, "", H207-C207))</f>
        <v>6</v>
      </c>
      <c r="L207" s="3" t="s">
        <v>1833</v>
      </c>
      <c r="M207" s="3" t="s">
        <v>107</v>
      </c>
      <c r="N207" s="4" t="str">
        <f>TRIM(SUBSTITUTE(M207,"_"," "))</f>
        <v>Aditi Sen</v>
      </c>
      <c r="O207" s="3" t="s">
        <v>108</v>
      </c>
      <c r="P207" s="6" t="str">
        <f>PROPER(TRIM(SUBSTITUTE(O207,".","")))</f>
        <v>Corporate</v>
      </c>
      <c r="Q207" s="3" t="s">
        <v>73</v>
      </c>
      <c r="R207" s="7" t="str">
        <f>PROPER(TRIM(SUBSTITUTE(Q207,"  "," ")))</f>
        <v>West</v>
      </c>
      <c r="S207" s="3" t="s">
        <v>249</v>
      </c>
      <c r="T207" s="6" t="str">
        <f>PROPER(TRIM(SUBSTITUTE(S207,"  "," ")))</f>
        <v>Goa</v>
      </c>
      <c r="U207" s="3" t="s">
        <v>250</v>
      </c>
      <c r="V207" s="6" t="str">
        <f>PROPER(TRIM(SUBSTITUTE(U207,"  "," ")))</f>
        <v>Panaji</v>
      </c>
      <c r="W207" s="3" t="s">
        <v>86</v>
      </c>
      <c r="X207" s="6" t="str">
        <f>PROPER(TRIM(SUBSTITUTE(W207,"  "," ")))</f>
        <v>Technology</v>
      </c>
      <c r="Y207" s="3" t="s">
        <v>87</v>
      </c>
      <c r="Z207" s="6" t="str">
        <f>PROPER(TRIM(SUBSTITUTE(Y207,"  "," ")))</f>
        <v>Accessories</v>
      </c>
      <c r="AA207" s="3" t="s">
        <v>1834</v>
      </c>
      <c r="AB207" s="3" t="s">
        <v>56</v>
      </c>
      <c r="AC207" s="6" t="str">
        <f>PROPER(TRIM(SUBSTITUTE(AB207,"  "," ")))</f>
        <v>First Class</v>
      </c>
      <c r="AD207" s="3">
        <v>8</v>
      </c>
      <c r="AE207" s="3">
        <v>1706.4</v>
      </c>
      <c r="AF207" s="3"/>
      <c r="AG207" s="18">
        <f>IF(ISBLANK(AF207), 0, AF207)</f>
        <v>0</v>
      </c>
      <c r="AH207" s="6" t="str">
        <f t="shared" si="27"/>
        <v>Missing</v>
      </c>
      <c r="AI207" s="3">
        <v>12968.64</v>
      </c>
      <c r="AJ207" s="3">
        <v>10119.61</v>
      </c>
      <c r="AK207" s="3">
        <v>2849.03</v>
      </c>
      <c r="AL207" s="3" t="s">
        <v>34</v>
      </c>
      <c r="AM207" s="6" t="str">
        <f>PROPER(TRIM(SUBSTITUTE(AL207,".","")))</f>
        <v>Paid</v>
      </c>
      <c r="AN207" s="3" t="s">
        <v>35</v>
      </c>
      <c r="AO207" s="8" t="str">
        <f>PROPER(TRIM(SUBSTITUTE(AN207,".","")))</f>
        <v>Completed</v>
      </c>
      <c r="AP207" t="str">
        <f>IF(COUNTIF($A$2:$A$933, A207) &gt; 1, "Duplicate ID", "Unique")</f>
        <v>Unique</v>
      </c>
      <c r="AR207">
        <f t="shared" si="28"/>
        <v>13651.2</v>
      </c>
      <c r="AS207">
        <f t="shared" si="29"/>
        <v>3531.59</v>
      </c>
      <c r="AT207" s="15">
        <f t="shared" si="30"/>
        <v>0.2587017991092358</v>
      </c>
      <c r="AU207" t="str">
        <f t="shared" si="31"/>
        <v>Warning</v>
      </c>
      <c r="AV207" s="8" t="str">
        <f t="shared" si="32"/>
        <v>Active</v>
      </c>
    </row>
    <row r="208" spans="1:48">
      <c r="A208" s="3" t="s">
        <v>3731</v>
      </c>
      <c r="B208" s="3" t="s">
        <v>810</v>
      </c>
      <c r="C208" s="9">
        <f>IFERROR(DATEVALUE(TEXT(B208,"DD/MM/YYYY")), IF(ISNUMBER(B208), B208, ""))</f>
        <v>45458</v>
      </c>
      <c r="D208" s="9" t="str">
        <f>IF(B208="","Missing", IF(AND(ISNUMBER(B208)=FALSE, C208=""),"Invalid - Could Not Parse", IF(AND(ISNUMBER(B208)=FALSE, C208&lt;&gt;""),"Text - Converted to Date", IF(ISNUMBER(B208),"Valid","Check"))))</f>
        <v>Text - Converted to Date</v>
      </c>
      <c r="E208" s="5">
        <f t="shared" si="25"/>
        <v>6</v>
      </c>
      <c r="F208" s="5">
        <f t="shared" si="26"/>
        <v>2024</v>
      </c>
      <c r="G208" s="3" t="s">
        <v>3732</v>
      </c>
      <c r="H208" s="9">
        <f>IFERROR(DATEVALUE(TEXT(G208,"DD/MM/YYYY")), IF(ISNUMBER(G208), G208, ""))</f>
        <v>45463</v>
      </c>
      <c r="I208" s="9" t="str">
        <f>IF(G208="","Missing", IF(AND(ISNUMBER(G208)=FALSE, H208=""),"Invalid - Could Not Parse", IF(AND(ISNUMBER(G208)=FALSE, H208&lt;&gt;""),"Text - Converted to Date", IF(ISNUMBER(G208),"Valid","Check"))))</f>
        <v>Text - Converted to Date</v>
      </c>
      <c r="J208" s="9" t="str">
        <f>IF(OR(C208="", H208=""), "Cannot Check - Date Missing", IF(H208&lt;C208, "Invalid - Ship Before Order", "Valid"))</f>
        <v>Valid</v>
      </c>
      <c r="K208" s="5">
        <f>IF(OR(C208="", H208=""), "", IF(H208&lt;C208, "", H208-C208))</f>
        <v>5</v>
      </c>
      <c r="L208" s="3" t="s">
        <v>3733</v>
      </c>
      <c r="M208" s="3" t="s">
        <v>168</v>
      </c>
      <c r="N208" s="4" t="str">
        <f>TRIM(SUBSTITUTE(M208,"_"," "))</f>
        <v>Sneha Kapoor</v>
      </c>
      <c r="O208" s="3" t="s">
        <v>41</v>
      </c>
      <c r="P208" s="6" t="str">
        <f>PROPER(TRIM(SUBSTITUTE(O208,".","")))</f>
        <v>Small Business</v>
      </c>
      <c r="Q208" s="3" t="s">
        <v>42</v>
      </c>
      <c r="R208" s="7" t="str">
        <f>PROPER(TRIM(SUBSTITUTE(Q208,"  "," ")))</f>
        <v>East</v>
      </c>
      <c r="S208" s="3" t="s">
        <v>311</v>
      </c>
      <c r="T208" s="6" t="str">
        <f>PROPER(TRIM(SUBSTITUTE(S208,"  "," ")))</f>
        <v>Jharkhand</v>
      </c>
      <c r="U208" s="3" t="s">
        <v>312</v>
      </c>
      <c r="V208" s="6" t="str">
        <f>PROPER(TRIM(SUBSTITUTE(U208,"  "," ")))</f>
        <v>Ranchi</v>
      </c>
      <c r="W208" s="3" t="s">
        <v>45</v>
      </c>
      <c r="X208" s="6" t="str">
        <f>PROPER(TRIM(SUBSTITUTE(W208,"  "," ")))</f>
        <v>Furniture</v>
      </c>
      <c r="Y208" s="3" t="s">
        <v>46</v>
      </c>
      <c r="Z208" s="6" t="str">
        <f>PROPER(TRIM(SUBSTITUTE(Y208,"  "," ")))</f>
        <v>Tables</v>
      </c>
      <c r="AA208" s="3" t="s">
        <v>3734</v>
      </c>
      <c r="AB208" s="3" t="s">
        <v>56</v>
      </c>
      <c r="AC208" s="6" t="str">
        <f>PROPER(TRIM(SUBSTITUTE(AB208,"  "," ")))</f>
        <v>First Class</v>
      </c>
      <c r="AD208" s="3">
        <v>8</v>
      </c>
      <c r="AE208" s="3">
        <v>2228.4699999999998</v>
      </c>
      <c r="AF208" s="3">
        <v>0</v>
      </c>
      <c r="AG208" s="17">
        <v>0</v>
      </c>
      <c r="AH208" s="6" t="str">
        <f t="shared" si="27"/>
        <v>Valid</v>
      </c>
      <c r="AI208" s="3">
        <v>17827.759999999998</v>
      </c>
      <c r="AJ208" s="3">
        <v>14122.13</v>
      </c>
      <c r="AK208" s="3">
        <v>3705.63</v>
      </c>
      <c r="AL208" s="3" t="s">
        <v>34</v>
      </c>
      <c r="AM208" s="6" t="str">
        <f>PROPER(TRIM(SUBSTITUTE(AL208,".","")))</f>
        <v>Paid</v>
      </c>
      <c r="AN208" s="3" t="s">
        <v>35</v>
      </c>
      <c r="AO208" s="8" t="str">
        <f>PROPER(TRIM(SUBSTITUTE(AN208,".","")))</f>
        <v>Completed</v>
      </c>
      <c r="AP208" t="str">
        <f>IF(COUNTIF($A$2:$A$933, A208) &gt; 1, "Duplicate ID", "Unique")</f>
        <v>Unique</v>
      </c>
      <c r="AR208">
        <f t="shared" si="28"/>
        <v>17827.759999999998</v>
      </c>
      <c r="AS208">
        <f t="shared" si="29"/>
        <v>3705.6299999999992</v>
      </c>
      <c r="AT208" s="15">
        <f t="shared" si="30"/>
        <v>0.20785729671029896</v>
      </c>
      <c r="AU208" t="str">
        <f t="shared" si="31"/>
        <v>Clean</v>
      </c>
      <c r="AV208" s="8" t="str">
        <f t="shared" si="32"/>
        <v>Active</v>
      </c>
    </row>
    <row r="209" spans="1:48">
      <c r="A209" s="3" t="s">
        <v>2150</v>
      </c>
      <c r="B209" s="3" t="s">
        <v>2151</v>
      </c>
      <c r="C209" s="9">
        <f>IFERROR(DATEVALUE(TEXT(B209,"DD/MM/YYYY")), IF(ISNUMBER(B209), B209, ""))</f>
        <v>45459</v>
      </c>
      <c r="D209" s="9" t="str">
        <f>IF(B209="","Missing", IF(AND(ISNUMBER(B209)=FALSE, C209=""),"Invalid - Could Not Parse", IF(AND(ISNUMBER(B209)=FALSE, C209&lt;&gt;""),"Text - Converted to Date", IF(ISNUMBER(B209),"Valid","Check"))))</f>
        <v>Text - Converted to Date</v>
      </c>
      <c r="E209" s="5">
        <f t="shared" si="25"/>
        <v>6</v>
      </c>
      <c r="F209" s="5">
        <f t="shared" si="26"/>
        <v>2024</v>
      </c>
      <c r="G209" s="3" t="s">
        <v>2152</v>
      </c>
      <c r="H209" s="9">
        <f>IFERROR(DATEVALUE(TEXT(G209,"DD/MM/YYYY")), IF(ISNUMBER(G209), G209, ""))</f>
        <v>45464</v>
      </c>
      <c r="I209" s="9" t="str">
        <f>IF(G209="","Missing", IF(AND(ISNUMBER(G209)=FALSE, H209=""),"Invalid - Could Not Parse", IF(AND(ISNUMBER(G209)=FALSE, H209&lt;&gt;""),"Text - Converted to Date", IF(ISNUMBER(G209),"Valid","Check"))))</f>
        <v>Text - Converted to Date</v>
      </c>
      <c r="J209" s="9" t="str">
        <f>IF(OR(C209="", H209=""), "Cannot Check - Date Missing", IF(H209&lt;C209, "Invalid - Ship Before Order", "Valid"))</f>
        <v>Valid</v>
      </c>
      <c r="K209" s="5">
        <f>IF(OR(C209="", H209=""), "", IF(H209&lt;C209, "", H209-C209))</f>
        <v>5</v>
      </c>
      <c r="L209" s="3" t="s">
        <v>2153</v>
      </c>
      <c r="M209" s="3" t="s">
        <v>93</v>
      </c>
      <c r="N209" s="4" t="str">
        <f>TRIM(SUBSTITUTE(M209,"_"," "))</f>
        <v>Neha Gupta</v>
      </c>
      <c r="O209" s="3" t="s">
        <v>26</v>
      </c>
      <c r="P209" s="6" t="str">
        <f>PROPER(TRIM(SUBSTITUTE(O209,".","")))</f>
        <v>Consumer</v>
      </c>
      <c r="Q209" s="3" t="s">
        <v>62</v>
      </c>
      <c r="R209" s="7" t="str">
        <f>PROPER(TRIM(SUBSTITUTE(Q209,"  "," ")))</f>
        <v>South</v>
      </c>
      <c r="S209" s="3" t="s">
        <v>242</v>
      </c>
      <c r="T209" s="6" t="str">
        <f>PROPER(TRIM(SUBSTITUTE(S209,"  "," ")))</f>
        <v>Kerala</v>
      </c>
      <c r="U209" s="3" t="s">
        <v>243</v>
      </c>
      <c r="V209" s="6" t="str">
        <f>PROPER(TRIM(SUBSTITUTE(U209,"  "," ")))</f>
        <v>Kochi</v>
      </c>
      <c r="W209" s="3" t="s">
        <v>45</v>
      </c>
      <c r="X209" s="6" t="str">
        <f>PROPER(TRIM(SUBSTITUTE(W209,"  "," ")))</f>
        <v>Furniture</v>
      </c>
      <c r="Y209" s="3" t="s">
        <v>65</v>
      </c>
      <c r="Z209" s="6" t="str">
        <f>PROPER(TRIM(SUBSTITUTE(Y209,"  "," ")))</f>
        <v>Furnishings</v>
      </c>
      <c r="AA209" s="3" t="s">
        <v>2154</v>
      </c>
      <c r="AB209" s="3" t="s">
        <v>48</v>
      </c>
      <c r="AC209" s="6" t="str">
        <f>PROPER(TRIM(SUBSTITUTE(AB209,"  "," ")))</f>
        <v>Same Day</v>
      </c>
      <c r="AD209" s="3">
        <v>6</v>
      </c>
      <c r="AE209" s="3">
        <v>1156.78</v>
      </c>
      <c r="AF209" s="3">
        <v>0.05</v>
      </c>
      <c r="AG209" s="17">
        <v>0.05</v>
      </c>
      <c r="AH209" s="6" t="str">
        <f t="shared" si="27"/>
        <v>Valid</v>
      </c>
      <c r="AI209" s="3">
        <v>6593.65</v>
      </c>
      <c r="AJ209" s="3">
        <v>4359.3900000000003</v>
      </c>
      <c r="AK209" s="3">
        <v>2234.2600000000002</v>
      </c>
      <c r="AL209" s="3" t="s">
        <v>34</v>
      </c>
      <c r="AM209" s="6" t="str">
        <f>PROPER(TRIM(SUBSTITUTE(AL209,".","")))</f>
        <v>Paid</v>
      </c>
      <c r="AN209" s="3" t="s">
        <v>125</v>
      </c>
      <c r="AO209" s="8" t="str">
        <f>PROPER(TRIM(SUBSTITUTE(AN209,".","")))</f>
        <v>Returned</v>
      </c>
      <c r="AP209" t="str">
        <f>IF(COUNTIF($A$2:$A$933, A209) &gt; 1, "Duplicate ID", "Unique")</f>
        <v>Unique</v>
      </c>
      <c r="AR209">
        <f t="shared" si="28"/>
        <v>6593.6459999999997</v>
      </c>
      <c r="AS209">
        <f t="shared" si="29"/>
        <v>2234.2559999999994</v>
      </c>
      <c r="AT209" s="15">
        <f t="shared" si="30"/>
        <v>0.33884985636171544</v>
      </c>
      <c r="AU209" t="str">
        <f t="shared" si="31"/>
        <v>Clean</v>
      </c>
      <c r="AV209" s="8" t="str">
        <f t="shared" si="32"/>
        <v>Active</v>
      </c>
    </row>
    <row r="210" spans="1:48">
      <c r="A210" s="3" t="s">
        <v>287</v>
      </c>
      <c r="B210" s="3" t="s">
        <v>288</v>
      </c>
      <c r="C210" s="9">
        <f>IFERROR(DATEVALUE(TEXT(B210,"DD/MM/YYYY")), IF(ISNUMBER(B210), B210, ""))</f>
        <v>45460</v>
      </c>
      <c r="D210" s="9" t="str">
        <f>IF(B210="","Missing", IF(AND(ISNUMBER(B210)=FALSE, C210=""),"Invalid - Could Not Parse", IF(AND(ISNUMBER(B210)=FALSE, C210&lt;&gt;""),"Text - Converted to Date", IF(ISNUMBER(B210),"Valid","Check"))))</f>
        <v>Text - Converted to Date</v>
      </c>
      <c r="E210" s="5">
        <f t="shared" si="25"/>
        <v>6</v>
      </c>
      <c r="F210" s="5">
        <f t="shared" si="26"/>
        <v>2024</v>
      </c>
      <c r="G210" s="3" t="s">
        <v>289</v>
      </c>
      <c r="H210" s="9">
        <f>IFERROR(DATEVALUE(TEXT(G210,"DD/MM/YYYY")), IF(ISNUMBER(G210), G210, ""))</f>
        <v>45465</v>
      </c>
      <c r="I210" s="9" t="str">
        <f>IF(G210="","Missing", IF(AND(ISNUMBER(G210)=FALSE, H210=""),"Invalid - Could Not Parse", IF(AND(ISNUMBER(G210)=FALSE, H210&lt;&gt;""),"Text - Converted to Date", IF(ISNUMBER(G210),"Valid","Check"))))</f>
        <v>Text - Converted to Date</v>
      </c>
      <c r="J210" s="9" t="str">
        <f>IF(OR(C210="", H210=""), "Cannot Check - Date Missing", IF(H210&lt;C210, "Invalid - Ship Before Order", "Valid"))</f>
        <v>Valid</v>
      </c>
      <c r="K210" s="5">
        <f>IF(OR(C210="", H210=""), "", IF(H210&lt;C210, "", H210-C210))</f>
        <v>5</v>
      </c>
      <c r="L210" s="3" t="s">
        <v>290</v>
      </c>
      <c r="M210" s="3" t="s">
        <v>162</v>
      </c>
      <c r="N210" s="4" t="str">
        <f>TRIM(SUBSTITUTE(M210,"_"," "))</f>
        <v>Aarav Sharma</v>
      </c>
      <c r="O210" s="3" t="s">
        <v>108</v>
      </c>
      <c r="P210" s="6" t="str">
        <f>PROPER(TRIM(SUBSTITUTE(O210,".","")))</f>
        <v>Corporate</v>
      </c>
      <c r="Q210" s="3" t="s">
        <v>73</v>
      </c>
      <c r="R210" s="7" t="str">
        <f>PROPER(TRIM(SUBSTITUTE(Q210,"  "," ")))</f>
        <v>West</v>
      </c>
      <c r="S210" s="3" t="s">
        <v>235</v>
      </c>
      <c r="T210" s="6" t="str">
        <f>PROPER(TRIM(SUBSTITUTE(S210,"  "," ")))</f>
        <v>Gujarat</v>
      </c>
      <c r="U210" s="3" t="s">
        <v>236</v>
      </c>
      <c r="V210" s="6" t="str">
        <f>PROPER(TRIM(SUBSTITUTE(U210,"  "," ")))</f>
        <v>Ahmedabad</v>
      </c>
      <c r="W210" s="3" t="s">
        <v>86</v>
      </c>
      <c r="X210" s="6" t="str">
        <f>PROPER(TRIM(SUBSTITUTE(W210,"  "," ")))</f>
        <v>Technology</v>
      </c>
      <c r="Y210" s="3" t="s">
        <v>223</v>
      </c>
      <c r="Z210" s="6" t="str">
        <f>PROPER(TRIM(SUBSTITUTE(Y210,"  "," ")))</f>
        <v>Phones</v>
      </c>
      <c r="AA210" s="3" t="s">
        <v>291</v>
      </c>
      <c r="AB210" s="3" t="s">
        <v>56</v>
      </c>
      <c r="AC210" s="6" t="str">
        <f>PROPER(TRIM(SUBSTITUTE(AB210,"  "," ")))</f>
        <v>First Class</v>
      </c>
      <c r="AD210" s="3">
        <v>7</v>
      </c>
      <c r="AE210" s="3">
        <v>2210.6799999999998</v>
      </c>
      <c r="AF210" s="3">
        <v>0.1</v>
      </c>
      <c r="AG210" s="17">
        <v>0.1</v>
      </c>
      <c r="AH210" s="6" t="str">
        <f t="shared" si="27"/>
        <v>Valid</v>
      </c>
      <c r="AI210" s="3">
        <v>13927.28</v>
      </c>
      <c r="AJ210" s="3">
        <v>10504.87</v>
      </c>
      <c r="AK210" s="3">
        <v>3422.41</v>
      </c>
      <c r="AL210" s="3" t="s">
        <v>34</v>
      </c>
      <c r="AM210" s="6" t="str">
        <f>PROPER(TRIM(SUBSTITUTE(AL210,".","")))</f>
        <v>Paid</v>
      </c>
      <c r="AN210" s="3" t="s">
        <v>35</v>
      </c>
      <c r="AO210" s="8" t="str">
        <f>PROPER(TRIM(SUBSTITUTE(AN210,".","")))</f>
        <v>Completed</v>
      </c>
      <c r="AP210" t="str">
        <f>IF(COUNTIF($A$2:$A$933, A210) &gt; 1, "Duplicate ID", "Unique")</f>
        <v>Unique</v>
      </c>
      <c r="AR210">
        <f t="shared" si="28"/>
        <v>13927.284</v>
      </c>
      <c r="AS210">
        <f t="shared" si="29"/>
        <v>3422.4139999999989</v>
      </c>
      <c r="AT210" s="15">
        <f t="shared" si="30"/>
        <v>0.24573448778670692</v>
      </c>
      <c r="AU210" t="str">
        <f t="shared" si="31"/>
        <v>Clean</v>
      </c>
      <c r="AV210" s="8" t="str">
        <f t="shared" si="32"/>
        <v>Active</v>
      </c>
    </row>
    <row r="211" spans="1:48">
      <c r="A211" s="3" t="s">
        <v>1806</v>
      </c>
      <c r="B211" s="3" t="s">
        <v>1807</v>
      </c>
      <c r="C211" s="9">
        <f>IFERROR(DATEVALUE(TEXT(B211,"DD/MM/YYYY")), IF(ISNUMBER(B211), B211, ""))</f>
        <v>45460</v>
      </c>
      <c r="D211" s="9" t="str">
        <f>IF(B211="","Missing", IF(AND(ISNUMBER(B211)=FALSE, C211=""),"Invalid - Could Not Parse", IF(AND(ISNUMBER(B211)=FALSE, C211&lt;&gt;""),"Text - Converted to Date", IF(ISNUMBER(B211),"Valid","Check"))))</f>
        <v>Text - Converted to Date</v>
      </c>
      <c r="E211" s="5">
        <f t="shared" si="25"/>
        <v>6</v>
      </c>
      <c r="F211" s="5">
        <f t="shared" si="26"/>
        <v>2024</v>
      </c>
      <c r="G211" s="3" t="s">
        <v>1808</v>
      </c>
      <c r="H211" s="9">
        <f>IFERROR(DATEVALUE(TEXT(G211,"DD/MM/YYYY")), IF(ISNUMBER(G211), G211, ""))</f>
        <v>45463</v>
      </c>
      <c r="I211" s="9" t="str">
        <f>IF(G211="","Missing", IF(AND(ISNUMBER(G211)=FALSE, H211=""),"Invalid - Could Not Parse", IF(AND(ISNUMBER(G211)=FALSE, H211&lt;&gt;""),"Text - Converted to Date", IF(ISNUMBER(G211),"Valid","Check"))))</f>
        <v>Text - Converted to Date</v>
      </c>
      <c r="J211" s="9" t="str">
        <f>IF(OR(C211="", H211=""), "Cannot Check - Date Missing", IF(H211&lt;C211, "Invalid - Ship Before Order", "Valid"))</f>
        <v>Valid</v>
      </c>
      <c r="K211" s="5">
        <f>IF(OR(C211="", H211=""), "", IF(H211&lt;C211, "", H211-C211))</f>
        <v>3</v>
      </c>
      <c r="L211" s="3" t="s">
        <v>1809</v>
      </c>
      <c r="M211" s="3" t="s">
        <v>168</v>
      </c>
      <c r="N211" s="4" t="str">
        <f>TRIM(SUBSTITUTE(M211,"_"," "))</f>
        <v>Sneha Kapoor</v>
      </c>
      <c r="O211" s="3" t="s">
        <v>41</v>
      </c>
      <c r="P211" s="6" t="str">
        <f>PROPER(TRIM(SUBSTITUTE(O211,".","")))</f>
        <v>Small Business</v>
      </c>
      <c r="Q211" s="3" t="s">
        <v>73</v>
      </c>
      <c r="R211" s="7" t="str">
        <f>PROPER(TRIM(SUBSTITUTE(Q211,"  "," ")))</f>
        <v>West</v>
      </c>
      <c r="S211" s="3" t="s">
        <v>235</v>
      </c>
      <c r="T211" s="6" t="str">
        <f>PROPER(TRIM(SUBSTITUTE(S211,"  "," ")))</f>
        <v>Gujarat</v>
      </c>
      <c r="U211" s="3" t="s">
        <v>236</v>
      </c>
      <c r="V211" s="6" t="str">
        <f>PROPER(TRIM(SUBSTITUTE(U211,"  "," ")))</f>
        <v>Ahmedabad</v>
      </c>
      <c r="W211" s="3" t="s">
        <v>45</v>
      </c>
      <c r="X211" s="6" t="str">
        <f>PROPER(TRIM(SUBSTITUTE(W211,"  "," ")))</f>
        <v>Furniture</v>
      </c>
      <c r="Y211" s="3" t="s">
        <v>65</v>
      </c>
      <c r="Z211" s="6" t="str">
        <f>PROPER(TRIM(SUBSTITUTE(Y211,"  "," ")))</f>
        <v>Furnishings</v>
      </c>
      <c r="AA211" s="3" t="s">
        <v>1810</v>
      </c>
      <c r="AB211" s="3" t="s">
        <v>67</v>
      </c>
      <c r="AC211" s="6" t="str">
        <f>PROPER(TRIM(SUBSTITUTE(AB211,"  "," ")))</f>
        <v>Standard Class</v>
      </c>
      <c r="AD211" s="3">
        <v>7</v>
      </c>
      <c r="AE211" s="3">
        <v>3155.25</v>
      </c>
      <c r="AF211" s="3">
        <v>0.2</v>
      </c>
      <c r="AG211" s="17">
        <v>0.2</v>
      </c>
      <c r="AH211" s="6" t="str">
        <f t="shared" si="27"/>
        <v>Valid</v>
      </c>
      <c r="AI211" s="3">
        <v>17669.400000000001</v>
      </c>
      <c r="AJ211" s="3">
        <v>13718.77</v>
      </c>
      <c r="AK211" s="3">
        <v>3950.63</v>
      </c>
      <c r="AL211" s="3" t="s">
        <v>124</v>
      </c>
      <c r="AM211" s="6" t="str">
        <f>PROPER(TRIM(SUBSTITUTE(AL211,".","")))</f>
        <v>Refunded</v>
      </c>
      <c r="AN211" s="3" t="s">
        <v>78</v>
      </c>
      <c r="AO211" s="8" t="str">
        <f>PROPER(TRIM(SUBSTITUTE(AN211,".","")))</f>
        <v>Cancelled</v>
      </c>
      <c r="AP211" t="str">
        <f>IF(COUNTIF($A$2:$A$933, A211) &gt; 1, "Duplicate ID", "Unique")</f>
        <v>Unique</v>
      </c>
      <c r="AR211">
        <f t="shared" si="28"/>
        <v>17669.400000000001</v>
      </c>
      <c r="AS211">
        <f t="shared" si="29"/>
        <v>3950.630000000001</v>
      </c>
      <c r="AT211" s="15">
        <f t="shared" si="30"/>
        <v>0.2235859734908939</v>
      </c>
      <c r="AU211" t="str">
        <f t="shared" si="31"/>
        <v>Clean</v>
      </c>
      <c r="AV211" s="8" t="str">
        <f t="shared" si="32"/>
        <v>Refund</v>
      </c>
    </row>
    <row r="212" spans="1:48">
      <c r="A212" s="3" t="s">
        <v>1166</v>
      </c>
      <c r="B212" s="3" t="s">
        <v>684</v>
      </c>
      <c r="C212" s="9">
        <f>IFERROR(DATEVALUE(TEXT(B212,"DD/MM/YYYY")), IF(ISNUMBER(B212), B212, ""))</f>
        <v>45461</v>
      </c>
      <c r="D212" s="9" t="str">
        <f>IF(B212="","Missing", IF(AND(ISNUMBER(B212)=FALSE, C212=""),"Invalid - Could Not Parse", IF(AND(ISNUMBER(B212)=FALSE, C212&lt;&gt;""),"Text - Converted to Date", IF(ISNUMBER(B212),"Valid","Check"))))</f>
        <v>Text - Converted to Date</v>
      </c>
      <c r="E212" s="5">
        <f t="shared" si="25"/>
        <v>6</v>
      </c>
      <c r="F212" s="5">
        <f t="shared" si="26"/>
        <v>2024</v>
      </c>
      <c r="G212" s="3" t="s">
        <v>1167</v>
      </c>
      <c r="H212" s="9">
        <f>IFERROR(DATEVALUE(MID(G212,4,2) &amp; "/" &amp; LEFT(G212,2) &amp; "/" &amp; RIGHT(G212,4)), IF(ISNUMBER(G212), G212, IFERROR(DATEVALUE(G212), "")))</f>
        <v>45462</v>
      </c>
      <c r="I212" s="9" t="str">
        <f>IF(G212="","Missing", IF(AND(ISNUMBER(G212)=FALSE, H212=""),"Invalid - Could Not Parse", IF(AND(ISNUMBER(G212)=FALSE, H212&lt;&gt;""),"Text - Converted to Date", IF(ISNUMBER(G212),"Valid","Check"))))</f>
        <v>Text - Converted to Date</v>
      </c>
      <c r="J212" s="9" t="str">
        <f>IF(OR(C212="", H212=""), "Cannot Check - Date Missing", IF(H212&lt;C212, "Invalid - Ship Before Order", "Valid"))</f>
        <v>Valid</v>
      </c>
      <c r="K212" s="5">
        <f>IF(OR(C212="", H212=""), "", IF(H212&lt;C212, "", H212-C212))</f>
        <v>1</v>
      </c>
      <c r="L212" s="3" t="s">
        <v>1168</v>
      </c>
      <c r="M212" s="3" t="s">
        <v>148</v>
      </c>
      <c r="N212" s="4" t="str">
        <f>TRIM(SUBSTITUTE(M212,"_"," "))</f>
        <v>Rahul Verma</v>
      </c>
      <c r="O212" s="3" t="s">
        <v>26</v>
      </c>
      <c r="P212" s="6" t="str">
        <f>PROPER(TRIM(SUBSTITUTE(O212,".","")))</f>
        <v>Consumer</v>
      </c>
      <c r="Q212" s="3" t="s">
        <v>42</v>
      </c>
      <c r="R212" s="7" t="str">
        <f>PROPER(TRIM(SUBSTITUTE(Q212,"  "," ")))</f>
        <v>East</v>
      </c>
      <c r="S212" s="3" t="s">
        <v>186</v>
      </c>
      <c r="T212" s="6" t="str">
        <f>PROPER(TRIM(SUBSTITUTE(S212,"  "," ")))</f>
        <v>Bihar</v>
      </c>
      <c r="U212" s="3" t="s">
        <v>187</v>
      </c>
      <c r="V212" s="6" t="str">
        <f>PROPER(TRIM(SUBSTITUTE(U212,"  "," ")))</f>
        <v>Patna</v>
      </c>
      <c r="W212" s="3" t="s">
        <v>86</v>
      </c>
      <c r="X212" s="6" t="str">
        <f>PROPER(TRIM(SUBSTITUTE(W212,"  "," ")))</f>
        <v>Technology</v>
      </c>
      <c r="Y212" s="3" t="s">
        <v>382</v>
      </c>
      <c r="Z212" s="6" t="str">
        <f>PROPER(TRIM(SUBSTITUTE(Y212,"  "," ")))</f>
        <v>Machines</v>
      </c>
      <c r="AA212" s="3" t="s">
        <v>1169</v>
      </c>
      <c r="AB212" s="3" t="s">
        <v>56</v>
      </c>
      <c r="AC212" s="6" t="str">
        <f>PROPER(TRIM(SUBSTITUTE(AB212,"  "," ")))</f>
        <v>First Class</v>
      </c>
      <c r="AD212" s="3">
        <v>2</v>
      </c>
      <c r="AE212" s="3">
        <v>121.49</v>
      </c>
      <c r="AF212" s="3" t="s">
        <v>1170</v>
      </c>
      <c r="AG212" s="17" t="s">
        <v>1170</v>
      </c>
      <c r="AH212" s="6" t="str">
        <f t="shared" si="27"/>
        <v>Invalid - Above Range</v>
      </c>
      <c r="AI212" s="3">
        <v>242.98</v>
      </c>
      <c r="AJ212" s="3">
        <v>161.41999999999999</v>
      </c>
      <c r="AK212" s="3">
        <v>81.56</v>
      </c>
      <c r="AL212" s="3" t="s">
        <v>34</v>
      </c>
      <c r="AM212" s="6" t="str">
        <f>PROPER(TRIM(SUBSTITUTE(AL212,".","")))</f>
        <v>Paid</v>
      </c>
      <c r="AN212" s="3" t="s">
        <v>35</v>
      </c>
      <c r="AO212" s="8" t="str">
        <f>PROPER(TRIM(SUBSTITUTE(AN212,".","")))</f>
        <v>Completed</v>
      </c>
      <c r="AP212" t="str">
        <f>IF(COUNTIF($A$2:$A$933, A212) &gt; 1, "Duplicate ID", "Unique")</f>
        <v>Unique</v>
      </c>
      <c r="AR212">
        <f t="shared" si="28"/>
        <v>36.447000000000003</v>
      </c>
      <c r="AS212">
        <f t="shared" si="29"/>
        <v>-124.97299999999998</v>
      </c>
      <c r="AT212" s="15">
        <f t="shared" si="30"/>
        <v>-3.4288967541910162</v>
      </c>
      <c r="AU212" t="str">
        <f t="shared" si="31"/>
        <v>Invalid</v>
      </c>
      <c r="AV212" s="8" t="str">
        <f t="shared" si="32"/>
        <v>Active</v>
      </c>
    </row>
    <row r="213" spans="1:48">
      <c r="A213" s="3" t="s">
        <v>2774</v>
      </c>
      <c r="B213" s="3" t="s">
        <v>2775</v>
      </c>
      <c r="C213" s="9">
        <f>IFERROR(DATEVALUE(TEXT(B213,"DD/MM/YYYY")), IF(ISNUMBER(B213), B213, ""))</f>
        <v>45462</v>
      </c>
      <c r="D213" s="9" t="str">
        <f>IF(B213="","Missing", IF(AND(ISNUMBER(B213)=FALSE, C213=""),"Invalid - Could Not Parse", IF(AND(ISNUMBER(B213)=FALSE, C213&lt;&gt;""),"Text - Converted to Date", IF(ISNUMBER(B213),"Valid","Check"))))</f>
        <v>Text - Converted to Date</v>
      </c>
      <c r="E213" s="5">
        <f t="shared" si="25"/>
        <v>6</v>
      </c>
      <c r="F213" s="5">
        <f t="shared" si="26"/>
        <v>2024</v>
      </c>
      <c r="G213" s="3" t="s">
        <v>2776</v>
      </c>
      <c r="H213" s="9">
        <f>IFERROR(DATEVALUE(TEXT(G213,"DD/MM/YYYY")), IF(ISNUMBER(G213), G213, ""))</f>
        <v>45467</v>
      </c>
      <c r="I213" s="9" t="str">
        <f>IF(G213="","Missing", IF(AND(ISNUMBER(G213)=FALSE, H213=""),"Invalid - Could Not Parse", IF(AND(ISNUMBER(G213)=FALSE, H213&lt;&gt;""),"Text - Converted to Date", IF(ISNUMBER(G213),"Valid","Check"))))</f>
        <v>Text - Converted to Date</v>
      </c>
      <c r="J213" s="9" t="str">
        <f>IF(OR(C213="", H213=""), "Cannot Check - Date Missing", IF(H213&lt;C213, "Invalid - Ship Before Order", "Valid"))</f>
        <v>Valid</v>
      </c>
      <c r="K213" s="5">
        <f>IF(OR(C213="", H213=""), "", IF(H213&lt;C213, "", H213-C213))</f>
        <v>5</v>
      </c>
      <c r="L213" s="3" t="s">
        <v>2777</v>
      </c>
      <c r="M213" s="3" t="s">
        <v>162</v>
      </c>
      <c r="N213" s="4" t="str">
        <f>TRIM(SUBSTITUTE(M213,"_"," "))</f>
        <v>Aarav Sharma</v>
      </c>
      <c r="O213" s="3" t="s">
        <v>41</v>
      </c>
      <c r="P213" s="6" t="str">
        <f>PROPER(TRIM(SUBSTITUTE(O213,".","")))</f>
        <v>Small Business</v>
      </c>
      <c r="Q213" s="3" t="s">
        <v>62</v>
      </c>
      <c r="R213" s="7" t="str">
        <f>PROPER(TRIM(SUBSTITUTE(Q213,"  "," ")))</f>
        <v>South</v>
      </c>
      <c r="S213" s="3" t="s">
        <v>339</v>
      </c>
      <c r="T213" s="6" t="str">
        <f>PROPER(TRIM(SUBSTITUTE(S213,"  "," ")))</f>
        <v>Tamil Nadu</v>
      </c>
      <c r="U213" s="3" t="s">
        <v>340</v>
      </c>
      <c r="V213" s="6" t="str">
        <f>PROPER(TRIM(SUBSTITUTE(U213,"  "," ")))</f>
        <v>Chennai</v>
      </c>
      <c r="W213" s="3" t="s">
        <v>30</v>
      </c>
      <c r="X213" s="6" t="str">
        <f>PROPER(TRIM(SUBSTITUTE(W213,"  "," ")))</f>
        <v>Office Supplies</v>
      </c>
      <c r="Y213" s="3" t="s">
        <v>156</v>
      </c>
      <c r="Z213" s="6" t="str">
        <f>PROPER(TRIM(SUBSTITUTE(Y213,"  "," ")))</f>
        <v>Storage</v>
      </c>
      <c r="AA213" s="3" t="s">
        <v>2778</v>
      </c>
      <c r="AB213" s="3" t="s">
        <v>48</v>
      </c>
      <c r="AC213" s="6" t="str">
        <f>PROPER(TRIM(SUBSTITUTE(AB213,"  "," ")))</f>
        <v>Same Day</v>
      </c>
      <c r="AD213" s="3">
        <v>1</v>
      </c>
      <c r="AE213" s="3">
        <v>3202.41</v>
      </c>
      <c r="AF213" s="3">
        <v>0</v>
      </c>
      <c r="AG213" s="17">
        <v>0</v>
      </c>
      <c r="AH213" s="6" t="str">
        <f t="shared" si="27"/>
        <v>Valid</v>
      </c>
      <c r="AI213" s="3">
        <v>3202.41</v>
      </c>
      <c r="AJ213" s="3">
        <v>2608.44</v>
      </c>
      <c r="AK213" s="3">
        <v>593.97</v>
      </c>
      <c r="AL213" s="3" t="s">
        <v>34</v>
      </c>
      <c r="AM213" s="6" t="str">
        <f>PROPER(TRIM(SUBSTITUTE(AL213,".","")))</f>
        <v>Paid</v>
      </c>
      <c r="AN213" s="3" t="s">
        <v>35</v>
      </c>
      <c r="AO213" s="8" t="str">
        <f>PROPER(TRIM(SUBSTITUTE(AN213,".","")))</f>
        <v>Completed</v>
      </c>
      <c r="AP213" t="str">
        <f>IF(COUNTIF($A$2:$A$933, A213) &gt; 1, "Duplicate ID", "Unique")</f>
        <v>Unique</v>
      </c>
      <c r="AR213">
        <f t="shared" si="28"/>
        <v>3202.41</v>
      </c>
      <c r="AS213">
        <f t="shared" si="29"/>
        <v>593.9699999999998</v>
      </c>
      <c r="AT213" s="15">
        <f t="shared" si="30"/>
        <v>0.18547593843386695</v>
      </c>
      <c r="AU213" t="str">
        <f t="shared" si="31"/>
        <v>Clean</v>
      </c>
      <c r="AV213" s="8" t="str">
        <f t="shared" si="32"/>
        <v>Active</v>
      </c>
    </row>
    <row r="214" spans="1:48">
      <c r="A214" s="3" t="s">
        <v>2898</v>
      </c>
      <c r="B214" s="3" t="s">
        <v>2152</v>
      </c>
      <c r="C214" s="9">
        <f>IFERROR(DATEVALUE(TEXT(B214,"DD/MM/YYYY")), IF(ISNUMBER(B214), B214, ""))</f>
        <v>45464</v>
      </c>
      <c r="D214" s="9" t="str">
        <f>IF(B214="","Missing", IF(AND(ISNUMBER(B214)=FALSE, C214=""),"Invalid - Could Not Parse", IF(AND(ISNUMBER(B214)=FALSE, C214&lt;&gt;""),"Text - Converted to Date", IF(ISNUMBER(B214),"Valid","Check"))))</f>
        <v>Text - Converted to Date</v>
      </c>
      <c r="E214" s="5">
        <f t="shared" si="25"/>
        <v>6</v>
      </c>
      <c r="F214" s="5">
        <f t="shared" si="26"/>
        <v>2024</v>
      </c>
      <c r="G214" s="3" t="s">
        <v>1553</v>
      </c>
      <c r="H214" s="9">
        <f>IFERROR(DATEVALUE(TEXT(G214,"DD/MM/YYYY")), IF(ISNUMBER(G214), G214, ""))</f>
        <v>45466</v>
      </c>
      <c r="I214" s="9" t="str">
        <f>IF(G214="","Missing", IF(AND(ISNUMBER(G214)=FALSE, H214=""),"Invalid - Could Not Parse", IF(AND(ISNUMBER(G214)=FALSE, H214&lt;&gt;""),"Text - Converted to Date", IF(ISNUMBER(G214),"Valid","Check"))))</f>
        <v>Text - Converted to Date</v>
      </c>
      <c r="J214" s="9" t="str">
        <f>IF(OR(C214="", H214=""), "Cannot Check - Date Missing", IF(H214&lt;C214, "Invalid - Ship Before Order", "Valid"))</f>
        <v>Valid</v>
      </c>
      <c r="K214" s="5">
        <f>IF(OR(C214="", H214=""), "", IF(H214&lt;C214, "", H214-C214))</f>
        <v>2</v>
      </c>
      <c r="L214" s="3" t="s">
        <v>2574</v>
      </c>
      <c r="M214" s="3" t="s">
        <v>25</v>
      </c>
      <c r="N214" s="4" t="str">
        <f>TRIM(SUBSTITUTE(M214,"_"," "))</f>
        <v>Karan Malhotra</v>
      </c>
      <c r="O214" s="3" t="s">
        <v>115</v>
      </c>
      <c r="P214" s="6" t="str">
        <f>PROPER(TRIM(SUBSTITUTE(O214,".","")))</f>
        <v>Home Office</v>
      </c>
      <c r="Q214" s="3" t="s">
        <v>73</v>
      </c>
      <c r="R214" s="7" t="str">
        <f>PROPER(TRIM(SUBSTITUTE(Q214,"  "," ")))</f>
        <v>West</v>
      </c>
      <c r="S214" s="3" t="s">
        <v>249</v>
      </c>
      <c r="T214" s="6" t="str">
        <f>PROPER(TRIM(SUBSTITUTE(S214,"  "," ")))</f>
        <v>Goa</v>
      </c>
      <c r="U214" s="3" t="s">
        <v>250</v>
      </c>
      <c r="V214" s="6" t="str">
        <f>PROPER(TRIM(SUBSTITUTE(U214,"  "," ")))</f>
        <v>Panaji</v>
      </c>
      <c r="W214" s="3" t="s">
        <v>45</v>
      </c>
      <c r="X214" s="6" t="str">
        <f>PROPER(TRIM(SUBSTITUTE(W214,"  "," ")))</f>
        <v>Furniture</v>
      </c>
      <c r="Y214" s="3" t="s">
        <v>65</v>
      </c>
      <c r="Z214" s="6" t="str">
        <f>PROPER(TRIM(SUBSTITUTE(Y214,"  "," ")))</f>
        <v>Furnishings</v>
      </c>
      <c r="AA214" s="3" t="s">
        <v>2899</v>
      </c>
      <c r="AB214" s="3" t="s">
        <v>33</v>
      </c>
      <c r="AC214" s="6" t="str">
        <f>PROPER(TRIM(SUBSTITUTE(AB214,"  "," ")))</f>
        <v>Second Class</v>
      </c>
      <c r="AD214" s="3">
        <v>9</v>
      </c>
      <c r="AE214" s="3">
        <v>2153.75</v>
      </c>
      <c r="AF214" s="3">
        <v>0</v>
      </c>
      <c r="AG214" s="17">
        <v>0</v>
      </c>
      <c r="AH214" s="6" t="str">
        <f t="shared" si="27"/>
        <v>Valid</v>
      </c>
      <c r="AI214" s="3">
        <v>19383.75</v>
      </c>
      <c r="AJ214" s="3">
        <v>11667.43</v>
      </c>
      <c r="AK214" s="3">
        <v>7716.32</v>
      </c>
      <c r="AL214" s="3" t="s">
        <v>34</v>
      </c>
      <c r="AM214" s="6" t="str">
        <f>PROPER(TRIM(SUBSTITUTE(AL214,".","")))</f>
        <v>Paid</v>
      </c>
      <c r="AN214" s="3" t="s">
        <v>35</v>
      </c>
      <c r="AO214" s="8" t="str">
        <f>PROPER(TRIM(SUBSTITUTE(AN214,".","")))</f>
        <v>Completed</v>
      </c>
      <c r="AP214" t="str">
        <f>IF(COUNTIF($A$2:$A$933, A214) &gt; 1, "Duplicate ID", "Unique")</f>
        <v>Unique</v>
      </c>
      <c r="AR214">
        <f t="shared" si="28"/>
        <v>19383.75</v>
      </c>
      <c r="AS214">
        <f t="shared" si="29"/>
        <v>7716.32</v>
      </c>
      <c r="AT214" s="15">
        <f t="shared" si="30"/>
        <v>0.39808189849745274</v>
      </c>
      <c r="AU214" t="str">
        <f t="shared" si="31"/>
        <v>Clean</v>
      </c>
      <c r="AV214" s="8" t="str">
        <f t="shared" si="32"/>
        <v>Active</v>
      </c>
    </row>
    <row r="215" spans="1:48">
      <c r="A215" s="3" t="s">
        <v>3140</v>
      </c>
      <c r="B215" s="3" t="s">
        <v>2152</v>
      </c>
      <c r="C215" s="9">
        <f>IFERROR(DATEVALUE(TEXT(B215,"DD/MM/YYYY")), IF(ISNUMBER(B215), B215, ""))</f>
        <v>45464</v>
      </c>
      <c r="D215" s="9" t="str">
        <f>IF(B215="","Missing", IF(AND(ISNUMBER(B215)=FALSE, C215=""),"Invalid - Could Not Parse", IF(AND(ISNUMBER(B215)=FALSE, C215&lt;&gt;""),"Text - Converted to Date", IF(ISNUMBER(B215),"Valid","Check"))))</f>
        <v>Text - Converted to Date</v>
      </c>
      <c r="E215" s="5">
        <f t="shared" si="25"/>
        <v>6</v>
      </c>
      <c r="F215" s="5">
        <f t="shared" si="26"/>
        <v>2024</v>
      </c>
      <c r="G215" s="3" t="s">
        <v>2094</v>
      </c>
      <c r="H215" s="9">
        <f>IFERROR(DATEVALUE(MID(G215,4,2) &amp; "/" &amp; LEFT(G215,2) &amp; "/" &amp; RIGHT(G215,4)), IF(ISNUMBER(G215), G215, IFERROR(DATEVALUE(G215), "")))</f>
        <v>45469</v>
      </c>
      <c r="I215" s="9" t="str">
        <f>IF(G215="","Missing", IF(AND(ISNUMBER(G215)=FALSE, H215=""),"Invalid - Could Not Parse", IF(AND(ISNUMBER(G215)=FALSE, H215&lt;&gt;""),"Text - Converted to Date", IF(ISNUMBER(G215),"Valid","Check"))))</f>
        <v>Text - Converted to Date</v>
      </c>
      <c r="J215" s="9" t="str">
        <f>IF(OR(C215="", H215=""), "Cannot Check - Date Missing", IF(H215&lt;C215, "Invalid - Ship Before Order", "Valid"))</f>
        <v>Valid</v>
      </c>
      <c r="K215" s="5">
        <f>IF(OR(C215="", H215=""), "", IF(H215&lt;C215, "", H215-C215))</f>
        <v>5</v>
      </c>
      <c r="L215" s="3" t="s">
        <v>3141</v>
      </c>
      <c r="M215" s="3" t="s">
        <v>180</v>
      </c>
      <c r="N215" s="4" t="str">
        <f>TRIM(SUBSTITUTE(M215,"_"," "))</f>
        <v>Rohan Mehta</v>
      </c>
      <c r="O215" s="3" t="s">
        <v>41</v>
      </c>
      <c r="P215" s="6" t="str">
        <f>PROPER(TRIM(SUBSTITUTE(O215,".","")))</f>
        <v>Small Business</v>
      </c>
      <c r="Q215" s="3" t="s">
        <v>27</v>
      </c>
      <c r="R215" s="7" t="str">
        <f>PROPER(TRIM(SUBSTITUTE(Q215,"  "," ")))</f>
        <v>North</v>
      </c>
      <c r="S215" s="3" t="s">
        <v>154</v>
      </c>
      <c r="T215" s="6" t="str">
        <f>PROPER(TRIM(SUBSTITUTE(S215,"  "," ")))</f>
        <v>Punjab</v>
      </c>
      <c r="U215" s="3" t="s">
        <v>155</v>
      </c>
      <c r="V215" s="6" t="str">
        <f>PROPER(TRIM(SUBSTITUTE(U215,"  "," ")))</f>
        <v>Ludhiana</v>
      </c>
      <c r="W215" s="3" t="s">
        <v>86</v>
      </c>
      <c r="X215" s="6" t="str">
        <f>PROPER(TRIM(SUBSTITUTE(W215,"  "," ")))</f>
        <v>Technology</v>
      </c>
      <c r="Y215" s="3" t="s">
        <v>94</v>
      </c>
      <c r="Z215" s="6" t="str">
        <f>PROPER(TRIM(SUBSTITUTE(Y215,"  "," ")))</f>
        <v>Copiers</v>
      </c>
      <c r="AA215" s="3" t="s">
        <v>3142</v>
      </c>
      <c r="AB215" s="3" t="s">
        <v>48</v>
      </c>
      <c r="AC215" s="6" t="str">
        <f>PROPER(TRIM(SUBSTITUTE(AB215,"  "," ")))</f>
        <v>Same Day</v>
      </c>
      <c r="AD215" s="3">
        <v>1</v>
      </c>
      <c r="AE215" s="3">
        <v>279.83</v>
      </c>
      <c r="AF215" s="3">
        <v>0.05</v>
      </c>
      <c r="AG215" s="17">
        <v>0.05</v>
      </c>
      <c r="AH215" s="6" t="str">
        <f t="shared" si="27"/>
        <v>Valid</v>
      </c>
      <c r="AI215" s="3">
        <v>265.83999999999997</v>
      </c>
      <c r="AJ215" s="3">
        <v>223.49</v>
      </c>
      <c r="AK215" s="3">
        <v>42.35</v>
      </c>
      <c r="AL215" s="3" t="s">
        <v>34</v>
      </c>
      <c r="AM215" s="6" t="str">
        <f>PROPER(TRIM(SUBSTITUTE(AL215,".","")))</f>
        <v>Paid</v>
      </c>
      <c r="AN215" s="3" t="s">
        <v>35</v>
      </c>
      <c r="AO215" s="8" t="str">
        <f>PROPER(TRIM(SUBSTITUTE(AN215,".","")))</f>
        <v>Completed</v>
      </c>
      <c r="AP215" t="str">
        <f>IF(COUNTIF($A$2:$A$933, A215) &gt; 1, "Duplicate ID", "Unique")</f>
        <v>Unique</v>
      </c>
      <c r="AR215">
        <f t="shared" si="28"/>
        <v>265.83849999999995</v>
      </c>
      <c r="AS215">
        <f t="shared" si="29"/>
        <v>42.348499999999945</v>
      </c>
      <c r="AT215" s="15">
        <f t="shared" si="30"/>
        <v>0.15930160605028976</v>
      </c>
      <c r="AU215" t="str">
        <f t="shared" si="31"/>
        <v>Clean</v>
      </c>
      <c r="AV215" s="8" t="str">
        <f t="shared" si="32"/>
        <v>Active</v>
      </c>
    </row>
    <row r="216" spans="1:48">
      <c r="A216" s="3" t="s">
        <v>3411</v>
      </c>
      <c r="B216" s="3" t="s">
        <v>1832</v>
      </c>
      <c r="C216" s="9">
        <f>IFERROR(DATEVALUE(TEXT(B216,"DD/MM/YYYY")), IF(ISNUMBER(B216), B216, ""))</f>
        <v>45464</v>
      </c>
      <c r="D216" s="9" t="str">
        <f>IF(B216="","Missing", IF(AND(ISNUMBER(B216)=FALSE, C216=""),"Invalid - Could Not Parse", IF(AND(ISNUMBER(B216)=FALSE, C216&lt;&gt;""),"Text - Converted to Date", IF(ISNUMBER(B216),"Valid","Check"))))</f>
        <v>Text - Converted to Date</v>
      </c>
      <c r="E216" s="5">
        <f t="shared" si="25"/>
        <v>6</v>
      </c>
      <c r="F216" s="5">
        <f t="shared" si="26"/>
        <v>2024</v>
      </c>
      <c r="G216" s="3" t="s">
        <v>3412</v>
      </c>
      <c r="H216" s="9">
        <f>IFERROR(DATEVALUE(TEXT(G216,"DD/MM/YYYY")), IF(ISNUMBER(G216), G216, ""))</f>
        <v>45471</v>
      </c>
      <c r="I216" s="9" t="str">
        <f>IF(G216="","Missing", IF(AND(ISNUMBER(G216)=FALSE, H216=""),"Invalid - Could Not Parse", IF(AND(ISNUMBER(G216)=FALSE, H216&lt;&gt;""),"Text - Converted to Date", IF(ISNUMBER(G216),"Valid","Check"))))</f>
        <v>Text - Converted to Date</v>
      </c>
      <c r="J216" s="9" t="str">
        <f>IF(OR(C216="", H216=""), "Cannot Check - Date Missing", IF(H216&lt;C216, "Invalid - Ship Before Order", "Valid"))</f>
        <v>Valid</v>
      </c>
      <c r="K216" s="5">
        <f>IF(OR(C216="", H216=""), "", IF(H216&lt;C216, "", H216-C216))</f>
        <v>7</v>
      </c>
      <c r="L216" s="3" t="s">
        <v>3413</v>
      </c>
      <c r="M216" s="3" t="s">
        <v>162</v>
      </c>
      <c r="N216" s="4" t="str">
        <f>TRIM(SUBSTITUTE(M216,"_"," "))</f>
        <v>Aarav Sharma</v>
      </c>
      <c r="O216" s="3" t="s">
        <v>115</v>
      </c>
      <c r="P216" s="6" t="str">
        <f>PROPER(TRIM(SUBSTITUTE(O216,".","")))</f>
        <v>Home Office</v>
      </c>
      <c r="Q216" s="3" t="s">
        <v>27</v>
      </c>
      <c r="R216" s="7" t="str">
        <f>PROPER(TRIM(SUBSTITUTE(Q216,"  "," ")))</f>
        <v>North</v>
      </c>
      <c r="S216" s="3" t="s">
        <v>28</v>
      </c>
      <c r="T216" s="6" t="str">
        <f>PROPER(TRIM(SUBSTITUTE(S216,"  "," ")))</f>
        <v>Rajasthan</v>
      </c>
      <c r="U216" s="3" t="s">
        <v>29</v>
      </c>
      <c r="V216" s="6" t="str">
        <f>PROPER(TRIM(SUBSTITUTE(U216,"  "," ")))</f>
        <v>Jaipur</v>
      </c>
      <c r="W216" s="3" t="s">
        <v>45</v>
      </c>
      <c r="X216" s="6" t="str">
        <f>PROPER(TRIM(SUBSTITUTE(W216,"  "," ")))</f>
        <v>Furniture</v>
      </c>
      <c r="Y216" s="3" t="s">
        <v>65</v>
      </c>
      <c r="Z216" s="6" t="str">
        <f>PROPER(TRIM(SUBSTITUTE(Y216,"  "," ")))</f>
        <v>Furnishings</v>
      </c>
      <c r="AA216" s="3" t="s">
        <v>3414</v>
      </c>
      <c r="AB216" s="3" t="s">
        <v>56</v>
      </c>
      <c r="AC216" s="6" t="str">
        <f>PROPER(TRIM(SUBSTITUTE(AB216,"  "," ")))</f>
        <v>First Class</v>
      </c>
      <c r="AD216" s="3">
        <v>9</v>
      </c>
      <c r="AE216" s="3">
        <v>2797.96</v>
      </c>
      <c r="AF216" s="3">
        <v>0</v>
      </c>
      <c r="AG216" s="17">
        <v>0</v>
      </c>
      <c r="AH216" s="6" t="str">
        <f t="shared" si="27"/>
        <v>Valid</v>
      </c>
      <c r="AI216" s="3">
        <v>25181.64</v>
      </c>
      <c r="AJ216" s="3">
        <v>15337.9</v>
      </c>
      <c r="AK216" s="3">
        <v>9843.74</v>
      </c>
      <c r="AL216" s="3" t="s">
        <v>34</v>
      </c>
      <c r="AM216" s="6" t="str">
        <f>PROPER(TRIM(SUBSTITUTE(AL216,".","")))</f>
        <v>Paid</v>
      </c>
      <c r="AN216" s="3" t="s">
        <v>35</v>
      </c>
      <c r="AO216" s="8" t="str">
        <f>PROPER(TRIM(SUBSTITUTE(AN216,".","")))</f>
        <v>Completed</v>
      </c>
      <c r="AP216" t="str">
        <f>IF(COUNTIF($A$2:$A$933, A216) &gt; 1, "Duplicate ID", "Unique")</f>
        <v>Unique</v>
      </c>
      <c r="AR216">
        <f t="shared" si="28"/>
        <v>25181.64</v>
      </c>
      <c r="AS216">
        <f t="shared" si="29"/>
        <v>9843.74</v>
      </c>
      <c r="AT216" s="15">
        <f t="shared" si="30"/>
        <v>0.39090940860086953</v>
      </c>
      <c r="AU216" t="str">
        <f t="shared" si="31"/>
        <v>Clean</v>
      </c>
      <c r="AV216" s="8" t="str">
        <f t="shared" si="32"/>
        <v>Active</v>
      </c>
    </row>
    <row r="217" spans="1:48">
      <c r="A217" s="3" t="s">
        <v>319</v>
      </c>
      <c r="B217" s="3" t="s">
        <v>320</v>
      </c>
      <c r="C217" s="9">
        <v>45465</v>
      </c>
      <c r="D217" s="9" t="str">
        <f>IF(B217="","Missing", IF(AND(ISNUMBER(B217)=FALSE, C217=""),"Invalid - Could Not Parse", IF(AND(ISNUMBER(B217)=FALSE, C217&lt;&gt;""),"Text - Converted to Date", IF(ISNUMBER(B217),"Valid","Check"))))</f>
        <v>Text - Converted to Date</v>
      </c>
      <c r="E217" s="5">
        <f t="shared" si="25"/>
        <v>6</v>
      </c>
      <c r="F217" s="5">
        <f t="shared" si="26"/>
        <v>2024</v>
      </c>
      <c r="G217" s="3" t="s">
        <v>321</v>
      </c>
      <c r="H217" s="9">
        <f>IFERROR(DATEVALUE(TEXT(G217,"DD/MM/YYYY")), IF(ISNUMBER(G217), G217, ""))</f>
        <v>45468</v>
      </c>
      <c r="I217" s="9" t="str">
        <f>IF(G217="","Missing", IF(AND(ISNUMBER(G217)=FALSE, H217=""),"Invalid - Could Not Parse", IF(AND(ISNUMBER(G217)=FALSE, H217&lt;&gt;""),"Text - Converted to Date", IF(ISNUMBER(G217),"Valid","Check"))))</f>
        <v>Text - Converted to Date</v>
      </c>
      <c r="J217" s="9" t="str">
        <f>IF(OR(C217="", H217=""), "Cannot Check - Date Missing", IF(H217&lt;C217, "Invalid - Ship Before Order", "Valid"))</f>
        <v>Valid</v>
      </c>
      <c r="K217" s="5">
        <f>IF(OR(C217="", H217=""), "", IF(H217&lt;C217, "", H217-C217))</f>
        <v>3</v>
      </c>
      <c r="L217" s="3" t="s">
        <v>322</v>
      </c>
      <c r="M217" s="3" t="s">
        <v>180</v>
      </c>
      <c r="N217" s="4" t="str">
        <f>TRIM(SUBSTITUTE(M217,"_"," "))</f>
        <v>Rohan Mehta</v>
      </c>
      <c r="O217" s="3" t="s">
        <v>41</v>
      </c>
      <c r="P217" s="6" t="str">
        <f>PROPER(TRIM(SUBSTITUTE(O217,".","")))</f>
        <v>Small Business</v>
      </c>
      <c r="Q217" s="3" t="s">
        <v>27</v>
      </c>
      <c r="R217" s="7" t="str">
        <f>PROPER(TRIM(SUBSTITUTE(Q217,"  "," ")))</f>
        <v>North</v>
      </c>
      <c r="S217" s="3" t="s">
        <v>323</v>
      </c>
      <c r="T217" s="6" t="str">
        <f>PROPER(TRIM(SUBSTITUTE(S217,"  "," ")))</f>
        <v>Haryana</v>
      </c>
      <c r="U217" s="3" t="s">
        <v>324</v>
      </c>
      <c r="V217" s="6" t="str">
        <f>PROPER(TRIM(SUBSTITUTE(U217,"  "," ")))</f>
        <v>Gurugram</v>
      </c>
      <c r="W217" s="3" t="s">
        <v>45</v>
      </c>
      <c r="X217" s="6" t="str">
        <f>PROPER(TRIM(SUBSTITUTE(W217,"  "," ")))</f>
        <v>Furniture</v>
      </c>
      <c r="Y217" s="3" t="s">
        <v>76</v>
      </c>
      <c r="Z217" s="6" t="str">
        <f>PROPER(TRIM(SUBSTITUTE(Y217,"  "," ")))</f>
        <v>Chairs</v>
      </c>
      <c r="AA217" s="3" t="s">
        <v>325</v>
      </c>
      <c r="AB217" s="3" t="s">
        <v>67</v>
      </c>
      <c r="AC217" s="6" t="str">
        <f>PROPER(TRIM(SUBSTITUTE(AB217,"  "," ")))</f>
        <v>Standard Class</v>
      </c>
      <c r="AD217" s="3">
        <v>9</v>
      </c>
      <c r="AE217" s="3">
        <v>3329.77</v>
      </c>
      <c r="AF217" s="3">
        <v>0.1</v>
      </c>
      <c r="AG217" s="17">
        <v>0.1</v>
      </c>
      <c r="AH217" s="6" t="str">
        <f t="shared" si="27"/>
        <v>Valid</v>
      </c>
      <c r="AI217" s="3">
        <v>26971.14</v>
      </c>
      <c r="AJ217" s="3">
        <v>17376.2</v>
      </c>
      <c r="AK217" s="3">
        <v>9594.94</v>
      </c>
      <c r="AL217" s="3" t="s">
        <v>34</v>
      </c>
      <c r="AM217" s="6" t="str">
        <f>PROPER(TRIM(SUBSTITUTE(AL217,".","")))</f>
        <v>Paid</v>
      </c>
      <c r="AN217" s="3" t="s">
        <v>35</v>
      </c>
      <c r="AO217" s="8" t="str">
        <f>PROPER(TRIM(SUBSTITUTE(AN217,".","")))</f>
        <v>Completed</v>
      </c>
      <c r="AP217" t="str">
        <f>IF(COUNTIF($A$2:$A$933, A217) &gt; 1, "Duplicate ID", "Unique")</f>
        <v>Unique</v>
      </c>
      <c r="AR217">
        <f t="shared" si="28"/>
        <v>26971.137000000002</v>
      </c>
      <c r="AS217">
        <f t="shared" si="29"/>
        <v>9594.9370000000017</v>
      </c>
      <c r="AT217" s="15">
        <f t="shared" si="30"/>
        <v>0.35574833200394929</v>
      </c>
      <c r="AU217" t="str">
        <f t="shared" si="31"/>
        <v>Clean</v>
      </c>
      <c r="AV217" s="8" t="str">
        <f t="shared" si="32"/>
        <v>Active</v>
      </c>
    </row>
    <row r="218" spans="1:48">
      <c r="A218" s="3" t="s">
        <v>600</v>
      </c>
      <c r="B218" s="3" t="s">
        <v>320</v>
      </c>
      <c r="C218" s="9">
        <v>45465</v>
      </c>
      <c r="D218" s="9" t="str">
        <f>IF(B218="","Missing", IF(AND(ISNUMBER(B218)=FALSE, C218=""),"Invalid - Could Not Parse", IF(AND(ISNUMBER(B218)=FALSE, C218&lt;&gt;""),"Text - Converted to Date", IF(ISNUMBER(B218),"Valid","Check"))))</f>
        <v>Text - Converted to Date</v>
      </c>
      <c r="E218" s="5">
        <f t="shared" si="25"/>
        <v>6</v>
      </c>
      <c r="F218" s="5">
        <f t="shared" si="26"/>
        <v>2024</v>
      </c>
      <c r="G218" s="3" t="s">
        <v>601</v>
      </c>
      <c r="H218" s="9">
        <f>IFERROR(DATEVALUE(TEXT(G218,"DD/MM/YYYY")), IF(ISNUMBER(G218), G218, ""))</f>
        <v>45469</v>
      </c>
      <c r="I218" s="9" t="str">
        <f>IF(G218="","Missing", IF(AND(ISNUMBER(G218)=FALSE, H218=""),"Invalid - Could Not Parse", IF(AND(ISNUMBER(G218)=FALSE, H218&lt;&gt;""),"Text - Converted to Date", IF(ISNUMBER(G218),"Valid","Check"))))</f>
        <v>Text - Converted to Date</v>
      </c>
      <c r="J218" s="9" t="str">
        <f>IF(OR(C218="", H218=""), "Cannot Check - Date Missing", IF(H218&lt;C218, "Invalid - Ship Before Order", "Valid"))</f>
        <v>Valid</v>
      </c>
      <c r="K218" s="5">
        <f>IF(OR(C218="", H218=""), "", IF(H218&lt;C218, "", H218-C218))</f>
        <v>4</v>
      </c>
      <c r="L218" s="3" t="s">
        <v>602</v>
      </c>
      <c r="M218" s="3" t="s">
        <v>180</v>
      </c>
      <c r="N218" s="4" t="str">
        <f>TRIM(SUBSTITUTE(M218,"_"," "))</f>
        <v>Rohan Mehta</v>
      </c>
      <c r="O218" s="3" t="s">
        <v>115</v>
      </c>
      <c r="P218" s="6" t="str">
        <f>PROPER(TRIM(SUBSTITUTE(O218,".","")))</f>
        <v>Home Office</v>
      </c>
      <c r="Q218" s="3" t="s">
        <v>42</v>
      </c>
      <c r="R218" s="7" t="str">
        <f>PROPER(TRIM(SUBSTITUTE(Q218,"  "," ")))</f>
        <v>East</v>
      </c>
      <c r="S218" s="3" t="s">
        <v>186</v>
      </c>
      <c r="T218" s="6" t="str">
        <f>PROPER(TRIM(SUBSTITUTE(S218,"  "," ")))</f>
        <v>Bihar</v>
      </c>
      <c r="U218" s="3" t="s">
        <v>187</v>
      </c>
      <c r="V218" s="6" t="str">
        <f>PROPER(TRIM(SUBSTITUTE(U218,"  "," ")))</f>
        <v>Patna</v>
      </c>
      <c r="W218" s="3" t="s">
        <v>45</v>
      </c>
      <c r="X218" s="6" t="str">
        <f>PROPER(TRIM(SUBSTITUTE(W218,"  "," ")))</f>
        <v>Furniture</v>
      </c>
      <c r="Y218" s="3" t="s">
        <v>65</v>
      </c>
      <c r="Z218" s="6" t="str">
        <f>PROPER(TRIM(SUBSTITUTE(Y218,"  "," ")))</f>
        <v>Furnishings</v>
      </c>
      <c r="AA218" s="3" t="s">
        <v>603</v>
      </c>
      <c r="AB218" s="3" t="s">
        <v>56</v>
      </c>
      <c r="AC218" s="6" t="str">
        <f>PROPER(TRIM(SUBSTITUTE(AB218,"  "," ")))</f>
        <v>First Class</v>
      </c>
      <c r="AD218" s="3">
        <v>5</v>
      </c>
      <c r="AE218" s="3">
        <v>4396.5200000000004</v>
      </c>
      <c r="AF218" s="3">
        <v>0.25</v>
      </c>
      <c r="AG218" s="17">
        <v>0.25</v>
      </c>
      <c r="AH218" s="6" t="str">
        <f t="shared" si="27"/>
        <v>Valid</v>
      </c>
      <c r="AI218" s="3">
        <v>16486.95</v>
      </c>
      <c r="AJ218" s="3">
        <v>12054.14</v>
      </c>
      <c r="AK218" s="3">
        <v>4432.8100000000004</v>
      </c>
      <c r="AL218" s="3" t="s">
        <v>34</v>
      </c>
      <c r="AM218" s="6" t="str">
        <f>PROPER(TRIM(SUBSTITUTE(AL218,".","")))</f>
        <v>Paid</v>
      </c>
      <c r="AN218" s="3" t="s">
        <v>35</v>
      </c>
      <c r="AO218" s="8" t="str">
        <f>PROPER(TRIM(SUBSTITUTE(AN218,".","")))</f>
        <v>Completed</v>
      </c>
      <c r="AP218" t="str">
        <f>IF(COUNTIF($A$2:$A$933, A218) &gt; 1, "Duplicate ID", "Unique")</f>
        <v>Unique</v>
      </c>
      <c r="AR218">
        <f t="shared" si="28"/>
        <v>16486.95</v>
      </c>
      <c r="AS218">
        <f t="shared" si="29"/>
        <v>4432.8100000000013</v>
      </c>
      <c r="AT218" s="15">
        <f t="shared" si="30"/>
        <v>0.26886780150361356</v>
      </c>
      <c r="AU218" t="str">
        <f t="shared" si="31"/>
        <v>Clean</v>
      </c>
      <c r="AV218" s="8" t="str">
        <f t="shared" si="32"/>
        <v>Active</v>
      </c>
    </row>
    <row r="219" spans="1:48">
      <c r="A219" s="3" t="s">
        <v>3189</v>
      </c>
      <c r="B219" s="3" t="s">
        <v>3190</v>
      </c>
      <c r="C219" s="9">
        <f>IFERROR(DATEVALUE(TEXT(B219,"DD/MM/YYYY")), IF(ISNUMBER(B219), B219, ""))</f>
        <v>45465</v>
      </c>
      <c r="D219" s="9" t="str">
        <f>IF(B219="","Missing", IF(AND(ISNUMBER(B219)=FALSE, C219=""),"Invalid - Could Not Parse", IF(AND(ISNUMBER(B219)=FALSE, C219&lt;&gt;""),"Text - Converted to Date", IF(ISNUMBER(B219),"Valid","Check"))))</f>
        <v>Text - Converted to Date</v>
      </c>
      <c r="E219" s="5">
        <f t="shared" si="25"/>
        <v>6</v>
      </c>
      <c r="F219" s="5">
        <f t="shared" si="26"/>
        <v>2024</v>
      </c>
      <c r="G219" s="3" t="s">
        <v>3191</v>
      </c>
      <c r="H219" s="9">
        <f>IFERROR(DATEVALUE(TEXT(G219,"DD/MM/YYYY")), IF(ISNUMBER(G219), G219, ""))</f>
        <v>45470</v>
      </c>
      <c r="I219" s="9" t="str">
        <f>IF(G219="","Missing", IF(AND(ISNUMBER(G219)=FALSE, H219=""),"Invalid - Could Not Parse", IF(AND(ISNUMBER(G219)=FALSE, H219&lt;&gt;""),"Text - Converted to Date", IF(ISNUMBER(G219),"Valid","Check"))))</f>
        <v>Text - Converted to Date</v>
      </c>
      <c r="J219" s="9" t="str">
        <f>IF(OR(C219="", H219=""), "Cannot Check - Date Missing", IF(H219&lt;C219, "Invalid - Ship Before Order", "Valid"))</f>
        <v>Valid</v>
      </c>
      <c r="K219" s="5">
        <f>IF(OR(C219="", H219=""), "", IF(H219&lt;C219, "", H219-C219))</f>
        <v>5</v>
      </c>
      <c r="L219" s="3" t="s">
        <v>24</v>
      </c>
      <c r="M219" s="3" t="s">
        <v>53</v>
      </c>
      <c r="N219" s="4" t="str">
        <f>TRIM(SUBSTITUTE(M219,"_"," "))</f>
        <v>Isha Nair</v>
      </c>
      <c r="O219" s="3" t="s">
        <v>115</v>
      </c>
      <c r="P219" s="6" t="str">
        <f>PROPER(TRIM(SUBSTITUTE(O219,".","")))</f>
        <v>Home Office</v>
      </c>
      <c r="Q219" s="3" t="s">
        <v>62</v>
      </c>
      <c r="R219" s="7" t="str">
        <f>PROPER(TRIM(SUBSTITUTE(Q219,"  "," ")))</f>
        <v>South</v>
      </c>
      <c r="S219" s="3" t="s">
        <v>229</v>
      </c>
      <c r="T219" s="6" t="str">
        <f>PROPER(TRIM(SUBSTITUTE(S219,"  "," ")))</f>
        <v>Karnataka</v>
      </c>
      <c r="U219" s="3" t="s">
        <v>230</v>
      </c>
      <c r="V219" s="6" t="str">
        <f>PROPER(TRIM(SUBSTITUTE(U219,"  "," ")))</f>
        <v>Bengaluru</v>
      </c>
      <c r="W219" s="3" t="s">
        <v>45</v>
      </c>
      <c r="X219" s="6" t="str">
        <f>PROPER(TRIM(SUBSTITUTE(W219,"  "," ")))</f>
        <v>Furniture</v>
      </c>
      <c r="Y219" s="3" t="s">
        <v>76</v>
      </c>
      <c r="Z219" s="6" t="str">
        <f>PROPER(TRIM(SUBSTITUTE(Y219,"  "," ")))</f>
        <v>Chairs</v>
      </c>
      <c r="AA219" s="3" t="s">
        <v>3192</v>
      </c>
      <c r="AB219" s="3" t="s">
        <v>48</v>
      </c>
      <c r="AC219" s="6" t="str">
        <f>PROPER(TRIM(SUBSTITUTE(AB219,"  "," ")))</f>
        <v>Same Day</v>
      </c>
      <c r="AD219" s="3">
        <v>7</v>
      </c>
      <c r="AE219" s="3">
        <v>2623.48</v>
      </c>
      <c r="AF219" s="3">
        <v>0</v>
      </c>
      <c r="AG219" s="17">
        <v>0</v>
      </c>
      <c r="AH219" s="6" t="str">
        <f t="shared" si="27"/>
        <v>Valid</v>
      </c>
      <c r="AI219" s="3">
        <v>18364.36</v>
      </c>
      <c r="AJ219" s="3">
        <v>15445.81</v>
      </c>
      <c r="AK219" s="3">
        <v>2918.55</v>
      </c>
      <c r="AL219" s="3" t="s">
        <v>34</v>
      </c>
      <c r="AM219" s="6" t="str">
        <f>PROPER(TRIM(SUBSTITUTE(AL219,".","")))</f>
        <v>Paid</v>
      </c>
      <c r="AN219" s="3" t="s">
        <v>35</v>
      </c>
      <c r="AO219" s="8" t="str">
        <f>PROPER(TRIM(SUBSTITUTE(AN219,".","")))</f>
        <v>Completed</v>
      </c>
      <c r="AP219" t="str">
        <f>IF(COUNTIF($A$2:$A$933, A219) &gt; 1, "Duplicate ID", "Unique")</f>
        <v>Unique</v>
      </c>
      <c r="AR219">
        <f t="shared" si="28"/>
        <v>18364.36</v>
      </c>
      <c r="AS219">
        <f t="shared" si="29"/>
        <v>2918.5500000000011</v>
      </c>
      <c r="AT219" s="15">
        <f t="shared" si="30"/>
        <v>0.15892467801763857</v>
      </c>
      <c r="AU219" t="str">
        <f t="shared" si="31"/>
        <v>Clean</v>
      </c>
      <c r="AV219" s="8" t="str">
        <f t="shared" si="32"/>
        <v>Active</v>
      </c>
    </row>
    <row r="220" spans="1:48">
      <c r="A220" s="3" t="s">
        <v>1041</v>
      </c>
      <c r="B220" s="3" t="s">
        <v>1042</v>
      </c>
      <c r="C220" s="9">
        <f>IFERROR(DATEVALUE(TEXT(B220,"DD/MM/YYYY")), IF(ISNUMBER(B220), B220, ""))</f>
        <v>45466</v>
      </c>
      <c r="D220" s="9" t="str">
        <f>IF(B220="","Missing", IF(AND(ISNUMBER(B220)=FALSE, C220=""),"Invalid - Could Not Parse", IF(AND(ISNUMBER(B220)=FALSE, C220&lt;&gt;""),"Text - Converted to Date", IF(ISNUMBER(B220),"Valid","Check"))))</f>
        <v>Text - Converted to Date</v>
      </c>
      <c r="E220" s="5">
        <f t="shared" si="25"/>
        <v>6</v>
      </c>
      <c r="F220" s="5">
        <f t="shared" si="26"/>
        <v>2024</v>
      </c>
      <c r="G220" s="3" t="s">
        <v>1043</v>
      </c>
      <c r="H220" s="9">
        <f>IFERROR(DATEVALUE(TEXT(G220,"DD/MM/YYYY")), IF(ISNUMBER(G220), G220, ""))</f>
        <v>45471</v>
      </c>
      <c r="I220" s="9" t="str">
        <f>IF(G220="","Missing", IF(AND(ISNUMBER(G220)=FALSE, H220=""),"Invalid - Could Not Parse", IF(AND(ISNUMBER(G220)=FALSE, H220&lt;&gt;""),"Text - Converted to Date", IF(ISNUMBER(G220),"Valid","Check"))))</f>
        <v>Text - Converted to Date</v>
      </c>
      <c r="J220" s="9" t="str">
        <f>IF(OR(C220="", H220=""), "Cannot Check - Date Missing", IF(H220&lt;C220, "Invalid - Ship Before Order", "Valid"))</f>
        <v>Valid</v>
      </c>
      <c r="K220" s="5">
        <f>IF(OR(C220="", H220=""), "", IF(H220&lt;C220, "", H220-C220))</f>
        <v>5</v>
      </c>
      <c r="L220" s="3" t="s">
        <v>1044</v>
      </c>
      <c r="M220" s="3" t="s">
        <v>142</v>
      </c>
      <c r="N220" s="4" t="str">
        <f>TRIM(SUBSTITUTE(M220,"_"," "))</f>
        <v>Priya Menon</v>
      </c>
      <c r="O220" s="3" t="s">
        <v>41</v>
      </c>
      <c r="P220" s="6" t="str">
        <f>PROPER(TRIM(SUBSTITUTE(O220,".","")))</f>
        <v>Small Business</v>
      </c>
      <c r="Q220" s="3" t="s">
        <v>27</v>
      </c>
      <c r="R220" s="7" t="str">
        <f>PROPER(TRIM(SUBSTITUTE(Q220,"  "," ")))</f>
        <v>North</v>
      </c>
      <c r="S220" s="3" t="s">
        <v>154</v>
      </c>
      <c r="T220" s="6" t="str">
        <f>PROPER(TRIM(SUBSTITUTE(S220,"  "," ")))</f>
        <v>Punjab</v>
      </c>
      <c r="U220" s="3" t="s">
        <v>155</v>
      </c>
      <c r="V220" s="6" t="str">
        <f>PROPER(TRIM(SUBSTITUTE(U220,"  "," ")))</f>
        <v>Ludhiana</v>
      </c>
      <c r="W220" s="3" t="s">
        <v>86</v>
      </c>
      <c r="X220" s="6" t="str">
        <f>PROPER(TRIM(SUBSTITUTE(W220,"  "," ")))</f>
        <v>Technology</v>
      </c>
      <c r="Y220" s="3" t="s">
        <v>94</v>
      </c>
      <c r="Z220" s="6" t="str">
        <f>PROPER(TRIM(SUBSTITUTE(Y220,"  "," ")))</f>
        <v>Copiers</v>
      </c>
      <c r="AA220" s="3" t="s">
        <v>1045</v>
      </c>
      <c r="AB220" s="3" t="s">
        <v>48</v>
      </c>
      <c r="AC220" s="6" t="str">
        <f>PROPER(TRIM(SUBSTITUTE(AB220,"  "," ")))</f>
        <v>Same Day</v>
      </c>
      <c r="AD220" s="3">
        <v>6</v>
      </c>
      <c r="AE220" s="3">
        <v>1956.63</v>
      </c>
      <c r="AF220" s="3">
        <v>0.2</v>
      </c>
      <c r="AG220" s="17">
        <v>0.2</v>
      </c>
      <c r="AH220" s="6" t="str">
        <f t="shared" si="27"/>
        <v>Valid</v>
      </c>
      <c r="AI220" s="3">
        <v>9391.82</v>
      </c>
      <c r="AJ220" s="3">
        <v>6013.22</v>
      </c>
      <c r="AK220" s="3">
        <v>3378.6</v>
      </c>
      <c r="AL220" s="3" t="s">
        <v>124</v>
      </c>
      <c r="AM220" s="6" t="str">
        <f>PROPER(TRIM(SUBSTITUTE(AL220,".","")))</f>
        <v>Refunded</v>
      </c>
      <c r="AN220" s="3" t="s">
        <v>125</v>
      </c>
      <c r="AO220" s="8" t="str">
        <f>PROPER(TRIM(SUBSTITUTE(AN220,".","")))</f>
        <v>Returned</v>
      </c>
      <c r="AP220" t="str">
        <f>IF(COUNTIF($A$2:$A$933, A220) &gt; 1, "Duplicate ID", "Unique")</f>
        <v>Unique</v>
      </c>
      <c r="AR220">
        <f t="shared" si="28"/>
        <v>9391.8240000000005</v>
      </c>
      <c r="AS220">
        <f t="shared" si="29"/>
        <v>3378.6040000000003</v>
      </c>
      <c r="AT220" s="15">
        <f t="shared" si="30"/>
        <v>0.35973885370935399</v>
      </c>
      <c r="AU220" t="str">
        <f t="shared" si="31"/>
        <v>Clean</v>
      </c>
      <c r="AV220" s="8" t="str">
        <f t="shared" si="32"/>
        <v>Refund</v>
      </c>
    </row>
    <row r="221" spans="1:48">
      <c r="A221" s="3" t="s">
        <v>1552</v>
      </c>
      <c r="B221" s="3" t="s">
        <v>1553</v>
      </c>
      <c r="C221" s="9">
        <f>IFERROR(DATEVALUE(TEXT(B221,"DD/MM/YYYY")), IF(ISNUMBER(B221), B221, ""))</f>
        <v>45466</v>
      </c>
      <c r="D221" s="9" t="str">
        <f>IF(B221="","Missing", IF(AND(ISNUMBER(B221)=FALSE, C221=""),"Invalid - Could Not Parse", IF(AND(ISNUMBER(B221)=FALSE, C221&lt;&gt;""),"Text - Converted to Date", IF(ISNUMBER(B221),"Valid","Check"))))</f>
        <v>Text - Converted to Date</v>
      </c>
      <c r="E221" s="5">
        <f t="shared" si="25"/>
        <v>6</v>
      </c>
      <c r="F221" s="5">
        <f t="shared" si="26"/>
        <v>2024</v>
      </c>
      <c r="G221" s="3" t="s">
        <v>1043</v>
      </c>
      <c r="H221" s="9">
        <f>IFERROR(DATEVALUE(TEXT(G221,"DD/MM/YYYY")), IF(ISNUMBER(G221), G221, ""))</f>
        <v>45471</v>
      </c>
      <c r="I221" s="9" t="str">
        <f>IF(G221="","Missing", IF(AND(ISNUMBER(G221)=FALSE, H221=""),"Invalid - Could Not Parse", IF(AND(ISNUMBER(G221)=FALSE, H221&lt;&gt;""),"Text - Converted to Date", IF(ISNUMBER(G221),"Valid","Check"))))</f>
        <v>Text - Converted to Date</v>
      </c>
      <c r="J221" s="9" t="str">
        <f>IF(OR(C221="", H221=""), "Cannot Check - Date Missing", IF(H221&lt;C221, "Invalid - Ship Before Order", "Valid"))</f>
        <v>Valid</v>
      </c>
      <c r="K221" s="5">
        <f>IF(OR(C221="", H221=""), "", IF(H221&lt;C221, "", H221-C221))</f>
        <v>5</v>
      </c>
      <c r="L221" s="3" t="s">
        <v>1554</v>
      </c>
      <c r="M221" s="3" t="s">
        <v>210</v>
      </c>
      <c r="N221" s="4" t="str">
        <f>TRIM(SUBSTITUTE(M221,"_"," "))</f>
        <v>Diya Patel</v>
      </c>
      <c r="O221" s="3" t="s">
        <v>115</v>
      </c>
      <c r="P221" s="6" t="str">
        <f>PROPER(TRIM(SUBSTITUTE(O221,".","")))</f>
        <v>Home Office</v>
      </c>
      <c r="Q221" s="3" t="s">
        <v>73</v>
      </c>
      <c r="R221" s="7" t="str">
        <f>PROPER(TRIM(SUBSTITUTE(Q221,"  "," ")))</f>
        <v>West</v>
      </c>
      <c r="S221" s="3" t="s">
        <v>235</v>
      </c>
      <c r="T221" s="6" t="str">
        <f>PROPER(TRIM(SUBSTITUTE(S221,"  "," ")))</f>
        <v>Gujarat</v>
      </c>
      <c r="U221" s="3" t="s">
        <v>236</v>
      </c>
      <c r="V221" s="6" t="str">
        <f>PROPER(TRIM(SUBSTITUTE(U221,"  "," ")))</f>
        <v>Ahmedabad</v>
      </c>
      <c r="W221" s="3" t="s">
        <v>45</v>
      </c>
      <c r="X221" s="6" t="str">
        <f>PROPER(TRIM(SUBSTITUTE(W221,"  "," ")))</f>
        <v>Furniture</v>
      </c>
      <c r="Y221" s="3" t="s">
        <v>76</v>
      </c>
      <c r="Z221" s="6" t="str">
        <f>PROPER(TRIM(SUBSTITUTE(Y221,"  "," ")))</f>
        <v>Chairs</v>
      </c>
      <c r="AA221" s="3" t="s">
        <v>1555</v>
      </c>
      <c r="AB221" s="3" t="s">
        <v>67</v>
      </c>
      <c r="AC221" s="6" t="str">
        <f>PROPER(TRIM(SUBSTITUTE(AB221,"  "," ")))</f>
        <v>Standard Class</v>
      </c>
      <c r="AD221" s="3">
        <v>2</v>
      </c>
      <c r="AE221" s="3">
        <v>1313.14</v>
      </c>
      <c r="AF221" s="3">
        <v>0.1</v>
      </c>
      <c r="AG221" s="17">
        <v>0.1</v>
      </c>
      <c r="AH221" s="6" t="str">
        <f t="shared" si="27"/>
        <v>Valid</v>
      </c>
      <c r="AI221" s="3">
        <v>2363.65</v>
      </c>
      <c r="AJ221" s="3">
        <v>1876.1</v>
      </c>
      <c r="AK221" s="3">
        <v>487.55</v>
      </c>
      <c r="AL221" s="3" t="s">
        <v>137</v>
      </c>
      <c r="AM221" s="6" t="str">
        <f>PROPER(TRIM(SUBSTITUTE(AL221,".","")))</f>
        <v>Pending</v>
      </c>
      <c r="AN221" s="3" t="s">
        <v>125</v>
      </c>
      <c r="AO221" s="8" t="str">
        <f>PROPER(TRIM(SUBSTITUTE(AN221,".","")))</f>
        <v>Returned</v>
      </c>
      <c r="AP221" t="str">
        <f>IF(COUNTIF($A$2:$A$933, A221) &gt; 1, "Duplicate ID", "Unique")</f>
        <v>Unique</v>
      </c>
      <c r="AR221">
        <f t="shared" si="28"/>
        <v>2363.652</v>
      </c>
      <c r="AS221">
        <f t="shared" si="29"/>
        <v>487.55200000000013</v>
      </c>
      <c r="AT221" s="15">
        <f t="shared" si="30"/>
        <v>0.20627063544041174</v>
      </c>
      <c r="AU221" t="str">
        <f t="shared" si="31"/>
        <v>Clean</v>
      </c>
      <c r="AV221" s="8" t="str">
        <f t="shared" si="32"/>
        <v>Active</v>
      </c>
    </row>
    <row r="222" spans="1:48">
      <c r="A222" s="3" t="s">
        <v>2678</v>
      </c>
      <c r="B222" s="3" t="s">
        <v>1553</v>
      </c>
      <c r="C222" s="9">
        <f>IFERROR(DATEVALUE(TEXT(B222,"DD/MM/YYYY")), IF(ISNUMBER(B222), B222, ""))</f>
        <v>45466</v>
      </c>
      <c r="D222" s="9" t="str">
        <f>IF(B222="","Missing", IF(AND(ISNUMBER(B222)=FALSE, C222=""),"Invalid - Could Not Parse", IF(AND(ISNUMBER(B222)=FALSE, C222&lt;&gt;""),"Text - Converted to Date", IF(ISNUMBER(B222),"Valid","Check"))))</f>
        <v>Text - Converted to Date</v>
      </c>
      <c r="E222" s="5">
        <f t="shared" si="25"/>
        <v>6</v>
      </c>
      <c r="F222" s="5">
        <f t="shared" si="26"/>
        <v>2024</v>
      </c>
      <c r="G222" s="3" t="s">
        <v>2095</v>
      </c>
      <c r="H222" s="9">
        <f>IFERROR(DATEVALUE(TEXT(G222,"DD/MM/YYYY")), IF(ISNUMBER(G222), G222, ""))</f>
        <v>45472</v>
      </c>
      <c r="I222" s="9" t="str">
        <f>IF(G222="","Missing", IF(AND(ISNUMBER(G222)=FALSE, H222=""),"Invalid - Could Not Parse", IF(AND(ISNUMBER(G222)=FALSE, H222&lt;&gt;""),"Text - Converted to Date", IF(ISNUMBER(G222),"Valid","Check"))))</f>
        <v>Text - Converted to Date</v>
      </c>
      <c r="J222" s="9" t="str">
        <f>IF(OR(C222="", H222=""), "Cannot Check - Date Missing", IF(H222&lt;C222, "Invalid - Ship Before Order", "Valid"))</f>
        <v>Valid</v>
      </c>
      <c r="K222" s="5">
        <f>IF(OR(C222="", H222=""), "", IF(H222&lt;C222, "", H222-C222))</f>
        <v>6</v>
      </c>
      <c r="L222" s="3" t="s">
        <v>2679</v>
      </c>
      <c r="M222" s="3" t="s">
        <v>93</v>
      </c>
      <c r="N222" s="4" t="str">
        <f>TRIM(SUBSTITUTE(M222,"_"," "))</f>
        <v>Neha Gupta</v>
      </c>
      <c r="O222" s="3" t="s">
        <v>26</v>
      </c>
      <c r="P222" s="6" t="str">
        <f>PROPER(TRIM(SUBSTITUTE(O222,".","")))</f>
        <v>Consumer</v>
      </c>
      <c r="Q222" s="3" t="s">
        <v>27</v>
      </c>
      <c r="R222" s="7" t="str">
        <f>PROPER(TRIM(SUBSTITUTE(Q222,"  "," ")))</f>
        <v>North</v>
      </c>
      <c r="S222" s="3" t="s">
        <v>323</v>
      </c>
      <c r="T222" s="6" t="str">
        <f>PROPER(TRIM(SUBSTITUTE(S222,"  "," ")))</f>
        <v>Haryana</v>
      </c>
      <c r="U222" s="3" t="s">
        <v>324</v>
      </c>
      <c r="V222" s="6" t="str">
        <f>PROPER(TRIM(SUBSTITUTE(U222,"  "," ")))</f>
        <v>Gurugram</v>
      </c>
      <c r="W222" s="3" t="s">
        <v>45</v>
      </c>
      <c r="X222" s="6" t="str">
        <f>PROPER(TRIM(SUBSTITUTE(W222,"  "," ")))</f>
        <v>Furniture</v>
      </c>
      <c r="Y222" s="3" t="s">
        <v>46</v>
      </c>
      <c r="Z222" s="6" t="str">
        <f>PROPER(TRIM(SUBSTITUTE(Y222,"  "," ")))</f>
        <v>Tables</v>
      </c>
      <c r="AA222" s="3" t="s">
        <v>2680</v>
      </c>
      <c r="AB222" s="3" t="s">
        <v>56</v>
      </c>
      <c r="AC222" s="6" t="str">
        <f>PROPER(TRIM(SUBSTITUTE(AB222,"  "," ")))</f>
        <v>First Class</v>
      </c>
      <c r="AD222" s="3">
        <v>1</v>
      </c>
      <c r="AE222" s="3">
        <v>4426.66</v>
      </c>
      <c r="AF222" s="3">
        <v>0</v>
      </c>
      <c r="AG222" s="17">
        <v>0</v>
      </c>
      <c r="AH222" s="6" t="str">
        <f t="shared" si="27"/>
        <v>Valid</v>
      </c>
      <c r="AI222" s="3">
        <v>4426.66</v>
      </c>
      <c r="AJ222" s="3">
        <v>3035.2</v>
      </c>
      <c r="AK222" s="3">
        <v>1816.23</v>
      </c>
      <c r="AL222" s="3" t="s">
        <v>34</v>
      </c>
      <c r="AM222" s="6" t="str">
        <f>PROPER(TRIM(SUBSTITUTE(AL222,".","")))</f>
        <v>Paid</v>
      </c>
      <c r="AN222" s="3" t="s">
        <v>125</v>
      </c>
      <c r="AO222" s="8" t="str">
        <f>PROPER(TRIM(SUBSTITUTE(AN222,".","")))</f>
        <v>Returned</v>
      </c>
      <c r="AP222" t="str">
        <f>IF(COUNTIF($A$2:$A$933, A222) &gt; 1, "Duplicate ID", "Unique")</f>
        <v>Unique</v>
      </c>
      <c r="AR222">
        <f t="shared" si="28"/>
        <v>4426.66</v>
      </c>
      <c r="AS222">
        <f t="shared" si="29"/>
        <v>1391.46</v>
      </c>
      <c r="AT222" s="15">
        <f t="shared" si="30"/>
        <v>0.31433631677156143</v>
      </c>
      <c r="AU222" t="str">
        <f t="shared" si="31"/>
        <v>Clean</v>
      </c>
      <c r="AV222" s="8" t="str">
        <f t="shared" si="32"/>
        <v>Active</v>
      </c>
    </row>
    <row r="223" spans="1:48">
      <c r="A223" s="3" t="s">
        <v>619</v>
      </c>
      <c r="B223" s="3" t="s">
        <v>620</v>
      </c>
      <c r="C223" s="9">
        <v>45467</v>
      </c>
      <c r="D223" s="9" t="str">
        <f>IF(B223="","Missing", IF(AND(ISNUMBER(B223)=FALSE, C223=""),"Invalid - Could Not Parse", IF(AND(ISNUMBER(B223)=FALSE, C223&lt;&gt;""),"Text - Converted to Date", IF(ISNUMBER(B223),"Valid","Check"))))</f>
        <v>Text - Converted to Date</v>
      </c>
      <c r="E223" s="5">
        <f t="shared" si="25"/>
        <v>6</v>
      </c>
      <c r="F223" s="5">
        <f t="shared" si="26"/>
        <v>2024</v>
      </c>
      <c r="G223" s="3" t="s">
        <v>621</v>
      </c>
      <c r="H223" s="9">
        <f>IFERROR(DATEVALUE(TEXT(G223,"DD/MM/YYYY")), IF(ISNUMBER(G223), G223, ""))</f>
        <v>45472</v>
      </c>
      <c r="I223" s="9" t="str">
        <f>IF(G223="","Missing", IF(AND(ISNUMBER(G223)=FALSE, H223=""),"Invalid - Could Not Parse", IF(AND(ISNUMBER(G223)=FALSE, H223&lt;&gt;""),"Text - Converted to Date", IF(ISNUMBER(G223),"Valid","Check"))))</f>
        <v>Text - Converted to Date</v>
      </c>
      <c r="J223" s="9" t="str">
        <f>IF(OR(C223="", H223=""), "Cannot Check - Date Missing", IF(H223&lt;C223, "Invalid - Ship Before Order", "Valid"))</f>
        <v>Valid</v>
      </c>
      <c r="K223" s="5">
        <f>IF(OR(C223="", H223=""), "", IF(H223&lt;C223, "", H223-C223))</f>
        <v>5</v>
      </c>
      <c r="L223" s="3" t="s">
        <v>622</v>
      </c>
      <c r="M223" s="3" t="s">
        <v>40</v>
      </c>
      <c r="N223" s="4" t="str">
        <f>TRIM(SUBSTITUTE(M223,"_"," "))</f>
        <v>Mira Das</v>
      </c>
      <c r="O223" s="3" t="s">
        <v>115</v>
      </c>
      <c r="P223" s="6" t="str">
        <f>PROPER(TRIM(SUBSTITUTE(O223,".","")))</f>
        <v>Home Office</v>
      </c>
      <c r="Q223" s="3" t="s">
        <v>42</v>
      </c>
      <c r="R223" s="7" t="str">
        <f>PROPER(TRIM(SUBSTITUTE(Q223,"  "," ")))</f>
        <v>East</v>
      </c>
      <c r="S223" s="3" t="s">
        <v>121</v>
      </c>
      <c r="T223" s="6" t="str">
        <f>PROPER(TRIM(SUBSTITUTE(S223,"  "," ")))</f>
        <v>West Bengal</v>
      </c>
      <c r="U223" s="3" t="s">
        <v>122</v>
      </c>
      <c r="V223" s="6" t="str">
        <f>PROPER(TRIM(SUBSTITUTE(U223,"  "," ")))</f>
        <v>Kolkata</v>
      </c>
      <c r="W223" s="3" t="s">
        <v>45</v>
      </c>
      <c r="X223" s="6" t="str">
        <f>PROPER(TRIM(SUBSTITUTE(W223,"  "," ")))</f>
        <v>Furniture</v>
      </c>
      <c r="Y223" s="3" t="s">
        <v>46</v>
      </c>
      <c r="Z223" s="6" t="str">
        <f>PROPER(TRIM(SUBSTITUTE(Y223,"  "," ")))</f>
        <v>Tables</v>
      </c>
      <c r="AA223" s="3" t="s">
        <v>623</v>
      </c>
      <c r="AB223" s="3" t="s">
        <v>33</v>
      </c>
      <c r="AC223" s="6" t="str">
        <f>PROPER(TRIM(SUBSTITUTE(AB223,"  "," ")))</f>
        <v>Second Class</v>
      </c>
      <c r="AD223" s="3">
        <v>2</v>
      </c>
      <c r="AE223" s="3">
        <v>685</v>
      </c>
      <c r="AF223" s="3">
        <v>0.1</v>
      </c>
      <c r="AG223" s="17">
        <v>0.1</v>
      </c>
      <c r="AH223" s="6" t="str">
        <f t="shared" si="27"/>
        <v>Valid</v>
      </c>
      <c r="AI223" s="3">
        <v>1233</v>
      </c>
      <c r="AJ223" s="3">
        <v>1006.9</v>
      </c>
      <c r="AK223" s="3">
        <v>226.1</v>
      </c>
      <c r="AL223" s="3" t="s">
        <v>34</v>
      </c>
      <c r="AM223" s="6" t="str">
        <f>PROPER(TRIM(SUBSTITUTE(AL223,".","")))</f>
        <v>Paid</v>
      </c>
      <c r="AN223" s="3" t="s">
        <v>35</v>
      </c>
      <c r="AO223" s="8" t="str">
        <f>PROPER(TRIM(SUBSTITUTE(AN223,".","")))</f>
        <v>Completed</v>
      </c>
      <c r="AP223" t="str">
        <f>IF(COUNTIF($A$2:$A$933, A223) &gt; 1, "Duplicate ID", "Unique")</f>
        <v>Unique</v>
      </c>
      <c r="AR223">
        <f t="shared" si="28"/>
        <v>1233</v>
      </c>
      <c r="AS223">
        <f t="shared" si="29"/>
        <v>226.10000000000002</v>
      </c>
      <c r="AT223" s="15">
        <f t="shared" si="30"/>
        <v>0.18337388483373887</v>
      </c>
      <c r="AU223" t="str">
        <f t="shared" si="31"/>
        <v>Clean</v>
      </c>
      <c r="AV223" s="8" t="str">
        <f t="shared" si="32"/>
        <v>Active</v>
      </c>
    </row>
    <row r="224" spans="1:48">
      <c r="A224" s="3" t="s">
        <v>1483</v>
      </c>
      <c r="B224" s="3" t="s">
        <v>1484</v>
      </c>
      <c r="C224" s="9">
        <f>IFERROR(DATEVALUE(TEXT(B224,"DD/MM/YYYY")), IF(ISNUMBER(B224), B224, ""))</f>
        <v>45467</v>
      </c>
      <c r="D224" s="9" t="str">
        <f>IF(B224="","Missing", IF(AND(ISNUMBER(B224)=FALSE, C224=""),"Invalid - Could Not Parse", IF(AND(ISNUMBER(B224)=FALSE, C224&lt;&gt;""),"Text - Converted to Date", IF(ISNUMBER(B224),"Valid","Check"))))</f>
        <v>Text - Converted to Date</v>
      </c>
      <c r="E224" s="5">
        <f t="shared" si="25"/>
        <v>6</v>
      </c>
      <c r="F224" s="5">
        <f t="shared" si="26"/>
        <v>2024</v>
      </c>
      <c r="G224" s="3" t="s">
        <v>1484</v>
      </c>
      <c r="H224" s="9">
        <f>IFERROR(DATEVALUE(TEXT(G224,"DD/MM/YYYY")), IF(ISNUMBER(G224), G224, ""))</f>
        <v>45467</v>
      </c>
      <c r="I224" s="9" t="str">
        <f>IF(G224="","Missing", IF(AND(ISNUMBER(G224)=FALSE, H224=""),"Invalid - Could Not Parse", IF(AND(ISNUMBER(G224)=FALSE, H224&lt;&gt;""),"Text - Converted to Date", IF(ISNUMBER(G224),"Valid","Check"))))</f>
        <v>Text - Converted to Date</v>
      </c>
      <c r="J224" s="9" t="str">
        <f>IF(OR(C224="", H224=""), "Cannot Check - Date Missing", IF(H224&lt;C224, "Invalid - Ship Before Order", "Valid"))</f>
        <v>Valid</v>
      </c>
      <c r="K224" s="5">
        <f>IF(OR(C224="", H224=""), "", IF(H224&lt;C224, "", H224-C224))</f>
        <v>0</v>
      </c>
      <c r="L224" s="3" t="s">
        <v>1485</v>
      </c>
      <c r="M224" s="3" t="s">
        <v>180</v>
      </c>
      <c r="N224" s="4" t="str">
        <f>TRIM(SUBSTITUTE(M224,"_"," "))</f>
        <v>Rohan Mehta</v>
      </c>
      <c r="O224" s="3" t="s">
        <v>41</v>
      </c>
      <c r="P224" s="6" t="str">
        <f>PROPER(TRIM(SUBSTITUTE(O224,".","")))</f>
        <v>Small Business</v>
      </c>
      <c r="Q224" s="3" t="s">
        <v>42</v>
      </c>
      <c r="R224" s="7" t="str">
        <f>PROPER(TRIM(SUBSTITUTE(Q224,"  "," ")))</f>
        <v>East</v>
      </c>
      <c r="S224" s="3" t="s">
        <v>186</v>
      </c>
      <c r="T224" s="6" t="str">
        <f>PROPER(TRIM(SUBSTITUTE(S224,"  "," ")))</f>
        <v>Bihar</v>
      </c>
      <c r="U224" s="3" t="s">
        <v>187</v>
      </c>
      <c r="V224" s="6" t="str">
        <f>PROPER(TRIM(SUBSTITUTE(U224,"  "," ")))</f>
        <v>Patna</v>
      </c>
      <c r="W224" s="3" t="s">
        <v>30</v>
      </c>
      <c r="X224" s="6" t="str">
        <f>PROPER(TRIM(SUBSTITUTE(W224,"  "," ")))</f>
        <v>Office Supplies</v>
      </c>
      <c r="Y224" s="3" t="s">
        <v>198</v>
      </c>
      <c r="Z224" s="6" t="str">
        <f>PROPER(TRIM(SUBSTITUTE(Y224,"  "," ")))</f>
        <v>Binders</v>
      </c>
      <c r="AA224" s="3" t="s">
        <v>1486</v>
      </c>
      <c r="AB224" s="3" t="s">
        <v>48</v>
      </c>
      <c r="AC224" s="6" t="str">
        <f>PROPER(TRIM(SUBSTITUTE(AB224,"  "," ")))</f>
        <v>Same Day</v>
      </c>
      <c r="AD224" s="3">
        <v>2</v>
      </c>
      <c r="AE224" s="3">
        <v>4359.8999999999996</v>
      </c>
      <c r="AF224" s="3">
        <v>0.15</v>
      </c>
      <c r="AG224" s="17">
        <v>0.15</v>
      </c>
      <c r="AH224" s="6" t="str">
        <f t="shared" si="27"/>
        <v>Valid</v>
      </c>
      <c r="AI224" s="3">
        <v>7411.83</v>
      </c>
      <c r="AJ224" s="3">
        <v>4904.63</v>
      </c>
      <c r="AK224" s="3">
        <v>2507.1999999999998</v>
      </c>
      <c r="AL224" s="3" t="s">
        <v>34</v>
      </c>
      <c r="AM224" s="6" t="str">
        <f>PROPER(TRIM(SUBSTITUTE(AL224,".","")))</f>
        <v>Paid</v>
      </c>
      <c r="AN224" s="3" t="s">
        <v>35</v>
      </c>
      <c r="AO224" s="8" t="str">
        <f>PROPER(TRIM(SUBSTITUTE(AN224,".","")))</f>
        <v>Completed</v>
      </c>
      <c r="AP224" t="str">
        <f>IF(COUNTIF($A$2:$A$933, A224) &gt; 1, "Duplicate ID", "Unique")</f>
        <v>Unique</v>
      </c>
      <c r="AR224">
        <f t="shared" si="28"/>
        <v>7411.829999999999</v>
      </c>
      <c r="AS224">
        <f t="shared" si="29"/>
        <v>2507.1999999999989</v>
      </c>
      <c r="AT224" s="15">
        <f t="shared" si="30"/>
        <v>0.3382700358750807</v>
      </c>
      <c r="AU224" t="str">
        <f t="shared" si="31"/>
        <v>Clean</v>
      </c>
      <c r="AV224" s="8" t="str">
        <f t="shared" si="32"/>
        <v>Active</v>
      </c>
    </row>
    <row r="225" spans="1:48">
      <c r="A225" s="3" t="s">
        <v>3305</v>
      </c>
      <c r="B225" s="3" t="s">
        <v>3306</v>
      </c>
      <c r="C225" s="9">
        <f>IFERROR(DATEVALUE(TEXT(B225,"DD/MM/YYYY")), IF(ISNUMBER(B225), B225, ""))</f>
        <v>45467</v>
      </c>
      <c r="D225" s="9" t="str">
        <f>IF(B225="","Missing", IF(AND(ISNUMBER(B225)=FALSE, C225=""),"Invalid - Could Not Parse", IF(AND(ISNUMBER(B225)=FALSE, C225&lt;&gt;""),"Text - Converted to Date", IF(ISNUMBER(B225),"Valid","Check"))))</f>
        <v>Text - Converted to Date</v>
      </c>
      <c r="E225" s="5">
        <f t="shared" si="25"/>
        <v>6</v>
      </c>
      <c r="F225" s="5">
        <f t="shared" si="26"/>
        <v>2024</v>
      </c>
      <c r="G225" s="3" t="s">
        <v>1043</v>
      </c>
      <c r="H225" s="9">
        <f>IFERROR(DATEVALUE(TEXT(G225,"DD/MM/YYYY")), IF(ISNUMBER(G225), G225, ""))</f>
        <v>45471</v>
      </c>
      <c r="I225" s="9" t="str">
        <f>IF(G225="","Missing", IF(AND(ISNUMBER(G225)=FALSE, H225=""),"Invalid - Could Not Parse", IF(AND(ISNUMBER(G225)=FALSE, H225&lt;&gt;""),"Text - Converted to Date", IF(ISNUMBER(G225),"Valid","Check"))))</f>
        <v>Text - Converted to Date</v>
      </c>
      <c r="J225" s="9" t="str">
        <f>IF(OR(C225="", H225=""), "Cannot Check - Date Missing", IF(H225&lt;C225, "Invalid - Ship Before Order", "Valid"))</f>
        <v>Valid</v>
      </c>
      <c r="K225" s="5">
        <f>IF(OR(C225="", H225=""), "", IF(H225&lt;C225, "", H225-C225))</f>
        <v>4</v>
      </c>
      <c r="L225" s="3" t="s">
        <v>3307</v>
      </c>
      <c r="M225" s="3" t="s">
        <v>53</v>
      </c>
      <c r="N225" s="4" t="str">
        <f>TRIM(SUBSTITUTE(M225,"_"," "))</f>
        <v>Isha Nair</v>
      </c>
      <c r="O225" s="3" t="s">
        <v>41</v>
      </c>
      <c r="P225" s="6" t="str">
        <f>PROPER(TRIM(SUBSTITUTE(O225,".","")))</f>
        <v>Small Business</v>
      </c>
      <c r="Q225" s="3" t="s">
        <v>42</v>
      </c>
      <c r="R225" s="7" t="str">
        <f>PROPER(TRIM(SUBSTITUTE(Q225,"  "," ")))</f>
        <v>East</v>
      </c>
      <c r="S225" s="3" t="s">
        <v>43</v>
      </c>
      <c r="T225" s="6" t="str">
        <f>PROPER(TRIM(SUBSTITUTE(S225,"  "," ")))</f>
        <v>Odisha</v>
      </c>
      <c r="U225" s="3" t="s">
        <v>44</v>
      </c>
      <c r="V225" s="6" t="str">
        <f>PROPER(TRIM(SUBSTITUTE(U225,"  "," ")))</f>
        <v>Bhubaneswar</v>
      </c>
      <c r="W225" s="3" t="s">
        <v>30</v>
      </c>
      <c r="X225" s="6" t="str">
        <f>PROPER(TRIM(SUBSTITUTE(W225,"  "," ")))</f>
        <v>Office Supplies</v>
      </c>
      <c r="Y225" s="3" t="s">
        <v>31</v>
      </c>
      <c r="Z225" s="6" t="str">
        <f>PROPER(TRIM(SUBSTITUTE(Y225,"  "," ")))</f>
        <v>Paper</v>
      </c>
      <c r="AA225" s="3" t="s">
        <v>3308</v>
      </c>
      <c r="AB225" s="3" t="s">
        <v>48</v>
      </c>
      <c r="AC225" s="6" t="str">
        <f>PROPER(TRIM(SUBSTITUTE(AB225,"  "," ")))</f>
        <v>Same Day</v>
      </c>
      <c r="AD225" s="3">
        <v>1</v>
      </c>
      <c r="AE225" s="3">
        <v>2112.75</v>
      </c>
      <c r="AF225" s="3">
        <v>0.1</v>
      </c>
      <c r="AG225" s="17">
        <v>0.1</v>
      </c>
      <c r="AH225" s="6" t="str">
        <f t="shared" si="27"/>
        <v>Valid</v>
      </c>
      <c r="AI225" s="3">
        <v>1901.48</v>
      </c>
      <c r="AJ225" s="3">
        <v>1354.28</v>
      </c>
      <c r="AK225" s="3">
        <v>547.20000000000005</v>
      </c>
      <c r="AL225" s="3" t="s">
        <v>34</v>
      </c>
      <c r="AM225" s="6" t="str">
        <f>PROPER(TRIM(SUBSTITUTE(AL225,".","")))</f>
        <v>Paid</v>
      </c>
      <c r="AN225" s="3" t="s">
        <v>35</v>
      </c>
      <c r="AO225" s="8" t="str">
        <f>PROPER(TRIM(SUBSTITUTE(AN225,".","")))</f>
        <v>Completed</v>
      </c>
      <c r="AP225" t="str">
        <f>IF(COUNTIF($A$2:$A$933, A225) &gt; 1, "Duplicate ID", "Unique")</f>
        <v>Unique</v>
      </c>
      <c r="AR225">
        <f t="shared" si="28"/>
        <v>1901.4750000000001</v>
      </c>
      <c r="AS225">
        <f t="shared" si="29"/>
        <v>547.19500000000016</v>
      </c>
      <c r="AT225" s="15">
        <f t="shared" si="30"/>
        <v>0.28777396494826391</v>
      </c>
      <c r="AU225" t="str">
        <f t="shared" si="31"/>
        <v>Clean</v>
      </c>
      <c r="AV225" s="8" t="str">
        <f t="shared" si="32"/>
        <v>Active</v>
      </c>
    </row>
    <row r="226" spans="1:48">
      <c r="A226" s="3" t="s">
        <v>843</v>
      </c>
      <c r="B226" s="3" t="s">
        <v>844</v>
      </c>
      <c r="C226" s="9">
        <f>IFERROR(DATEVALUE(TEXT(B226,"DD/MM/YYYY")), IF(ISNUMBER(B226), B226, ""))</f>
        <v>45470</v>
      </c>
      <c r="D226" s="9" t="str">
        <f>IF(B226="","Missing", IF(AND(ISNUMBER(B226)=FALSE, C226=""),"Invalid - Could Not Parse", IF(AND(ISNUMBER(B226)=FALSE, C226&lt;&gt;""),"Text - Converted to Date", IF(ISNUMBER(B226),"Valid","Check"))))</f>
        <v>Text - Converted to Date</v>
      </c>
      <c r="E226" s="5">
        <f t="shared" si="25"/>
        <v>6</v>
      </c>
      <c r="F226" s="5">
        <f t="shared" si="26"/>
        <v>2024</v>
      </c>
      <c r="G226" s="3" t="s">
        <v>845</v>
      </c>
      <c r="H226" s="9">
        <f>IFERROR(DATEVALUE(MID(G226,4,2) &amp; "/" &amp; LEFT(G226,2) &amp; "/" &amp; RIGHT(G226,4)), IF(ISNUMBER(G226), G226, IFERROR(DATEVALUE(G226), "")))</f>
        <v>45470</v>
      </c>
      <c r="I226" s="9" t="str">
        <f>IF(G226="","Missing", IF(AND(ISNUMBER(G226)=FALSE, H226=""),"Invalid - Could Not Parse", IF(AND(ISNUMBER(G226)=FALSE, H226&lt;&gt;""),"Text - Converted to Date", IF(ISNUMBER(G226),"Valid","Check"))))</f>
        <v>Text - Converted to Date</v>
      </c>
      <c r="J226" s="9" t="str">
        <f>IF(OR(C226="", H226=""), "Cannot Check - Date Missing", IF(H226&lt;C226, "Invalid - Ship Before Order", "Valid"))</f>
        <v>Valid</v>
      </c>
      <c r="K226" s="5">
        <f>IF(OR(C226="", H226=""), "", IF(H226&lt;C226, "", H226-C226))</f>
        <v>0</v>
      </c>
      <c r="L226" s="3" t="s">
        <v>846</v>
      </c>
      <c r="M226" s="3" t="s">
        <v>93</v>
      </c>
      <c r="N226" s="4" t="str">
        <f>TRIM(SUBSTITUTE(M226,"_"," "))</f>
        <v>Neha Gupta</v>
      </c>
      <c r="O226" s="3" t="s">
        <v>115</v>
      </c>
      <c r="P226" s="6" t="str">
        <f>PROPER(TRIM(SUBSTITUTE(O226,".","")))</f>
        <v>Home Office</v>
      </c>
      <c r="Q226" s="3"/>
      <c r="R226" s="6" t="str">
        <f>IF(ISBLANK(Q226), "Unknown", Q226)</f>
        <v>Unknown</v>
      </c>
      <c r="S226" s="3" t="s">
        <v>84</v>
      </c>
      <c r="T226" s="6" t="str">
        <f>PROPER(TRIM(SUBSTITUTE(S226,"  "," ")))</f>
        <v>Madhya Pradesh</v>
      </c>
      <c r="U226" s="3" t="s">
        <v>85</v>
      </c>
      <c r="V226" s="6" t="str">
        <f>PROPER(TRIM(SUBSTITUTE(U226,"  "," ")))</f>
        <v>Indore</v>
      </c>
      <c r="W226" s="3" t="s">
        <v>86</v>
      </c>
      <c r="X226" s="6" t="str">
        <f>PROPER(TRIM(SUBSTITUTE(W226,"  "," ")))</f>
        <v>Technology</v>
      </c>
      <c r="Y226" s="3" t="s">
        <v>94</v>
      </c>
      <c r="Z226" s="6" t="str">
        <f>PROPER(TRIM(SUBSTITUTE(Y226,"  "," ")))</f>
        <v>Copiers</v>
      </c>
      <c r="AA226" s="3" t="s">
        <v>847</v>
      </c>
      <c r="AB226" s="3" t="s">
        <v>67</v>
      </c>
      <c r="AC226" s="6" t="str">
        <f>PROPER(TRIM(SUBSTITUTE(AB226,"  "," ")))</f>
        <v>Standard Class</v>
      </c>
      <c r="AD226" s="3">
        <v>2</v>
      </c>
      <c r="AE226" s="3">
        <v>3859.11</v>
      </c>
      <c r="AF226" s="3">
        <v>0</v>
      </c>
      <c r="AG226" s="17">
        <v>0</v>
      </c>
      <c r="AH226" s="6" t="str">
        <f t="shared" si="27"/>
        <v>Valid</v>
      </c>
      <c r="AI226" s="3">
        <v>7718.22</v>
      </c>
      <c r="AJ226" s="3">
        <v>5355.93</v>
      </c>
      <c r="AK226" s="3">
        <v>2362.29</v>
      </c>
      <c r="AL226" s="3" t="s">
        <v>137</v>
      </c>
      <c r="AM226" s="6" t="str">
        <f>PROPER(TRIM(SUBSTITUTE(AL226,".","")))</f>
        <v>Pending</v>
      </c>
      <c r="AN226" s="3" t="s">
        <v>125</v>
      </c>
      <c r="AO226" s="8" t="str">
        <f>PROPER(TRIM(SUBSTITUTE(AN226,".","")))</f>
        <v>Returned</v>
      </c>
      <c r="AP226" t="str">
        <f>IF(COUNTIF($A$2:$A$933, A226) &gt; 1, "Duplicate ID", "Unique")</f>
        <v>Unique</v>
      </c>
      <c r="AR226">
        <f t="shared" si="28"/>
        <v>7718.22</v>
      </c>
      <c r="AS226">
        <f t="shared" si="29"/>
        <v>2362.29</v>
      </c>
      <c r="AT226" s="15">
        <f t="shared" si="30"/>
        <v>0.30606668376905555</v>
      </c>
      <c r="AU226" t="str">
        <f t="shared" si="31"/>
        <v>Clean</v>
      </c>
      <c r="AV226" s="8" t="str">
        <f t="shared" si="32"/>
        <v>Active</v>
      </c>
    </row>
    <row r="227" spans="1:48">
      <c r="A227" s="3" t="s">
        <v>2103</v>
      </c>
      <c r="B227" s="3" t="s">
        <v>2104</v>
      </c>
      <c r="C227" s="9">
        <f>IFERROR(DATEVALUE(TEXT(B227,"DD/MM/YYYY")), IF(ISNUMBER(B227), B227, ""))</f>
        <v>45473</v>
      </c>
      <c r="D227" s="9" t="str">
        <f>IF(B227="","Missing", IF(AND(ISNUMBER(B227)=FALSE, C227=""),"Invalid - Could Not Parse", IF(AND(ISNUMBER(B227)=FALSE, C227&lt;&gt;""),"Text - Converted to Date", IF(ISNUMBER(B227),"Valid","Check"))))</f>
        <v>Text - Converted to Date</v>
      </c>
      <c r="E227" s="5">
        <f t="shared" si="25"/>
        <v>6</v>
      </c>
      <c r="F227" s="5">
        <f t="shared" si="26"/>
        <v>2024</v>
      </c>
      <c r="G227" s="3" t="s">
        <v>2105</v>
      </c>
      <c r="H227" s="9">
        <f>IFERROR(DATEVALUE(TEXT(G227,"DD/MM/YYYY")), IF(ISNUMBER(G227), G227, ""))</f>
        <v>45474</v>
      </c>
      <c r="I227" s="9" t="str">
        <f>IF(G227="","Missing", IF(AND(ISNUMBER(G227)=FALSE, H227=""),"Invalid - Could Not Parse", IF(AND(ISNUMBER(G227)=FALSE, H227&lt;&gt;""),"Text - Converted to Date", IF(ISNUMBER(G227),"Valid","Check"))))</f>
        <v>Text - Converted to Date</v>
      </c>
      <c r="J227" s="9" t="str">
        <f>IF(OR(C227="", H227=""), "Cannot Check - Date Missing", IF(H227&lt;C227, "Invalid - Ship Before Order", "Valid"))</f>
        <v>Valid</v>
      </c>
      <c r="K227" s="5">
        <f>IF(OR(C227="", H227=""), "", IF(H227&lt;C227, "", H227-C227))</f>
        <v>1</v>
      </c>
      <c r="L227" s="3" t="s">
        <v>2106</v>
      </c>
      <c r="M227" s="3" t="s">
        <v>107</v>
      </c>
      <c r="N227" s="4" t="str">
        <f>TRIM(SUBSTITUTE(M227,"_"," "))</f>
        <v>Aditi Sen</v>
      </c>
      <c r="O227" s="3" t="s">
        <v>26</v>
      </c>
      <c r="P227" s="6" t="str">
        <f>PROPER(TRIM(SUBSTITUTE(O227,".","")))</f>
        <v>Consumer</v>
      </c>
      <c r="Q227" s="3" t="s">
        <v>27</v>
      </c>
      <c r="R227" s="7" t="str">
        <f>PROPER(TRIM(SUBSTITUTE(Q227,"  "," ")))</f>
        <v>North</v>
      </c>
      <c r="S227" s="3" t="s">
        <v>323</v>
      </c>
      <c r="T227" s="6" t="str">
        <f>PROPER(TRIM(SUBSTITUTE(S227,"  "," ")))</f>
        <v>Haryana</v>
      </c>
      <c r="U227" s="3" t="s">
        <v>324</v>
      </c>
      <c r="V227" s="6" t="str">
        <f>PROPER(TRIM(SUBSTITUTE(U227,"  "," ")))</f>
        <v>Gurugram</v>
      </c>
      <c r="W227" s="3" t="s">
        <v>86</v>
      </c>
      <c r="X227" s="6" t="str">
        <f>PROPER(TRIM(SUBSTITUTE(W227,"  "," ")))</f>
        <v>Technology</v>
      </c>
      <c r="Y227" s="3" t="s">
        <v>94</v>
      </c>
      <c r="Z227" s="6" t="str">
        <f>PROPER(TRIM(SUBSTITUTE(Y227,"  "," ")))</f>
        <v>Copiers</v>
      </c>
      <c r="AA227" s="3" t="s">
        <v>2107</v>
      </c>
      <c r="AB227" s="3" t="s">
        <v>48</v>
      </c>
      <c r="AC227" s="6" t="str">
        <f>PROPER(TRIM(SUBSTITUTE(AB227,"  "," ")))</f>
        <v>Same Day</v>
      </c>
      <c r="AD227" s="3">
        <v>8</v>
      </c>
      <c r="AE227" s="3">
        <v>3756.66</v>
      </c>
      <c r="AF227" s="3">
        <v>0.1</v>
      </c>
      <c r="AG227" s="17">
        <v>0.1</v>
      </c>
      <c r="AH227" s="6" t="str">
        <f t="shared" si="27"/>
        <v>Valid</v>
      </c>
      <c r="AI227" s="3">
        <v>27047.95</v>
      </c>
      <c r="AJ227" s="3">
        <v>18431.330000000002</v>
      </c>
      <c r="AK227" s="3">
        <v>8616.6200000000008</v>
      </c>
      <c r="AL227" s="3" t="s">
        <v>34</v>
      </c>
      <c r="AM227" s="6" t="str">
        <f>PROPER(TRIM(SUBSTITUTE(AL227,".","")))</f>
        <v>Paid</v>
      </c>
      <c r="AN227" s="3" t="s">
        <v>35</v>
      </c>
      <c r="AO227" s="8" t="str">
        <f>PROPER(TRIM(SUBSTITUTE(AN227,".","")))</f>
        <v>Completed</v>
      </c>
      <c r="AP227" t="str">
        <f>IF(COUNTIF($A$2:$A$933, A227) &gt; 1, "Duplicate ID", "Unique")</f>
        <v>Unique</v>
      </c>
      <c r="AR227">
        <f t="shared" si="28"/>
        <v>27047.952000000001</v>
      </c>
      <c r="AS227">
        <f t="shared" si="29"/>
        <v>8616.6219999999994</v>
      </c>
      <c r="AT227" s="15">
        <f t="shared" si="30"/>
        <v>0.31856837072174626</v>
      </c>
      <c r="AU227" t="str">
        <f t="shared" si="31"/>
        <v>Warning</v>
      </c>
      <c r="AV227" s="8" t="str">
        <f t="shared" si="32"/>
        <v>Active</v>
      </c>
    </row>
    <row r="228" spans="1:48">
      <c r="A228" s="3" t="s">
        <v>3894</v>
      </c>
      <c r="B228" s="3" t="s">
        <v>2104</v>
      </c>
      <c r="C228" s="9">
        <f>IFERROR(DATEVALUE(TEXT(B228,"DD/MM/YYYY")), IF(ISNUMBER(B228), B228, ""))</f>
        <v>45473</v>
      </c>
      <c r="D228" s="9" t="str">
        <f>IF(B228="","Missing", IF(AND(ISNUMBER(B228)=FALSE, C228=""),"Invalid - Could Not Parse", IF(AND(ISNUMBER(B228)=FALSE, C228&lt;&gt;""),"Text - Converted to Date", IF(ISNUMBER(B228),"Valid","Check"))))</f>
        <v>Text - Converted to Date</v>
      </c>
      <c r="E228" s="5">
        <f t="shared" si="25"/>
        <v>6</v>
      </c>
      <c r="F228" s="5">
        <f t="shared" si="26"/>
        <v>2024</v>
      </c>
      <c r="G228" s="3" t="s">
        <v>3771</v>
      </c>
      <c r="H228" s="9">
        <f>IFERROR(DATEVALUE(TEXT(G228,"DD/MM/YYYY")), IF(ISNUMBER(G228), G228, ""))</f>
        <v>45476</v>
      </c>
      <c r="I228" s="9" t="str">
        <f>IF(G228="","Missing", IF(AND(ISNUMBER(G228)=FALSE, H228=""),"Invalid - Could Not Parse", IF(AND(ISNUMBER(G228)=FALSE, H228&lt;&gt;""),"Text - Converted to Date", IF(ISNUMBER(G228),"Valid","Check"))))</f>
        <v>Text - Converted to Date</v>
      </c>
      <c r="J228" s="9" t="str">
        <f>IF(OR(C228="", H228=""), "Cannot Check - Date Missing", IF(H228&lt;C228, "Invalid - Ship Before Order", "Valid"))</f>
        <v>Valid</v>
      </c>
      <c r="K228" s="5">
        <f>IF(OR(C228="", H228=""), "", IF(H228&lt;C228, "", H228-C228))</f>
        <v>3</v>
      </c>
      <c r="L228" s="3" t="s">
        <v>3895</v>
      </c>
      <c r="M228" s="3" t="s">
        <v>142</v>
      </c>
      <c r="N228" s="4" t="str">
        <f>TRIM(SUBSTITUTE(M228,"_"," "))</f>
        <v>Priya Menon</v>
      </c>
      <c r="O228" s="3" t="s">
        <v>115</v>
      </c>
      <c r="P228" s="6" t="str">
        <f>PROPER(TRIM(SUBSTITUTE(O228,".","")))</f>
        <v>Home Office</v>
      </c>
      <c r="Q228" s="3" t="s">
        <v>42</v>
      </c>
      <c r="R228" s="7" t="str">
        <f>PROPER(TRIM(SUBSTITUTE(Q228,"  "," ")))</f>
        <v>East</v>
      </c>
      <c r="S228" s="3" t="s">
        <v>121</v>
      </c>
      <c r="T228" s="6" t="str">
        <f>PROPER(TRIM(SUBSTITUTE(S228,"  "," ")))</f>
        <v>West Bengal</v>
      </c>
      <c r="U228" s="3" t="s">
        <v>122</v>
      </c>
      <c r="V228" s="6" t="str">
        <f>PROPER(TRIM(SUBSTITUTE(U228,"  "," ")))</f>
        <v>Kolkata</v>
      </c>
      <c r="W228" s="3" t="s">
        <v>30</v>
      </c>
      <c r="X228" s="6" t="str">
        <f>PROPER(TRIM(SUBSTITUTE(W228,"  "," ")))</f>
        <v>Office Supplies</v>
      </c>
      <c r="Y228" s="3" t="s">
        <v>31</v>
      </c>
      <c r="Z228" s="6" t="str">
        <f>PROPER(TRIM(SUBSTITUTE(Y228,"  "," ")))</f>
        <v>Paper</v>
      </c>
      <c r="AA228" s="3" t="s">
        <v>3896</v>
      </c>
      <c r="AB228" s="3" t="s">
        <v>56</v>
      </c>
      <c r="AC228" s="6" t="str">
        <f>PROPER(TRIM(SUBSTITUTE(AB228,"  "," ")))</f>
        <v>First Class</v>
      </c>
      <c r="AD228" s="3">
        <v>6</v>
      </c>
      <c r="AE228" s="3">
        <v>1211.01</v>
      </c>
      <c r="AF228" s="3">
        <v>0</v>
      </c>
      <c r="AG228" s="17">
        <v>0</v>
      </c>
      <c r="AH228" s="6" t="str">
        <f t="shared" si="27"/>
        <v>Valid</v>
      </c>
      <c r="AI228" s="3">
        <v>7266.06</v>
      </c>
      <c r="AJ228" s="3">
        <v>6216.89</v>
      </c>
      <c r="AK228" s="3">
        <v>1049.17</v>
      </c>
      <c r="AL228" s="3" t="s">
        <v>34</v>
      </c>
      <c r="AM228" s="6" t="str">
        <f>PROPER(TRIM(SUBSTITUTE(AL228,".","")))</f>
        <v>Paid</v>
      </c>
      <c r="AN228" s="3" t="s">
        <v>35</v>
      </c>
      <c r="AO228" s="8" t="str">
        <f>PROPER(TRIM(SUBSTITUTE(AN228,".","")))</f>
        <v>Completed</v>
      </c>
      <c r="AP228" t="str">
        <f>IF(COUNTIF($A$2:$A$933, A228) &gt; 1, "Duplicate ID", "Unique")</f>
        <v>Unique</v>
      </c>
      <c r="AR228">
        <f t="shared" si="28"/>
        <v>7266.0599999999995</v>
      </c>
      <c r="AS228">
        <f t="shared" si="29"/>
        <v>1049.1699999999992</v>
      </c>
      <c r="AT228" s="15">
        <f t="shared" si="30"/>
        <v>0.14439324750965438</v>
      </c>
      <c r="AU228" t="str">
        <f t="shared" si="31"/>
        <v>Clean</v>
      </c>
      <c r="AV228" s="8" t="str">
        <f t="shared" si="32"/>
        <v>Active</v>
      </c>
    </row>
    <row r="229" spans="1:48">
      <c r="A229" s="3" t="s">
        <v>164</v>
      </c>
      <c r="B229" s="3" t="s">
        <v>165</v>
      </c>
      <c r="C229" s="9">
        <f>IFERROR(DATEVALUE(TEXT(B229,"DD/MM/YYYY")), IF(ISNUMBER(B229), B229, ""))</f>
        <v>45474</v>
      </c>
      <c r="D229" s="9" t="str">
        <f>IF(B229="","Missing", IF(AND(ISNUMBER(B229)=FALSE, C229=""),"Invalid - Could Not Parse", IF(AND(ISNUMBER(B229)=FALSE, C229&lt;&gt;""),"Text - Converted to Date", IF(ISNUMBER(B229),"Valid","Check"))))</f>
        <v>Text - Converted to Date</v>
      </c>
      <c r="E229" s="5">
        <f t="shared" si="25"/>
        <v>7</v>
      </c>
      <c r="F229" s="5">
        <f t="shared" si="26"/>
        <v>2024</v>
      </c>
      <c r="G229" s="3" t="s">
        <v>166</v>
      </c>
      <c r="H229" s="9">
        <f>IFERROR(DATEVALUE(TEXT(G229,"DD/MM/YYYY")), IF(ISNUMBER(G229), G229, ""))</f>
        <v>45299</v>
      </c>
      <c r="I229" s="9" t="str">
        <f>IF(G229="","Missing", IF(AND(ISNUMBER(G229)=FALSE, H229=""),"Invalid - Could Not Parse", IF(AND(ISNUMBER(G229)=FALSE, H229&lt;&gt;""),"Text - Converted to Date", IF(ISNUMBER(G229),"Valid","Check"))))</f>
        <v>Text - Converted to Date</v>
      </c>
      <c r="J229" s="9" t="str">
        <f>IF(OR(C229="", H229=""), "Cannot Check - Date Missing", IF(H229&lt;C229, "Invalid - Ship Before Order", "Valid"))</f>
        <v>Invalid - Ship Before Order</v>
      </c>
      <c r="K229" s="5" t="str">
        <f>IF(OR(C229="", H229=""), "", IF(H229&lt;C229, "", H229-C229))</f>
        <v/>
      </c>
      <c r="L229" s="3" t="s">
        <v>167</v>
      </c>
      <c r="M229" s="3" t="s">
        <v>168</v>
      </c>
      <c r="N229" s="4" t="str">
        <f>TRIM(SUBSTITUTE(M229,"_"," "))</f>
        <v>Sneha Kapoor</v>
      </c>
      <c r="O229" s="3" t="s">
        <v>41</v>
      </c>
      <c r="P229" s="6" t="str">
        <f>PROPER(TRIM(SUBSTITUTE(O229,".","")))</f>
        <v>Small Business</v>
      </c>
      <c r="Q229" s="3" t="s">
        <v>27</v>
      </c>
      <c r="R229" s="7" t="str">
        <f>PROPER(TRIM(SUBSTITUTE(Q229,"  "," ")))</f>
        <v>North</v>
      </c>
      <c r="S229" s="3" t="s">
        <v>28</v>
      </c>
      <c r="T229" s="6" t="str">
        <f>PROPER(TRIM(SUBSTITUTE(S229,"  "," ")))</f>
        <v>Rajasthan</v>
      </c>
      <c r="U229" s="3" t="s">
        <v>29</v>
      </c>
      <c r="V229" s="6" t="str">
        <f>PROPER(TRIM(SUBSTITUTE(U229,"  "," ")))</f>
        <v>Jaipur</v>
      </c>
      <c r="W229" s="3" t="s">
        <v>45</v>
      </c>
      <c r="X229" s="6" t="str">
        <f>PROPER(TRIM(SUBSTITUTE(W229,"  "," ")))</f>
        <v>Furniture</v>
      </c>
      <c r="Y229" s="3" t="s">
        <v>65</v>
      </c>
      <c r="Z229" s="6" t="str">
        <f>PROPER(TRIM(SUBSTITUTE(Y229,"  "," ")))</f>
        <v>Furnishings</v>
      </c>
      <c r="AA229" s="3" t="s">
        <v>169</v>
      </c>
      <c r="AB229" s="3" t="s">
        <v>48</v>
      </c>
      <c r="AC229" s="6" t="str">
        <f>PROPER(TRIM(SUBSTITUTE(AB229,"  "," ")))</f>
        <v>Same Day</v>
      </c>
      <c r="AD229" s="3">
        <v>5</v>
      </c>
      <c r="AE229" s="3">
        <v>1526.78</v>
      </c>
      <c r="AF229" s="3">
        <v>0</v>
      </c>
      <c r="AG229" s="17">
        <v>0</v>
      </c>
      <c r="AH229" s="6" t="str">
        <f t="shared" si="27"/>
        <v>Valid</v>
      </c>
      <c r="AI229" s="3">
        <v>7633.9</v>
      </c>
      <c r="AJ229" s="3">
        <v>4706.91</v>
      </c>
      <c r="AK229" s="3">
        <v>2926.99</v>
      </c>
      <c r="AL229" s="3" t="s">
        <v>34</v>
      </c>
      <c r="AM229" s="6" t="str">
        <f>PROPER(TRIM(SUBSTITUTE(AL229,".","")))</f>
        <v>Paid</v>
      </c>
      <c r="AN229" s="3" t="s">
        <v>35</v>
      </c>
      <c r="AO229" s="8" t="str">
        <f>PROPER(TRIM(SUBSTITUTE(AN229,".","")))</f>
        <v>Completed</v>
      </c>
      <c r="AP229" t="str">
        <f>IF(COUNTIF($A$2:$A$933, A229) &gt; 1, "Duplicate ID", "Unique")</f>
        <v>Unique</v>
      </c>
      <c r="AR229">
        <f t="shared" si="28"/>
        <v>7633.9</v>
      </c>
      <c r="AS229">
        <f t="shared" si="29"/>
        <v>2926.99</v>
      </c>
      <c r="AT229" s="15">
        <f t="shared" si="30"/>
        <v>0.38342000812166782</v>
      </c>
      <c r="AU229" t="str">
        <f t="shared" si="31"/>
        <v>Invalid</v>
      </c>
      <c r="AV229" s="8" t="str">
        <f t="shared" si="32"/>
        <v>Active</v>
      </c>
    </row>
    <row r="230" spans="1:48">
      <c r="A230" s="3" t="s">
        <v>533</v>
      </c>
      <c r="B230" s="3" t="s">
        <v>534</v>
      </c>
      <c r="C230" s="9">
        <f>IFERROR(DATEVALUE(TEXT(B230,"DD/MM/YYYY")), IF(ISNUMBER(B230), B230, ""))</f>
        <v>45474</v>
      </c>
      <c r="D230" s="9" t="str">
        <f>IF(B230="","Missing", IF(AND(ISNUMBER(B230)=FALSE, C230=""),"Invalid - Could Not Parse", IF(AND(ISNUMBER(B230)=FALSE, C230&lt;&gt;""),"Text - Converted to Date", IF(ISNUMBER(B230),"Valid","Check"))))</f>
        <v>Text - Converted to Date</v>
      </c>
      <c r="E230" s="5">
        <f t="shared" si="25"/>
        <v>7</v>
      </c>
      <c r="F230" s="5">
        <f t="shared" si="26"/>
        <v>2024</v>
      </c>
      <c r="G230" s="3" t="s">
        <v>534</v>
      </c>
      <c r="H230" s="9">
        <f>IFERROR(DATEVALUE(TEXT(G230,"DD/MM/YYYY")), IF(ISNUMBER(G230), G230, ""))</f>
        <v>45474</v>
      </c>
      <c r="I230" s="9" t="str">
        <f>IF(G230="","Missing", IF(AND(ISNUMBER(G230)=FALSE, H230=""),"Invalid - Could Not Parse", IF(AND(ISNUMBER(G230)=FALSE, H230&lt;&gt;""),"Text - Converted to Date", IF(ISNUMBER(G230),"Valid","Check"))))</f>
        <v>Text - Converted to Date</v>
      </c>
      <c r="J230" s="9" t="str">
        <f>IF(OR(C230="", H230=""), "Cannot Check - Date Missing", IF(H230&lt;C230, "Invalid - Ship Before Order", "Valid"))</f>
        <v>Valid</v>
      </c>
      <c r="K230" s="5">
        <f>IF(OR(C230="", H230=""), "", IF(H230&lt;C230, "", H230-C230))</f>
        <v>0</v>
      </c>
      <c r="L230" s="3" t="s">
        <v>535</v>
      </c>
      <c r="M230" s="3" t="s">
        <v>72</v>
      </c>
      <c r="N230" s="4" t="str">
        <f>TRIM(SUBSTITUTE(M230,"_"," "))</f>
        <v>Ananya Rao</v>
      </c>
      <c r="O230" s="3" t="s">
        <v>41</v>
      </c>
      <c r="P230" s="6" t="str">
        <f>PROPER(TRIM(SUBSTITUTE(O230,".","")))</f>
        <v>Small Business</v>
      </c>
      <c r="Q230" s="3" t="s">
        <v>27</v>
      </c>
      <c r="R230" s="7" t="str">
        <f>PROPER(TRIM(SUBSTITUTE(Q230,"  "," ")))</f>
        <v>North</v>
      </c>
      <c r="S230" s="3" t="s">
        <v>506</v>
      </c>
      <c r="T230" s="6" t="str">
        <f>PROPER(TRIM(SUBSTITUTE(S230,"  "," ")))</f>
        <v>Delhi</v>
      </c>
      <c r="U230" s="3" t="s">
        <v>507</v>
      </c>
      <c r="V230" s="6" t="str">
        <f>PROPER(TRIM(SUBSTITUTE(U230,"  "," ")))</f>
        <v>New Delhi</v>
      </c>
      <c r="W230" s="3" t="s">
        <v>86</v>
      </c>
      <c r="X230" s="6" t="str">
        <f>PROPER(TRIM(SUBSTITUTE(W230,"  "," ")))</f>
        <v>Technology</v>
      </c>
      <c r="Y230" s="3" t="s">
        <v>94</v>
      </c>
      <c r="Z230" s="6" t="str">
        <f>PROPER(TRIM(SUBSTITUTE(Y230,"  "," ")))</f>
        <v>Copiers</v>
      </c>
      <c r="AA230" s="3" t="s">
        <v>536</v>
      </c>
      <c r="AB230" s="3" t="s">
        <v>33</v>
      </c>
      <c r="AC230" s="6" t="str">
        <f>PROPER(TRIM(SUBSTITUTE(AB230,"  "," ")))</f>
        <v>Second Class</v>
      </c>
      <c r="AD230" s="3">
        <v>3</v>
      </c>
      <c r="AE230" s="3">
        <v>885.28</v>
      </c>
      <c r="AF230" s="3">
        <v>0.1</v>
      </c>
      <c r="AG230" s="17">
        <v>0.1</v>
      </c>
      <c r="AH230" s="6" t="str">
        <f t="shared" si="27"/>
        <v>Valid</v>
      </c>
      <c r="AI230" s="3">
        <v>2390.2600000000002</v>
      </c>
      <c r="AJ230" s="3">
        <v>1495.94</v>
      </c>
      <c r="AK230" s="3">
        <v>894.32</v>
      </c>
      <c r="AL230" s="3" t="s">
        <v>124</v>
      </c>
      <c r="AM230" s="6" t="str">
        <f>PROPER(TRIM(SUBSTITUTE(AL230,".","")))</f>
        <v>Refunded</v>
      </c>
      <c r="AN230" s="3" t="s">
        <v>78</v>
      </c>
      <c r="AO230" s="8" t="str">
        <f>PROPER(TRIM(SUBSTITUTE(AN230,".","")))</f>
        <v>Cancelled</v>
      </c>
      <c r="AP230" t="str">
        <f>IF(COUNTIF($A$2:$A$933, A230) &gt; 1, "Duplicate ID", "Unique")</f>
        <v>Unique</v>
      </c>
      <c r="AR230">
        <f t="shared" si="28"/>
        <v>2390.2560000000003</v>
      </c>
      <c r="AS230">
        <f t="shared" si="29"/>
        <v>894.31600000000026</v>
      </c>
      <c r="AT230" s="15">
        <f t="shared" si="30"/>
        <v>0.37415071858411825</v>
      </c>
      <c r="AU230" t="str">
        <f t="shared" si="31"/>
        <v>Clean</v>
      </c>
      <c r="AV230" s="8" t="str">
        <f t="shared" si="32"/>
        <v>Refund</v>
      </c>
    </row>
    <row r="231" spans="1:48">
      <c r="A231" s="3" t="s">
        <v>562</v>
      </c>
      <c r="B231" s="3" t="s">
        <v>165</v>
      </c>
      <c r="C231" s="9">
        <f>IFERROR(DATEVALUE(TEXT(B231,"DD/MM/YYYY")), IF(ISNUMBER(B231), B231, ""))</f>
        <v>45474</v>
      </c>
      <c r="D231" s="9" t="str">
        <f>IF(B231="","Missing", IF(AND(ISNUMBER(B231)=FALSE, C231=""),"Invalid - Could Not Parse", IF(AND(ISNUMBER(B231)=FALSE, C231&lt;&gt;""),"Text - Converted to Date", IF(ISNUMBER(B231),"Valid","Check"))))</f>
        <v>Text - Converted to Date</v>
      </c>
      <c r="E231" s="5">
        <f t="shared" si="25"/>
        <v>7</v>
      </c>
      <c r="F231" s="5">
        <f t="shared" si="26"/>
        <v>2024</v>
      </c>
      <c r="G231" s="3" t="s">
        <v>563</v>
      </c>
      <c r="H231" s="9">
        <f>IFERROR(DATEVALUE(TEXT(G231,"DD/MM/YYYY")), IF(ISNUMBER(G231), G231, ""))</f>
        <v>45304</v>
      </c>
      <c r="I231" s="9" t="str">
        <f>IF(G231="","Missing", IF(AND(ISNUMBER(G231)=FALSE, H231=""),"Invalid - Could Not Parse", IF(AND(ISNUMBER(G231)=FALSE, H231&lt;&gt;""),"Text - Converted to Date", IF(ISNUMBER(G231),"Valid","Check"))))</f>
        <v>Text - Converted to Date</v>
      </c>
      <c r="J231" s="9" t="str">
        <f>IF(OR(C231="", H231=""), "Cannot Check - Date Missing", IF(H231&lt;C231, "Invalid - Ship Before Order", "Valid"))</f>
        <v>Invalid - Ship Before Order</v>
      </c>
      <c r="K231" s="5" t="str">
        <f>IF(OR(C231="", H231=""), "", IF(H231&lt;C231, "", H231-C231))</f>
        <v/>
      </c>
      <c r="L231" s="3" t="s">
        <v>564</v>
      </c>
      <c r="M231" s="3" t="s">
        <v>180</v>
      </c>
      <c r="N231" s="4" t="str">
        <f>TRIM(SUBSTITUTE(M231,"_"," "))</f>
        <v>Rohan Mehta</v>
      </c>
      <c r="O231" s="3" t="s">
        <v>108</v>
      </c>
      <c r="P231" s="6" t="str">
        <f>PROPER(TRIM(SUBSTITUTE(O231,".","")))</f>
        <v>Corporate</v>
      </c>
      <c r="Q231" s="3" t="s">
        <v>27</v>
      </c>
      <c r="R231" s="7" t="str">
        <f>PROPER(TRIM(SUBSTITUTE(Q231,"  "," ")))</f>
        <v>North</v>
      </c>
      <c r="S231" s="3" t="s">
        <v>174</v>
      </c>
      <c r="T231" s="6" t="str">
        <f>PROPER(TRIM(SUBSTITUTE(S231,"  "," ")))</f>
        <v>Uttar Pradesh</v>
      </c>
      <c r="U231" s="3" t="s">
        <v>175</v>
      </c>
      <c r="V231" s="6" t="str">
        <f>PROPER(TRIM(SUBSTITUTE(U231,"  "," ")))</f>
        <v>Noida</v>
      </c>
      <c r="W231" s="3" t="s">
        <v>30</v>
      </c>
      <c r="X231" s="6" t="str">
        <f>PROPER(TRIM(SUBSTITUTE(W231,"  "," ")))</f>
        <v>Office Supplies</v>
      </c>
      <c r="Y231" s="3" t="s">
        <v>198</v>
      </c>
      <c r="Z231" s="6" t="str">
        <f>PROPER(TRIM(SUBSTITUTE(Y231,"  "," ")))</f>
        <v>Binders</v>
      </c>
      <c r="AA231" s="3" t="s">
        <v>565</v>
      </c>
      <c r="AB231" s="3" t="s">
        <v>67</v>
      </c>
      <c r="AC231" s="6" t="str">
        <f>PROPER(TRIM(SUBSTITUTE(AB231,"  "," ")))</f>
        <v>Standard Class</v>
      </c>
      <c r="AD231" s="3">
        <v>7</v>
      </c>
      <c r="AE231" s="3">
        <v>2788.97</v>
      </c>
      <c r="AF231" s="3">
        <v>-0.09</v>
      </c>
      <c r="AG231" s="17">
        <v>-0.09</v>
      </c>
      <c r="AH231" s="6" t="str">
        <f t="shared" si="27"/>
        <v>Invalid - Negative</v>
      </c>
      <c r="AI231" s="3">
        <v>19522.79</v>
      </c>
      <c r="AJ231" s="3">
        <v>12455.78</v>
      </c>
      <c r="AK231" s="3">
        <v>7067.01</v>
      </c>
      <c r="AL231" s="3" t="s">
        <v>34</v>
      </c>
      <c r="AM231" s="6" t="str">
        <f>PROPER(TRIM(SUBSTITUTE(AL231,".","")))</f>
        <v>Paid</v>
      </c>
      <c r="AN231" s="3" t="s">
        <v>35</v>
      </c>
      <c r="AO231" s="8" t="str">
        <f>PROPER(TRIM(SUBSTITUTE(AN231,".","")))</f>
        <v>Completed</v>
      </c>
      <c r="AP231" t="str">
        <f>IF(COUNTIF($A$2:$A$933, A231) &gt; 1, "Duplicate ID", "Unique")</f>
        <v>Unique</v>
      </c>
      <c r="AR231">
        <f t="shared" si="28"/>
        <v>21279.841099999998</v>
      </c>
      <c r="AS231">
        <f t="shared" si="29"/>
        <v>8824.0610999999972</v>
      </c>
      <c r="AT231" s="15">
        <f t="shared" si="30"/>
        <v>0.41466762174272054</v>
      </c>
      <c r="AU231" t="str">
        <f t="shared" si="31"/>
        <v>Invalid</v>
      </c>
      <c r="AV231" s="8" t="str">
        <f t="shared" si="32"/>
        <v>Active</v>
      </c>
    </row>
    <row r="232" spans="1:48">
      <c r="A232" s="3" t="s">
        <v>3260</v>
      </c>
      <c r="B232" s="3" t="s">
        <v>3261</v>
      </c>
      <c r="C232" s="9">
        <f>IFERROR(DATEVALUE(TEXT(B232,"DD/MM/YYYY")), IF(ISNUMBER(B232), B232, ""))</f>
        <v>45474</v>
      </c>
      <c r="D232" s="9" t="str">
        <f>IF(B232="","Missing", IF(AND(ISNUMBER(B232)=FALSE, C232=""),"Invalid - Could Not Parse", IF(AND(ISNUMBER(B232)=FALSE, C232&lt;&gt;""),"Text - Converted to Date", IF(ISNUMBER(B232),"Valid","Check"))))</f>
        <v>Text - Converted to Date</v>
      </c>
      <c r="E232" s="5">
        <f t="shared" si="25"/>
        <v>7</v>
      </c>
      <c r="F232" s="5">
        <f t="shared" si="26"/>
        <v>2024</v>
      </c>
      <c r="G232" s="3" t="s">
        <v>2105</v>
      </c>
      <c r="H232" s="9">
        <f>IFERROR(DATEVALUE(TEXT(G232,"DD/MM/YYYY")), IF(ISNUMBER(G232), G232, ""))</f>
        <v>45474</v>
      </c>
      <c r="I232" s="9" t="str">
        <f>IF(G232="","Missing", IF(AND(ISNUMBER(G232)=FALSE, H232=""),"Invalid - Could Not Parse", IF(AND(ISNUMBER(G232)=FALSE, H232&lt;&gt;""),"Text - Converted to Date", IF(ISNUMBER(G232),"Valid","Check"))))</f>
        <v>Text - Converted to Date</v>
      </c>
      <c r="J232" s="9" t="str">
        <f>IF(OR(C232="", H232=""), "Cannot Check - Date Missing", IF(H232&lt;C232, "Invalid - Ship Before Order", "Valid"))</f>
        <v>Valid</v>
      </c>
      <c r="K232" s="5">
        <f>IF(OR(C232="", H232=""), "", IF(H232&lt;C232, "", H232-C232))</f>
        <v>0</v>
      </c>
      <c r="L232" s="3" t="s">
        <v>3262</v>
      </c>
      <c r="M232" s="3" t="s">
        <v>162</v>
      </c>
      <c r="N232" s="4" t="str">
        <f>TRIM(SUBSTITUTE(M232,"_"," "))</f>
        <v>Aarav Sharma</v>
      </c>
      <c r="O232" s="3" t="s">
        <v>26</v>
      </c>
      <c r="P232" s="6" t="str">
        <f>PROPER(TRIM(SUBSTITUTE(O232,".","")))</f>
        <v>Consumer</v>
      </c>
      <c r="Q232" s="3" t="s">
        <v>73</v>
      </c>
      <c r="R232" s="7" t="str">
        <f>PROPER(TRIM(SUBSTITUTE(Q232,"  "," ")))</f>
        <v>West</v>
      </c>
      <c r="S232" s="3" t="s">
        <v>84</v>
      </c>
      <c r="T232" s="6" t="str">
        <f>PROPER(TRIM(SUBSTITUTE(S232,"  "," ")))</f>
        <v>Madhya Pradesh</v>
      </c>
      <c r="U232" s="3" t="s">
        <v>85</v>
      </c>
      <c r="V232" s="6" t="str">
        <f>PROPER(TRIM(SUBSTITUTE(U232,"  "," ")))</f>
        <v>Indore</v>
      </c>
      <c r="W232" s="3" t="s">
        <v>86</v>
      </c>
      <c r="X232" s="6" t="str">
        <f>PROPER(TRIM(SUBSTITUTE(W232,"  "," ")))</f>
        <v>Technology</v>
      </c>
      <c r="Y232" s="3" t="s">
        <v>382</v>
      </c>
      <c r="Z232" s="6" t="str">
        <f>PROPER(TRIM(SUBSTITUTE(Y232,"  "," ")))</f>
        <v>Machines</v>
      </c>
      <c r="AA232" s="3" t="s">
        <v>3263</v>
      </c>
      <c r="AB232" s="3" t="s">
        <v>67</v>
      </c>
      <c r="AC232" s="6" t="str">
        <f>PROPER(TRIM(SUBSTITUTE(AB232,"  "," ")))</f>
        <v>Standard Class</v>
      </c>
      <c r="AD232" s="3">
        <v>4</v>
      </c>
      <c r="AE232" s="3">
        <v>257.39</v>
      </c>
      <c r="AF232" s="3">
        <v>0</v>
      </c>
      <c r="AG232" s="17">
        <v>0</v>
      </c>
      <c r="AH232" s="6" t="str">
        <f t="shared" si="27"/>
        <v>Valid</v>
      </c>
      <c r="AI232" s="3">
        <v>1029.56</v>
      </c>
      <c r="AJ232" s="3">
        <v>626.33000000000004</v>
      </c>
      <c r="AK232" s="3">
        <v>403.23</v>
      </c>
      <c r="AL232" s="3" t="s">
        <v>34</v>
      </c>
      <c r="AM232" s="6" t="str">
        <f>PROPER(TRIM(SUBSTITUTE(AL232,".","")))</f>
        <v>Paid</v>
      </c>
      <c r="AN232" s="3" t="s">
        <v>35</v>
      </c>
      <c r="AO232" s="8" t="str">
        <f>PROPER(TRIM(SUBSTITUTE(AN232,".","")))</f>
        <v>Completed</v>
      </c>
      <c r="AP232" t="str">
        <f>IF(COUNTIF($A$2:$A$933, A232) &gt; 1, "Duplicate ID", "Unique")</f>
        <v>Unique</v>
      </c>
      <c r="AR232">
        <f t="shared" si="28"/>
        <v>1029.56</v>
      </c>
      <c r="AS232">
        <f t="shared" si="29"/>
        <v>403.2299999999999</v>
      </c>
      <c r="AT232" s="15">
        <f t="shared" si="30"/>
        <v>0.39165274486188267</v>
      </c>
      <c r="AU232" t="str">
        <f t="shared" si="31"/>
        <v>Clean</v>
      </c>
      <c r="AV232" s="8" t="str">
        <f t="shared" si="32"/>
        <v>Active</v>
      </c>
    </row>
    <row r="233" spans="1:48">
      <c r="A233" s="3" t="s">
        <v>1605</v>
      </c>
      <c r="B233" s="3" t="s">
        <v>1606</v>
      </c>
      <c r="C233" s="9">
        <f>IFERROR(DATEVALUE(TEXT(B233,"DD/MM/YYYY")), IF(ISNUMBER(B233), B233, ""))</f>
        <v>45475</v>
      </c>
      <c r="D233" s="9" t="str">
        <f>IF(B233="","Missing", IF(AND(ISNUMBER(B233)=FALSE, C233=""),"Invalid - Could Not Parse", IF(AND(ISNUMBER(B233)=FALSE, C233&lt;&gt;""),"Text - Converted to Date", IF(ISNUMBER(B233),"Valid","Check"))))</f>
        <v>Text - Converted to Date</v>
      </c>
      <c r="E233" s="5">
        <f t="shared" si="25"/>
        <v>7</v>
      </c>
      <c r="F233" s="5">
        <f t="shared" si="26"/>
        <v>2024</v>
      </c>
      <c r="G233" s="3" t="s">
        <v>1607</v>
      </c>
      <c r="H233" s="9">
        <f>IFERROR(DATEVALUE(TEXT(G233,"DD/MM/YYYY")), IF(ISNUMBER(G233), G233, ""))</f>
        <v>45481</v>
      </c>
      <c r="I233" s="9" t="str">
        <f>IF(G233="","Missing", IF(AND(ISNUMBER(G233)=FALSE, H233=""),"Invalid - Could Not Parse", IF(AND(ISNUMBER(G233)=FALSE, H233&lt;&gt;""),"Text - Converted to Date", IF(ISNUMBER(G233),"Valid","Check"))))</f>
        <v>Text - Converted to Date</v>
      </c>
      <c r="J233" s="9" t="str">
        <f>IF(OR(C233="", H233=""), "Cannot Check - Date Missing", IF(H233&lt;C233, "Invalid - Ship Before Order", "Valid"))</f>
        <v>Valid</v>
      </c>
      <c r="K233" s="5">
        <f>IF(OR(C233="", H233=""), "", IF(H233&lt;C233, "", H233-C233))</f>
        <v>6</v>
      </c>
      <c r="L233" s="3" t="s">
        <v>1608</v>
      </c>
      <c r="M233" s="3" t="s">
        <v>180</v>
      </c>
      <c r="N233" s="4" t="str">
        <f>TRIM(SUBSTITUTE(M233,"_"," "))</f>
        <v>Rohan Mehta</v>
      </c>
      <c r="O233" s="3" t="s">
        <v>26</v>
      </c>
      <c r="P233" s="6" t="str">
        <f>PROPER(TRIM(SUBSTITUTE(O233,".","")))</f>
        <v>Consumer</v>
      </c>
      <c r="Q233" s="3" t="s">
        <v>27</v>
      </c>
      <c r="R233" s="7" t="str">
        <f>PROPER(TRIM(SUBSTITUTE(Q233,"  "," ")))</f>
        <v>North</v>
      </c>
      <c r="S233" s="3" t="s">
        <v>506</v>
      </c>
      <c r="T233" s="6" t="str">
        <f>PROPER(TRIM(SUBSTITUTE(S233,"  "," ")))</f>
        <v>Delhi</v>
      </c>
      <c r="U233" s="3" t="s">
        <v>507</v>
      </c>
      <c r="V233" s="6" t="str">
        <f>PROPER(TRIM(SUBSTITUTE(U233,"  "," ")))</f>
        <v>New Delhi</v>
      </c>
      <c r="W233" s="3" t="s">
        <v>30</v>
      </c>
      <c r="X233" s="6" t="str">
        <f>PROPER(TRIM(SUBSTITUTE(W233,"  "," ")))</f>
        <v>Office Supplies</v>
      </c>
      <c r="Y233" s="3" t="s">
        <v>31</v>
      </c>
      <c r="Z233" s="6" t="str">
        <f>PROPER(TRIM(SUBSTITUTE(Y233,"  "," ")))</f>
        <v>Paper</v>
      </c>
      <c r="AA233" s="3" t="s">
        <v>1609</v>
      </c>
      <c r="AB233" s="3" t="s">
        <v>67</v>
      </c>
      <c r="AC233" s="6" t="str">
        <f>PROPER(TRIM(SUBSTITUTE(AB233,"  "," ")))</f>
        <v>Standard Class</v>
      </c>
      <c r="AD233" s="3">
        <v>9</v>
      </c>
      <c r="AE233" s="3">
        <v>3450.4</v>
      </c>
      <c r="AF233" s="3">
        <v>0.05</v>
      </c>
      <c r="AG233" s="17">
        <v>0.05</v>
      </c>
      <c r="AH233" s="6" t="str">
        <f t="shared" si="27"/>
        <v>Valid</v>
      </c>
      <c r="AI233" s="3">
        <v>29500.92</v>
      </c>
      <c r="AJ233" s="3">
        <v>17989.68</v>
      </c>
      <c r="AK233" s="3">
        <v>11511.24</v>
      </c>
      <c r="AL233" s="3" t="s">
        <v>137</v>
      </c>
      <c r="AM233" s="6" t="str">
        <f>PROPER(TRIM(SUBSTITUTE(AL233,".","")))</f>
        <v>Pending</v>
      </c>
      <c r="AN233" s="3" t="s">
        <v>125</v>
      </c>
      <c r="AO233" s="8" t="str">
        <f>PROPER(TRIM(SUBSTITUTE(AN233,".","")))</f>
        <v>Returned</v>
      </c>
      <c r="AP233" t="str">
        <f>IF(COUNTIF($A$2:$A$933, A233) &gt; 1, "Duplicate ID", "Unique")</f>
        <v>Unique</v>
      </c>
      <c r="AR233">
        <f t="shared" si="28"/>
        <v>29500.920000000002</v>
      </c>
      <c r="AS233">
        <f t="shared" si="29"/>
        <v>11511.240000000002</v>
      </c>
      <c r="AT233" s="15">
        <f t="shared" si="30"/>
        <v>0.39019935649464493</v>
      </c>
      <c r="AU233" t="str">
        <f t="shared" si="31"/>
        <v>Clean</v>
      </c>
      <c r="AV233" s="8" t="str">
        <f t="shared" si="32"/>
        <v>Active</v>
      </c>
    </row>
    <row r="234" spans="1:48">
      <c r="A234" s="3" t="s">
        <v>1505</v>
      </c>
      <c r="B234" s="3" t="s">
        <v>1506</v>
      </c>
      <c r="C234" s="9">
        <f>IFERROR(DATEVALUE(TEXT(B234,"DD/MM/YYYY")), IF(ISNUMBER(B234), B234, ""))</f>
        <v>45476</v>
      </c>
      <c r="D234" s="9" t="str">
        <f>IF(B234="","Missing", IF(AND(ISNUMBER(B234)=FALSE, C234=""),"Invalid - Could Not Parse", IF(AND(ISNUMBER(B234)=FALSE, C234&lt;&gt;""),"Text - Converted to Date", IF(ISNUMBER(B234),"Valid","Check"))))</f>
        <v>Text - Converted to Date</v>
      </c>
      <c r="E234" s="5">
        <f t="shared" si="25"/>
        <v>7</v>
      </c>
      <c r="F234" s="5">
        <f t="shared" si="26"/>
        <v>2024</v>
      </c>
      <c r="G234" s="3" t="s">
        <v>1507</v>
      </c>
      <c r="H234" s="9">
        <f>IFERROR(DATEVALUE(TEXT(G234,"DD/MM/YYYY")), IF(ISNUMBER(G234), G234, ""))</f>
        <v>45362</v>
      </c>
      <c r="I234" s="9" t="str">
        <f>IF(G234="","Missing", IF(AND(ISNUMBER(G234)=FALSE, H234=""),"Invalid - Could Not Parse", IF(AND(ISNUMBER(G234)=FALSE, H234&lt;&gt;""),"Text - Converted to Date", IF(ISNUMBER(G234),"Valid","Check"))))</f>
        <v>Text - Converted to Date</v>
      </c>
      <c r="J234" s="9" t="str">
        <f>IF(OR(C234="", H234=""), "Cannot Check - Date Missing", IF(H234&lt;C234, "Invalid - Ship Before Order", "Valid"))</f>
        <v>Invalid - Ship Before Order</v>
      </c>
      <c r="K234" s="5" t="str">
        <f>IF(OR(C234="", H234=""), "", IF(H234&lt;C234, "", H234-C234))</f>
        <v/>
      </c>
      <c r="L234" s="3" t="s">
        <v>1508</v>
      </c>
      <c r="M234" s="3" t="s">
        <v>61</v>
      </c>
      <c r="N234" s="4" t="str">
        <f>TRIM(SUBSTITUTE(M234,"_"," "))</f>
        <v>Arjun Bose</v>
      </c>
      <c r="O234" s="3" t="s">
        <v>115</v>
      </c>
      <c r="P234" s="6" t="str">
        <f>PROPER(TRIM(SUBSTITUTE(O234,".","")))</f>
        <v>Home Office</v>
      </c>
      <c r="Q234" s="3" t="s">
        <v>62</v>
      </c>
      <c r="R234" s="7" t="str">
        <f>PROPER(TRIM(SUBSTITUTE(Q234,"  "," ")))</f>
        <v>South</v>
      </c>
      <c r="S234" s="3" t="s">
        <v>63</v>
      </c>
      <c r="T234" s="6" t="str">
        <f>PROPER(TRIM(SUBSTITUTE(S234,"  "," ")))</f>
        <v>Telangana</v>
      </c>
      <c r="U234" s="3" t="s">
        <v>64</v>
      </c>
      <c r="V234" s="6" t="str">
        <f>PROPER(TRIM(SUBSTITUTE(U234,"  "," ")))</f>
        <v>Hyderabad</v>
      </c>
      <c r="W234" s="3" t="s">
        <v>86</v>
      </c>
      <c r="X234" s="6" t="str">
        <f>PROPER(TRIM(SUBSTITUTE(W234,"  "," ")))</f>
        <v>Technology</v>
      </c>
      <c r="Y234" s="3" t="s">
        <v>223</v>
      </c>
      <c r="Z234" s="6" t="str">
        <f>PROPER(TRIM(SUBSTITUTE(Y234,"  "," ")))</f>
        <v>Phones</v>
      </c>
      <c r="AA234" s="3" t="s">
        <v>1509</v>
      </c>
      <c r="AB234" s="3" t="s">
        <v>56</v>
      </c>
      <c r="AC234" s="6" t="str">
        <f>PROPER(TRIM(SUBSTITUTE(AB234,"  "," ")))</f>
        <v>First Class</v>
      </c>
      <c r="AD234" s="3">
        <v>2</v>
      </c>
      <c r="AE234" s="3">
        <v>4401.51</v>
      </c>
      <c r="AF234" s="3">
        <v>0.65</v>
      </c>
      <c r="AG234" s="17">
        <v>0.65</v>
      </c>
      <c r="AH234" s="6" t="str">
        <f t="shared" si="27"/>
        <v>Invalid - Above Range</v>
      </c>
      <c r="AI234" s="3">
        <v>8362.8700000000008</v>
      </c>
      <c r="AJ234" s="3">
        <v>6541.04</v>
      </c>
      <c r="AK234" s="3">
        <v>1821.83</v>
      </c>
      <c r="AL234" s="3" t="s">
        <v>34</v>
      </c>
      <c r="AM234" s="6" t="str">
        <f>PROPER(TRIM(SUBSTITUTE(AL234,".","")))</f>
        <v>Paid</v>
      </c>
      <c r="AN234" s="3" t="s">
        <v>35</v>
      </c>
      <c r="AO234" s="8" t="str">
        <f>PROPER(TRIM(SUBSTITUTE(AN234,".","")))</f>
        <v>Completed</v>
      </c>
      <c r="AP234" t="str">
        <f>IF(COUNTIF($A$2:$A$933, A234) &gt; 1, "Duplicate ID", "Unique")</f>
        <v>Unique</v>
      </c>
      <c r="AR234">
        <f t="shared" si="28"/>
        <v>3081.0569999999998</v>
      </c>
      <c r="AS234">
        <f t="shared" si="29"/>
        <v>-3459.9830000000002</v>
      </c>
      <c r="AT234" s="15">
        <f t="shared" si="30"/>
        <v>-1.1229857156164267</v>
      </c>
      <c r="AU234" t="str">
        <f t="shared" si="31"/>
        <v>Invalid</v>
      </c>
      <c r="AV234" s="8" t="str">
        <f t="shared" si="32"/>
        <v>Active</v>
      </c>
    </row>
    <row r="235" spans="1:48">
      <c r="A235" s="3" t="s">
        <v>3770</v>
      </c>
      <c r="B235" s="3" t="s">
        <v>3771</v>
      </c>
      <c r="C235" s="9">
        <f>IFERROR(DATEVALUE(TEXT(B235,"DD/MM/YYYY")), IF(ISNUMBER(B235), B235, ""))</f>
        <v>45476</v>
      </c>
      <c r="D235" s="9" t="str">
        <f>IF(B235="","Missing", IF(AND(ISNUMBER(B235)=FALSE, C235=""),"Invalid - Could Not Parse", IF(AND(ISNUMBER(B235)=FALSE, C235&lt;&gt;""),"Text - Converted to Date", IF(ISNUMBER(B235),"Valid","Check"))))</f>
        <v>Text - Converted to Date</v>
      </c>
      <c r="E235" s="5">
        <f t="shared" si="25"/>
        <v>7</v>
      </c>
      <c r="F235" s="5">
        <f t="shared" si="26"/>
        <v>2024</v>
      </c>
      <c r="G235" s="3" t="s">
        <v>3772</v>
      </c>
      <c r="H235" s="9">
        <f>IFERROR(DATEVALUE(TEXT(G235,"DD/MM/YYYY")), IF(ISNUMBER(G235), G235, ""))</f>
        <v>45479</v>
      </c>
      <c r="I235" s="9" t="str">
        <f>IF(G235="","Missing", IF(AND(ISNUMBER(G235)=FALSE, H235=""),"Invalid - Could Not Parse", IF(AND(ISNUMBER(G235)=FALSE, H235&lt;&gt;""),"Text - Converted to Date", IF(ISNUMBER(G235),"Valid","Check"))))</f>
        <v>Text - Converted to Date</v>
      </c>
      <c r="J235" s="9" t="str">
        <f>IF(OR(C235="", H235=""), "Cannot Check - Date Missing", IF(H235&lt;C235, "Invalid - Ship Before Order", "Valid"))</f>
        <v>Valid</v>
      </c>
      <c r="K235" s="5">
        <f>IF(OR(C235="", H235=""), "", IF(H235&lt;C235, "", H235-C235))</f>
        <v>3</v>
      </c>
      <c r="L235" s="3" t="s">
        <v>3773</v>
      </c>
      <c r="M235" s="3" t="s">
        <v>162</v>
      </c>
      <c r="N235" s="4" t="str">
        <f>TRIM(SUBSTITUTE(M235,"_"," "))</f>
        <v>Aarav Sharma</v>
      </c>
      <c r="O235" s="3" t="s">
        <v>108</v>
      </c>
      <c r="P235" s="6" t="str">
        <f>PROPER(TRIM(SUBSTITUTE(O235,".","")))</f>
        <v>Corporate</v>
      </c>
      <c r="Q235" s="3" t="s">
        <v>62</v>
      </c>
      <c r="R235" s="7" t="str">
        <f>PROPER(TRIM(SUBSTITUTE(Q235,"  "," ")))</f>
        <v>South</v>
      </c>
      <c r="S235" s="3" t="s">
        <v>229</v>
      </c>
      <c r="T235" s="6" t="str">
        <f>PROPER(TRIM(SUBSTITUTE(S235,"  "," ")))</f>
        <v>Karnataka</v>
      </c>
      <c r="U235" s="3" t="s">
        <v>230</v>
      </c>
      <c r="V235" s="6" t="str">
        <f>PROPER(TRIM(SUBSTITUTE(U235,"  "," ")))</f>
        <v>Bengaluru</v>
      </c>
      <c r="W235" s="3" t="s">
        <v>86</v>
      </c>
      <c r="X235" s="6" t="str">
        <f>PROPER(TRIM(SUBSTITUTE(W235,"  "," ")))</f>
        <v>Technology</v>
      </c>
      <c r="Y235" s="3" t="s">
        <v>87</v>
      </c>
      <c r="Z235" s="6" t="str">
        <f>PROPER(TRIM(SUBSTITUTE(Y235,"  "," ")))</f>
        <v>Accessories</v>
      </c>
      <c r="AA235" s="3" t="s">
        <v>3774</v>
      </c>
      <c r="AB235" s="3" t="s">
        <v>56</v>
      </c>
      <c r="AC235" s="6" t="str">
        <f>PROPER(TRIM(SUBSTITUTE(AB235,"  "," ")))</f>
        <v>First Class</v>
      </c>
      <c r="AD235" s="3">
        <v>7</v>
      </c>
      <c r="AE235" s="3">
        <v>1942.49</v>
      </c>
      <c r="AF235" s="3">
        <v>0.2</v>
      </c>
      <c r="AG235" s="17">
        <v>0.2</v>
      </c>
      <c r="AH235" s="6" t="str">
        <f t="shared" si="27"/>
        <v>Valid</v>
      </c>
      <c r="AI235" s="3">
        <v>10877.94</v>
      </c>
      <c r="AJ235" s="3">
        <v>9110.14</v>
      </c>
      <c r="AK235" s="3">
        <v>1767.8</v>
      </c>
      <c r="AL235" s="3" t="s">
        <v>34</v>
      </c>
      <c r="AM235" s="6" t="str">
        <f>PROPER(TRIM(SUBSTITUTE(AL235,".","")))</f>
        <v>Paid</v>
      </c>
      <c r="AN235" s="3" t="s">
        <v>35</v>
      </c>
      <c r="AO235" s="8" t="str">
        <f>PROPER(TRIM(SUBSTITUTE(AN235,".","")))</f>
        <v>Completed</v>
      </c>
      <c r="AP235" t="str">
        <f>IF(COUNTIF($A$2:$A$933, A235) &gt; 1, "Duplicate ID", "Unique")</f>
        <v>Unique</v>
      </c>
      <c r="AR235">
        <f t="shared" si="28"/>
        <v>10877.944000000001</v>
      </c>
      <c r="AS235">
        <f t="shared" si="29"/>
        <v>1767.8040000000019</v>
      </c>
      <c r="AT235" s="15">
        <f t="shared" si="30"/>
        <v>0.16251269541376584</v>
      </c>
      <c r="AU235" t="str">
        <f t="shared" si="31"/>
        <v>Clean</v>
      </c>
      <c r="AV235" s="8" t="str">
        <f t="shared" si="32"/>
        <v>Active</v>
      </c>
    </row>
    <row r="236" spans="1:48">
      <c r="A236" s="3" t="s">
        <v>1584</v>
      </c>
      <c r="B236" s="3" t="s">
        <v>1585</v>
      </c>
      <c r="C236" s="9">
        <f>IFERROR(DATEVALUE(TEXT(B236,"DD/MM/YYYY")), IF(ISNUMBER(B236), B236, ""))</f>
        <v>45477</v>
      </c>
      <c r="D236" s="9" t="str">
        <f>IF(B236="","Missing", IF(AND(ISNUMBER(B236)=FALSE, C236=""),"Invalid - Could Not Parse", IF(AND(ISNUMBER(B236)=FALSE, C236&lt;&gt;""),"Text - Converted to Date", IF(ISNUMBER(B236),"Valid","Check"))))</f>
        <v>Text - Converted to Date</v>
      </c>
      <c r="E236" s="5">
        <f t="shared" si="25"/>
        <v>7</v>
      </c>
      <c r="F236" s="5">
        <f t="shared" si="26"/>
        <v>2024</v>
      </c>
      <c r="G236" s="3" t="s">
        <v>1586</v>
      </c>
      <c r="H236" s="9">
        <f>IFERROR(DATEVALUE(TEXT(G236,"DD/MM/YYYY")), IF(ISNUMBER(G236), G236, ""))</f>
        <v>45481</v>
      </c>
      <c r="I236" s="9" t="str">
        <f>IF(G236="","Missing", IF(AND(ISNUMBER(G236)=FALSE, H236=""),"Invalid - Could Not Parse", IF(AND(ISNUMBER(G236)=FALSE, H236&lt;&gt;""),"Text - Converted to Date", IF(ISNUMBER(G236),"Valid","Check"))))</f>
        <v>Text - Converted to Date</v>
      </c>
      <c r="J236" s="9" t="str">
        <f>IF(OR(C236="", H236=""), "Cannot Check - Date Missing", IF(H236&lt;C236, "Invalid - Ship Before Order", "Valid"))</f>
        <v>Valid</v>
      </c>
      <c r="K236" s="5">
        <f>IF(OR(C236="", H236=""), "", IF(H236&lt;C236, "", H236-C236))</f>
        <v>4</v>
      </c>
      <c r="L236" s="3" t="s">
        <v>1587</v>
      </c>
      <c r="M236" s="3" t="s">
        <v>180</v>
      </c>
      <c r="N236" s="4" t="str">
        <f>TRIM(SUBSTITUTE(M236,"_"," "))</f>
        <v>Rohan Mehta</v>
      </c>
      <c r="O236" s="3" t="s">
        <v>41</v>
      </c>
      <c r="P236" s="6" t="str">
        <f>PROPER(TRIM(SUBSTITUTE(O236,".","")))</f>
        <v>Small Business</v>
      </c>
      <c r="Q236" s="3" t="s">
        <v>62</v>
      </c>
      <c r="R236" s="7" t="str">
        <f>PROPER(TRIM(SUBSTITUTE(Q236,"  "," ")))</f>
        <v>South</v>
      </c>
      <c r="S236" s="3" t="s">
        <v>339</v>
      </c>
      <c r="T236" s="6" t="str">
        <f>PROPER(TRIM(SUBSTITUTE(S236,"  "," ")))</f>
        <v>Tamil Nadu</v>
      </c>
      <c r="U236" s="3" t="s">
        <v>340</v>
      </c>
      <c r="V236" s="6" t="str">
        <f>PROPER(TRIM(SUBSTITUTE(U236,"  "," ")))</f>
        <v>Chennai</v>
      </c>
      <c r="W236" s="3" t="s">
        <v>86</v>
      </c>
      <c r="X236" s="6" t="str">
        <f>PROPER(TRIM(SUBSTITUTE(W236,"  "," ")))</f>
        <v>Technology</v>
      </c>
      <c r="Y236" s="3" t="s">
        <v>382</v>
      </c>
      <c r="Z236" s="6" t="str">
        <f>PROPER(TRIM(SUBSTITUTE(Y236,"  "," ")))</f>
        <v>Machines</v>
      </c>
      <c r="AA236" s="3" t="s">
        <v>1588</v>
      </c>
      <c r="AB236" s="3" t="s">
        <v>56</v>
      </c>
      <c r="AC236" s="6" t="str">
        <f>PROPER(TRIM(SUBSTITUTE(AB236,"  "," ")))</f>
        <v>First Class</v>
      </c>
      <c r="AD236" s="3">
        <v>8</v>
      </c>
      <c r="AE236" s="3">
        <v>2034.25</v>
      </c>
      <c r="AF236" s="3">
        <v>0</v>
      </c>
      <c r="AG236" s="17">
        <v>0</v>
      </c>
      <c r="AH236" s="6" t="str">
        <f t="shared" si="27"/>
        <v>Valid</v>
      </c>
      <c r="AI236" s="3">
        <v>16274</v>
      </c>
      <c r="AJ236" s="3">
        <v>9424.25</v>
      </c>
      <c r="AK236" s="3">
        <v>6849.75</v>
      </c>
      <c r="AL236" s="3" t="s">
        <v>34</v>
      </c>
      <c r="AM236" s="6" t="str">
        <f>PROPER(TRIM(SUBSTITUTE(AL236,".","")))</f>
        <v>Paid</v>
      </c>
      <c r="AN236" s="3" t="s">
        <v>35</v>
      </c>
      <c r="AO236" s="8" t="str">
        <f>PROPER(TRIM(SUBSTITUTE(AN236,".","")))</f>
        <v>Completed</v>
      </c>
      <c r="AP236" t="str">
        <f>IF(COUNTIF($A$2:$A$933, A236) &gt; 1, "Duplicate ID", "Unique")</f>
        <v>Unique</v>
      </c>
      <c r="AR236">
        <f t="shared" si="28"/>
        <v>16274</v>
      </c>
      <c r="AS236">
        <f t="shared" si="29"/>
        <v>6849.75</v>
      </c>
      <c r="AT236" s="15">
        <f t="shared" si="30"/>
        <v>0.42090143787636719</v>
      </c>
      <c r="AU236" t="str">
        <f t="shared" si="31"/>
        <v>Clean</v>
      </c>
      <c r="AV236" s="8" t="str">
        <f t="shared" si="32"/>
        <v>Active</v>
      </c>
    </row>
    <row r="237" spans="1:48">
      <c r="A237" s="3" t="s">
        <v>1203</v>
      </c>
      <c r="B237" s="3" t="s">
        <v>1204</v>
      </c>
      <c r="C237" s="9">
        <f>IFERROR(DATEVALUE(TEXT(B237,"DD/MM/YYYY")), IF(ISNUMBER(B237), B237, ""))</f>
        <v>45478</v>
      </c>
      <c r="D237" s="9" t="str">
        <f>IF(B237="","Missing", IF(AND(ISNUMBER(B237)=FALSE, C237=""),"Invalid - Could Not Parse", IF(AND(ISNUMBER(B237)=FALSE, C237&lt;&gt;""),"Text - Converted to Date", IF(ISNUMBER(B237),"Valid","Check"))))</f>
        <v>Text - Converted to Date</v>
      </c>
      <c r="E237" s="5">
        <f t="shared" si="25"/>
        <v>7</v>
      </c>
      <c r="F237" s="5">
        <f t="shared" si="26"/>
        <v>2024</v>
      </c>
      <c r="G237" s="3" t="s">
        <v>1205</v>
      </c>
      <c r="H237" s="9">
        <f>IFERROR(DATEVALUE(TEXT(G237,"DD/MM/YYYY")), IF(ISNUMBER(G237), G237, ""))</f>
        <v>45485</v>
      </c>
      <c r="I237" s="9" t="str">
        <f>IF(G237="","Missing", IF(AND(ISNUMBER(G237)=FALSE, H237=""),"Invalid - Could Not Parse", IF(AND(ISNUMBER(G237)=FALSE, H237&lt;&gt;""),"Text - Converted to Date", IF(ISNUMBER(G237),"Valid","Check"))))</f>
        <v>Text - Converted to Date</v>
      </c>
      <c r="J237" s="9" t="str">
        <f>IF(OR(C237="", H237=""), "Cannot Check - Date Missing", IF(H237&lt;C237, "Invalid - Ship Before Order", "Valid"))</f>
        <v>Valid</v>
      </c>
      <c r="K237" s="5">
        <f>IF(OR(C237="", H237=""), "", IF(H237&lt;C237, "", H237-C237))</f>
        <v>7</v>
      </c>
      <c r="L237" s="3" t="s">
        <v>1206</v>
      </c>
      <c r="M237" s="3" t="s">
        <v>72</v>
      </c>
      <c r="N237" s="4" t="str">
        <f>TRIM(SUBSTITUTE(M237,"_"," "))</f>
        <v>Ananya Rao</v>
      </c>
      <c r="O237" s="3" t="s">
        <v>1207</v>
      </c>
      <c r="P237" s="6" t="str">
        <f>PROPER(TRIM(SUBSTITUTE(O237,".","")))</f>
        <v>Small Business</v>
      </c>
      <c r="Q237" s="3" t="s">
        <v>73</v>
      </c>
      <c r="R237" s="7" t="str">
        <f>PROPER(TRIM(SUBSTITUTE(Q237,"  "," ")))</f>
        <v>West</v>
      </c>
      <c r="S237" s="3" t="s">
        <v>249</v>
      </c>
      <c r="T237" s="6" t="str">
        <f>PROPER(TRIM(SUBSTITUTE(S237,"  "," ")))</f>
        <v>Goa</v>
      </c>
      <c r="U237" s="3" t="s">
        <v>250</v>
      </c>
      <c r="V237" s="6" t="str">
        <f>PROPER(TRIM(SUBSTITUTE(U237,"  "," ")))</f>
        <v>Panaji</v>
      </c>
      <c r="W237" s="3" t="s">
        <v>30</v>
      </c>
      <c r="X237" s="6" t="str">
        <f>PROPER(TRIM(SUBSTITUTE(W237,"  "," ")))</f>
        <v>Office Supplies</v>
      </c>
      <c r="Y237" s="3" t="s">
        <v>198</v>
      </c>
      <c r="Z237" s="6" t="str">
        <f>PROPER(TRIM(SUBSTITUTE(Y237,"  "," ")))</f>
        <v>Binders</v>
      </c>
      <c r="AA237" s="3" t="s">
        <v>1208</v>
      </c>
      <c r="AB237" s="3" t="s">
        <v>56</v>
      </c>
      <c r="AC237" s="6" t="str">
        <f>PROPER(TRIM(SUBSTITUTE(AB237,"  "," ")))</f>
        <v>First Class</v>
      </c>
      <c r="AD237" s="3">
        <v>3</v>
      </c>
      <c r="AE237" s="3">
        <v>577.75</v>
      </c>
      <c r="AF237" s="3">
        <v>0.15</v>
      </c>
      <c r="AG237" s="17">
        <v>0.15</v>
      </c>
      <c r="AH237" s="6" t="str">
        <f t="shared" si="27"/>
        <v>Valid</v>
      </c>
      <c r="AI237" s="3">
        <v>1473.26</v>
      </c>
      <c r="AJ237" s="3">
        <v>899.86</v>
      </c>
      <c r="AK237" s="3">
        <v>573.4</v>
      </c>
      <c r="AL237" s="3" t="s">
        <v>34</v>
      </c>
      <c r="AM237" s="6" t="str">
        <f>PROPER(TRIM(SUBSTITUTE(AL237,".","")))</f>
        <v>Paid</v>
      </c>
      <c r="AN237" s="3" t="s">
        <v>35</v>
      </c>
      <c r="AO237" s="8" t="str">
        <f>PROPER(TRIM(SUBSTITUTE(AN237,".","")))</f>
        <v>Completed</v>
      </c>
      <c r="AP237" t="str">
        <f>IF(COUNTIF($A$2:$A$933, A237) &gt; 1, "Duplicate ID", "Unique")</f>
        <v>Unique</v>
      </c>
      <c r="AR237">
        <f t="shared" si="28"/>
        <v>1473.2625</v>
      </c>
      <c r="AS237">
        <f t="shared" si="29"/>
        <v>573.40250000000003</v>
      </c>
      <c r="AT237" s="15">
        <f t="shared" si="30"/>
        <v>0.38920592901808065</v>
      </c>
      <c r="AU237" t="str">
        <f t="shared" si="31"/>
        <v>Clean</v>
      </c>
      <c r="AV237" s="8" t="str">
        <f t="shared" si="32"/>
        <v>Active</v>
      </c>
    </row>
    <row r="238" spans="1:48">
      <c r="A238" s="3" t="s">
        <v>2327</v>
      </c>
      <c r="B238" s="3" t="s">
        <v>2328</v>
      </c>
      <c r="C238" s="9">
        <f>IFERROR(DATEVALUE(TEXT(B238,"DD/MM/YYYY")), IF(ISNUMBER(B238), B238, ""))</f>
        <v>45478</v>
      </c>
      <c r="D238" s="9" t="str">
        <f>IF(B238="","Missing", IF(AND(ISNUMBER(B238)=FALSE, C238=""),"Invalid - Could Not Parse", IF(AND(ISNUMBER(B238)=FALSE, C238&lt;&gt;""),"Text - Converted to Date", IF(ISNUMBER(B238),"Valid","Check"))))</f>
        <v>Text - Converted to Date</v>
      </c>
      <c r="E238" s="5">
        <f t="shared" si="25"/>
        <v>7</v>
      </c>
      <c r="F238" s="5">
        <f t="shared" si="26"/>
        <v>2024</v>
      </c>
      <c r="G238" s="3" t="s">
        <v>2329</v>
      </c>
      <c r="H238" s="9">
        <f>IFERROR(DATEVALUE(MID(G238,4,2) &amp; "/" &amp; LEFT(G238,2) &amp; "/" &amp; RIGHT(G238,4)), IF(ISNUMBER(G238), G238, IFERROR(DATEVALUE(G238), "")))</f>
        <v>45426</v>
      </c>
      <c r="I238" s="9" t="str">
        <f>IF(G238="","Missing", IF(AND(ISNUMBER(G238)=FALSE, H238=""),"Invalid - Could Not Parse", IF(AND(ISNUMBER(G238)=FALSE, H238&lt;&gt;""),"Text - Converted to Date", IF(ISNUMBER(G238),"Valid","Check"))))</f>
        <v>Text - Converted to Date</v>
      </c>
      <c r="J238" s="9" t="str">
        <f>IF(OR(C238="", H238=""), "Cannot Check - Date Missing", IF(H238&lt;C238, "Invalid - Ship Before Order", "Valid"))</f>
        <v>Invalid - Ship Before Order</v>
      </c>
      <c r="K238" s="5" t="str">
        <f>IF(OR(C238="", H238=""), "", IF(H238&lt;C238, "", H238-C238))</f>
        <v/>
      </c>
      <c r="L238" s="3" t="s">
        <v>2330</v>
      </c>
      <c r="M238" s="3" t="s">
        <v>168</v>
      </c>
      <c r="N238" s="4" t="str">
        <f>TRIM(SUBSTITUTE(M238,"_"," "))</f>
        <v>Sneha Kapoor</v>
      </c>
      <c r="O238" s="3" t="s">
        <v>41</v>
      </c>
      <c r="P238" s="6" t="str">
        <f>PROPER(TRIM(SUBSTITUTE(O238,".","")))</f>
        <v>Small Business</v>
      </c>
      <c r="Q238" s="3" t="s">
        <v>27</v>
      </c>
      <c r="R238" s="7" t="str">
        <f>PROPER(TRIM(SUBSTITUTE(Q238,"  "," ")))</f>
        <v>North</v>
      </c>
      <c r="S238" s="3" t="s">
        <v>28</v>
      </c>
      <c r="T238" s="6" t="str">
        <f>PROPER(TRIM(SUBSTITUTE(S238,"  "," ")))</f>
        <v>Rajasthan</v>
      </c>
      <c r="U238" s="3" t="s">
        <v>29</v>
      </c>
      <c r="V238" s="6" t="str">
        <f>PROPER(TRIM(SUBSTITUTE(U238,"  "," ")))</f>
        <v>Jaipur</v>
      </c>
      <c r="W238" s="3" t="s">
        <v>30</v>
      </c>
      <c r="X238" s="6" t="str">
        <f>PROPER(TRIM(SUBSTITUTE(W238,"  "," ")))</f>
        <v>Office Supplies</v>
      </c>
      <c r="Y238" s="3" t="s">
        <v>156</v>
      </c>
      <c r="Z238" s="6" t="str">
        <f>PROPER(TRIM(SUBSTITUTE(Y238,"  "," ")))</f>
        <v>Storage</v>
      </c>
      <c r="AA238" s="3" t="s">
        <v>2331</v>
      </c>
      <c r="AB238" s="3" t="s">
        <v>56</v>
      </c>
      <c r="AC238" s="6" t="str">
        <f>PROPER(TRIM(SUBSTITUTE(AB238,"  "," ")))</f>
        <v>First Class</v>
      </c>
      <c r="AD238" s="3">
        <v>3</v>
      </c>
      <c r="AE238" s="3">
        <v>383.58</v>
      </c>
      <c r="AF238" s="3">
        <v>0.1</v>
      </c>
      <c r="AG238" s="17">
        <v>0.1</v>
      </c>
      <c r="AH238" s="6" t="str">
        <f t="shared" si="27"/>
        <v>Valid</v>
      </c>
      <c r="AI238" s="3">
        <v>1035.67</v>
      </c>
      <c r="AJ238" s="3">
        <v>595.41999999999996</v>
      </c>
      <c r="AK238" s="3">
        <v>440.25</v>
      </c>
      <c r="AL238" s="3" t="s">
        <v>34</v>
      </c>
      <c r="AM238" s="6" t="str">
        <f>PROPER(TRIM(SUBSTITUTE(AL238,".","")))</f>
        <v>Paid</v>
      </c>
      <c r="AN238" s="3" t="s">
        <v>35</v>
      </c>
      <c r="AO238" s="8" t="str">
        <f>PROPER(TRIM(SUBSTITUTE(AN238,".","")))</f>
        <v>Completed</v>
      </c>
      <c r="AP238" t="str">
        <f>IF(COUNTIF($A$2:$A$933, A238) &gt; 1, "Duplicate ID", "Unique")</f>
        <v>Unique</v>
      </c>
      <c r="AR238">
        <f t="shared" si="28"/>
        <v>1035.6659999999999</v>
      </c>
      <c r="AS238">
        <f t="shared" si="29"/>
        <v>440.24599999999998</v>
      </c>
      <c r="AT238" s="15">
        <f t="shared" si="30"/>
        <v>0.42508492120046426</v>
      </c>
      <c r="AU238" t="str">
        <f t="shared" si="31"/>
        <v>Invalid</v>
      </c>
      <c r="AV238" s="8" t="str">
        <f t="shared" si="32"/>
        <v>Active</v>
      </c>
    </row>
    <row r="239" spans="1:48">
      <c r="A239" s="3" t="s">
        <v>1107</v>
      </c>
      <c r="B239" s="3" t="s">
        <v>1108</v>
      </c>
      <c r="C239" s="9">
        <f>IFERROR(DATEVALUE(TEXT(B239,"DD/MM/YYYY")), IF(ISNUMBER(B239), B239, ""))</f>
        <v>45483</v>
      </c>
      <c r="D239" s="9" t="str">
        <f>IF(B239="","Missing", IF(AND(ISNUMBER(B239)=FALSE, C239=""),"Invalid - Could Not Parse", IF(AND(ISNUMBER(B239)=FALSE, C239&lt;&gt;""),"Text - Converted to Date", IF(ISNUMBER(B239),"Valid","Check"))))</f>
        <v>Text - Converted to Date</v>
      </c>
      <c r="E239" s="5">
        <f t="shared" si="25"/>
        <v>7</v>
      </c>
      <c r="F239" s="5">
        <f t="shared" si="26"/>
        <v>2024</v>
      </c>
      <c r="G239" s="3" t="s">
        <v>1109</v>
      </c>
      <c r="H239" s="9">
        <f>IFERROR(DATEVALUE(TEXT(G239,"DD/MM/YYYY")), IF(ISNUMBER(G239), G239, ""))</f>
        <v>45489</v>
      </c>
      <c r="I239" s="9" t="str">
        <f>IF(G239="","Missing", IF(AND(ISNUMBER(G239)=FALSE, H239=""),"Invalid - Could Not Parse", IF(AND(ISNUMBER(G239)=FALSE, H239&lt;&gt;""),"Text - Converted to Date", IF(ISNUMBER(G239),"Valid","Check"))))</f>
        <v>Text - Converted to Date</v>
      </c>
      <c r="J239" s="9" t="str">
        <f>IF(OR(C239="", H239=""), "Cannot Check - Date Missing", IF(H239&lt;C239, "Invalid - Ship Before Order", "Valid"))</f>
        <v>Valid</v>
      </c>
      <c r="K239" s="5">
        <f>IF(OR(C239="", H239=""), "", IF(H239&lt;C239, "", H239-C239))</f>
        <v>6</v>
      </c>
      <c r="L239" s="3" t="s">
        <v>1110</v>
      </c>
      <c r="M239" s="3" t="s">
        <v>162</v>
      </c>
      <c r="N239" s="4" t="str">
        <f>TRIM(SUBSTITUTE(M239,"_"," "))</f>
        <v>Aarav Sharma</v>
      </c>
      <c r="O239" s="3" t="s">
        <v>115</v>
      </c>
      <c r="P239" s="6" t="str">
        <f>PROPER(TRIM(SUBSTITUTE(O239,".","")))</f>
        <v>Home Office</v>
      </c>
      <c r="Q239" s="3" t="s">
        <v>73</v>
      </c>
      <c r="R239" s="7" t="str">
        <f>PROPER(TRIM(SUBSTITUTE(Q239,"  "," ")))</f>
        <v>West</v>
      </c>
      <c r="S239" s="3" t="s">
        <v>249</v>
      </c>
      <c r="T239" s="6" t="str">
        <f>PROPER(TRIM(SUBSTITUTE(S239,"  "," ")))</f>
        <v>Goa</v>
      </c>
      <c r="U239" s="3" t="s">
        <v>250</v>
      </c>
      <c r="V239" s="6" t="str">
        <f>PROPER(TRIM(SUBSTITUTE(U239,"  "," ")))</f>
        <v>Panaji</v>
      </c>
      <c r="W239" s="3" t="s">
        <v>45</v>
      </c>
      <c r="X239" s="6" t="str">
        <f>PROPER(TRIM(SUBSTITUTE(W239,"  "," ")))</f>
        <v>Furniture</v>
      </c>
      <c r="Y239" s="3" t="s">
        <v>204</v>
      </c>
      <c r="Z239" s="6" t="str">
        <f>PROPER(TRIM(SUBSTITUTE(Y239,"  "," ")))</f>
        <v>Bookcases</v>
      </c>
      <c r="AA239" s="3" t="s">
        <v>1111</v>
      </c>
      <c r="AB239" s="3" t="s">
        <v>33</v>
      </c>
      <c r="AC239" s="6" t="str">
        <f>PROPER(TRIM(SUBSTITUTE(AB239,"  "," ")))</f>
        <v>Second Class</v>
      </c>
      <c r="AD239" s="3">
        <v>2</v>
      </c>
      <c r="AE239" s="3">
        <v>1095.45</v>
      </c>
      <c r="AF239" s="3">
        <v>0.2</v>
      </c>
      <c r="AG239" s="17">
        <v>0.2</v>
      </c>
      <c r="AH239" s="6" t="str">
        <f t="shared" si="27"/>
        <v>Valid</v>
      </c>
      <c r="AI239" s="3">
        <v>1752.72</v>
      </c>
      <c r="AJ239" s="3">
        <v>996.41</v>
      </c>
      <c r="AK239" s="3">
        <v>756.31</v>
      </c>
      <c r="AL239" s="3" t="s">
        <v>34</v>
      </c>
      <c r="AM239" s="6" t="str">
        <f>PROPER(TRIM(SUBSTITUTE(AL239,".","")))</f>
        <v>Paid</v>
      </c>
      <c r="AN239" s="3" t="s">
        <v>35</v>
      </c>
      <c r="AO239" s="8" t="str">
        <f>PROPER(TRIM(SUBSTITUTE(AN239,".","")))</f>
        <v>Completed</v>
      </c>
      <c r="AP239" t="str">
        <f>IF(COUNTIF($A$2:$A$933, A239) &gt; 1, "Duplicate ID", "Unique")</f>
        <v>Unique</v>
      </c>
      <c r="AR239">
        <f t="shared" si="28"/>
        <v>1752.7200000000003</v>
      </c>
      <c r="AS239">
        <f t="shared" si="29"/>
        <v>756.31000000000029</v>
      </c>
      <c r="AT239" s="15">
        <f t="shared" si="30"/>
        <v>0.43150645853302305</v>
      </c>
      <c r="AU239" t="str">
        <f t="shared" si="31"/>
        <v>Clean</v>
      </c>
      <c r="AV239" s="8" t="str">
        <f t="shared" si="32"/>
        <v>Active</v>
      </c>
    </row>
    <row r="240" spans="1:48">
      <c r="A240" s="3" t="s">
        <v>3566</v>
      </c>
      <c r="B240" s="3" t="s">
        <v>3567</v>
      </c>
      <c r="C240" s="9">
        <f>IFERROR(DATEVALUE(TEXT(B240,"DD/MM/YYYY")), IF(ISNUMBER(B240), B240, ""))</f>
        <v>45485</v>
      </c>
      <c r="D240" s="9" t="str">
        <f>IF(B240="","Missing", IF(AND(ISNUMBER(B240)=FALSE, C240=""),"Invalid - Could Not Parse", IF(AND(ISNUMBER(B240)=FALSE, C240&lt;&gt;""),"Text - Converted to Date", IF(ISNUMBER(B240),"Valid","Check"))))</f>
        <v>Text - Converted to Date</v>
      </c>
      <c r="E240" s="5">
        <f t="shared" si="25"/>
        <v>7</v>
      </c>
      <c r="F240" s="5">
        <f t="shared" si="26"/>
        <v>2024</v>
      </c>
      <c r="G240" s="3" t="s">
        <v>2623</v>
      </c>
      <c r="H240" s="9">
        <f>IFERROR(DATEVALUE(TEXT(G240,"DD/MM/YYYY")), IF(ISNUMBER(G240), G240, ""))</f>
        <v>45487</v>
      </c>
      <c r="I240" s="9" t="str">
        <f>IF(G240="","Missing", IF(AND(ISNUMBER(G240)=FALSE, H240=""),"Invalid - Could Not Parse", IF(AND(ISNUMBER(G240)=FALSE, H240&lt;&gt;""),"Text - Converted to Date", IF(ISNUMBER(G240),"Valid","Check"))))</f>
        <v>Text - Converted to Date</v>
      </c>
      <c r="J240" s="9" t="str">
        <f>IF(OR(C240="", H240=""), "Cannot Check - Date Missing", IF(H240&lt;C240, "Invalid - Ship Before Order", "Valid"))</f>
        <v>Valid</v>
      </c>
      <c r="K240" s="5">
        <f>IF(OR(C240="", H240=""), "", IF(H240&lt;C240, "", H240-C240))</f>
        <v>2</v>
      </c>
      <c r="L240" s="3" t="s">
        <v>691</v>
      </c>
      <c r="M240" s="3" t="s">
        <v>72</v>
      </c>
      <c r="N240" s="4" t="str">
        <f>TRIM(SUBSTITUTE(M240,"_"," "))</f>
        <v>Ananya Rao</v>
      </c>
      <c r="O240" s="3" t="s">
        <v>26</v>
      </c>
      <c r="P240" s="6" t="str">
        <f>PROPER(TRIM(SUBSTITUTE(O240,".","")))</f>
        <v>Consumer</v>
      </c>
      <c r="Q240" s="3" t="s">
        <v>27</v>
      </c>
      <c r="R240" s="7" t="str">
        <f>PROPER(TRIM(SUBSTITUTE(Q240,"  "," ")))</f>
        <v>North</v>
      </c>
      <c r="S240" s="3" t="s">
        <v>323</v>
      </c>
      <c r="T240" s="6" t="str">
        <f>PROPER(TRIM(SUBSTITUTE(S240,"  "," ")))</f>
        <v>Haryana</v>
      </c>
      <c r="U240" s="3" t="s">
        <v>324</v>
      </c>
      <c r="V240" s="6" t="str">
        <f>PROPER(TRIM(SUBSTITUTE(U240,"  "," ")))</f>
        <v>Gurugram</v>
      </c>
      <c r="W240" s="3" t="s">
        <v>86</v>
      </c>
      <c r="X240" s="6" t="str">
        <f>PROPER(TRIM(SUBSTITUTE(W240,"  "," ")))</f>
        <v>Technology</v>
      </c>
      <c r="Y240" s="3" t="s">
        <v>382</v>
      </c>
      <c r="Z240" s="6" t="str">
        <f>PROPER(TRIM(SUBSTITUTE(Y240,"  "," ")))</f>
        <v>Machines</v>
      </c>
      <c r="AA240" s="3" t="s">
        <v>3568</v>
      </c>
      <c r="AB240" s="3" t="s">
        <v>33</v>
      </c>
      <c r="AC240" s="6" t="str">
        <f>PROPER(TRIM(SUBSTITUTE(AB240,"  "," ")))</f>
        <v>Second Class</v>
      </c>
      <c r="AD240" s="3">
        <v>4</v>
      </c>
      <c r="AE240" s="3">
        <v>2131.41</v>
      </c>
      <c r="AF240" s="3"/>
      <c r="AG240" s="18">
        <f>IF(ISBLANK(AF240), 0, AF240)</f>
        <v>0</v>
      </c>
      <c r="AH240" s="6" t="str">
        <f t="shared" si="27"/>
        <v>Missing</v>
      </c>
      <c r="AI240" s="3">
        <v>6394.23</v>
      </c>
      <c r="AJ240" s="3">
        <v>3520.69</v>
      </c>
      <c r="AK240" s="3">
        <v>2873.54</v>
      </c>
      <c r="AL240" s="3" t="s">
        <v>34</v>
      </c>
      <c r="AM240" s="6" t="str">
        <f>PROPER(TRIM(SUBSTITUTE(AL240,".","")))</f>
        <v>Paid</v>
      </c>
      <c r="AN240" s="3" t="s">
        <v>35</v>
      </c>
      <c r="AO240" s="8" t="str">
        <f>PROPER(TRIM(SUBSTITUTE(AN240,".","")))</f>
        <v>Completed</v>
      </c>
      <c r="AP240" t="str">
        <f>IF(COUNTIF($A$2:$A$933, A240) &gt; 1, "Duplicate ID", "Unique")</f>
        <v>Unique</v>
      </c>
      <c r="AR240">
        <f t="shared" si="28"/>
        <v>8525.64</v>
      </c>
      <c r="AS240">
        <f t="shared" si="29"/>
        <v>5004.9499999999989</v>
      </c>
      <c r="AT240" s="15">
        <f t="shared" si="30"/>
        <v>0.58704683753946907</v>
      </c>
      <c r="AU240" t="str">
        <f t="shared" si="31"/>
        <v>Warning</v>
      </c>
      <c r="AV240" s="8" t="str">
        <f t="shared" si="32"/>
        <v>Active</v>
      </c>
    </row>
    <row r="241" spans="1:48">
      <c r="A241" s="3" t="s">
        <v>404</v>
      </c>
      <c r="B241" s="3" t="s">
        <v>405</v>
      </c>
      <c r="C241" s="9">
        <v>45486</v>
      </c>
      <c r="D241" s="9" t="str">
        <f>IF(B241="","Missing", IF(AND(ISNUMBER(B241)=FALSE, C241=""),"Invalid - Could Not Parse", IF(AND(ISNUMBER(B241)=FALSE, C241&lt;&gt;""),"Text - Converted to Date", IF(ISNUMBER(B241),"Valid","Check"))))</f>
        <v>Text - Converted to Date</v>
      </c>
      <c r="E241" s="5">
        <f t="shared" si="25"/>
        <v>7</v>
      </c>
      <c r="F241" s="5">
        <f t="shared" si="26"/>
        <v>2024</v>
      </c>
      <c r="G241" s="3" t="s">
        <v>406</v>
      </c>
      <c r="H241" s="9">
        <f>IFERROR(DATEVALUE(TEXT(G241,"DD/MM/YYYY")), IF(ISNUMBER(G241), G241, ""))</f>
        <v>45492</v>
      </c>
      <c r="I241" s="9" t="str">
        <f>IF(G241="","Missing", IF(AND(ISNUMBER(G241)=FALSE, H241=""),"Invalid - Could Not Parse", IF(AND(ISNUMBER(G241)=FALSE, H241&lt;&gt;""),"Text - Converted to Date", IF(ISNUMBER(G241),"Valid","Check"))))</f>
        <v>Text - Converted to Date</v>
      </c>
      <c r="J241" s="9" t="str">
        <f>IF(OR(C241="", H241=""), "Cannot Check - Date Missing", IF(H241&lt;C241, "Invalid - Ship Before Order", "Valid"))</f>
        <v>Valid</v>
      </c>
      <c r="K241" s="5">
        <f>IF(OR(C241="", H241=""), "", IF(H241&lt;C241, "", H241-C241))</f>
        <v>6</v>
      </c>
      <c r="L241" s="3" t="s">
        <v>407</v>
      </c>
      <c r="M241" s="3" t="s">
        <v>72</v>
      </c>
      <c r="N241" s="4" t="str">
        <f>TRIM(SUBSTITUTE(M241,"_"," "))</f>
        <v>Ananya Rao</v>
      </c>
      <c r="O241" s="3" t="s">
        <v>108</v>
      </c>
      <c r="P241" s="6" t="str">
        <f>PROPER(TRIM(SUBSTITUTE(O241,".","")))</f>
        <v>Corporate</v>
      </c>
      <c r="Q241" s="3" t="s">
        <v>42</v>
      </c>
      <c r="R241" s="7" t="str">
        <f>PROPER(TRIM(SUBSTITUTE(Q241,"  "," ")))</f>
        <v>East</v>
      </c>
      <c r="S241" s="3" t="s">
        <v>216</v>
      </c>
      <c r="T241" s="6" t="str">
        <f>PROPER(TRIM(SUBSTITUTE(S241,"  "," ")))</f>
        <v>Assam</v>
      </c>
      <c r="U241" s="3" t="s">
        <v>217</v>
      </c>
      <c r="V241" s="6" t="str">
        <f>PROPER(TRIM(SUBSTITUTE(U241,"  "," ")))</f>
        <v>Guwahati</v>
      </c>
      <c r="W241" s="3" t="s">
        <v>30</v>
      </c>
      <c r="X241" s="6" t="str">
        <f>PROPER(TRIM(SUBSTITUTE(W241,"  "," ")))</f>
        <v>Office Supplies</v>
      </c>
      <c r="Y241" s="3" t="s">
        <v>109</v>
      </c>
      <c r="Z241" s="6" t="str">
        <f>PROPER(TRIM(SUBSTITUTE(Y241,"  "," ")))</f>
        <v>Labels</v>
      </c>
      <c r="AA241" s="3" t="s">
        <v>408</v>
      </c>
      <c r="AB241" s="3" t="s">
        <v>48</v>
      </c>
      <c r="AC241" s="6" t="str">
        <f>PROPER(TRIM(SUBSTITUTE(AB241,"  "," ")))</f>
        <v>Same Day</v>
      </c>
      <c r="AD241" s="3">
        <v>3</v>
      </c>
      <c r="AE241" s="3">
        <v>275.76</v>
      </c>
      <c r="AF241" s="3">
        <v>0.2</v>
      </c>
      <c r="AG241" s="17">
        <v>0.2</v>
      </c>
      <c r="AH241" s="6" t="str">
        <f t="shared" si="27"/>
        <v>Valid</v>
      </c>
      <c r="AI241" s="3">
        <v>661.82</v>
      </c>
      <c r="AJ241" s="3">
        <v>481.47</v>
      </c>
      <c r="AK241" s="3">
        <v>180.35</v>
      </c>
      <c r="AL241" s="3" t="s">
        <v>124</v>
      </c>
      <c r="AM241" s="6" t="str">
        <f>PROPER(TRIM(SUBSTITUTE(AL241,".","")))</f>
        <v>Refunded</v>
      </c>
      <c r="AN241" s="3" t="s">
        <v>78</v>
      </c>
      <c r="AO241" s="8" t="str">
        <f>PROPER(TRIM(SUBSTITUTE(AN241,".","")))</f>
        <v>Cancelled</v>
      </c>
      <c r="AP241" t="str">
        <f>IF(COUNTIF($A$2:$A$933, A241) &gt; 1, "Duplicate ID", "Unique")</f>
        <v>Unique</v>
      </c>
      <c r="AR241">
        <f t="shared" si="28"/>
        <v>661.82400000000007</v>
      </c>
      <c r="AS241">
        <f t="shared" si="29"/>
        <v>180.35400000000004</v>
      </c>
      <c r="AT241" s="15">
        <f t="shared" si="30"/>
        <v>0.27251051639106472</v>
      </c>
      <c r="AU241" t="str">
        <f t="shared" si="31"/>
        <v>Clean</v>
      </c>
      <c r="AV241" s="8" t="str">
        <f t="shared" si="32"/>
        <v>Refund</v>
      </c>
    </row>
    <row r="242" spans="1:48">
      <c r="A242" s="3" t="s">
        <v>2622</v>
      </c>
      <c r="B242" s="3" t="s">
        <v>2623</v>
      </c>
      <c r="C242" s="9">
        <f>IFERROR(DATEVALUE(TEXT(B242,"DD/MM/YYYY")), IF(ISNUMBER(B242), B242, ""))</f>
        <v>45487</v>
      </c>
      <c r="D242" s="9" t="str">
        <f>IF(B242="","Missing", IF(AND(ISNUMBER(B242)=FALSE, C242=""),"Invalid - Could Not Parse", IF(AND(ISNUMBER(B242)=FALSE, C242&lt;&gt;""),"Text - Converted to Date", IF(ISNUMBER(B242),"Valid","Check"))))</f>
        <v>Text - Converted to Date</v>
      </c>
      <c r="E242" s="5">
        <f t="shared" si="25"/>
        <v>7</v>
      </c>
      <c r="F242" s="5">
        <f t="shared" si="26"/>
        <v>2024</v>
      </c>
      <c r="G242" s="3" t="s">
        <v>400</v>
      </c>
      <c r="H242" s="9">
        <f>IFERROR(DATEVALUE(TEXT(G242,"DD/MM/YYYY")), IF(ISNUMBER(G242), G242, ""))</f>
        <v>45493</v>
      </c>
      <c r="I242" s="9" t="str">
        <f>IF(G242="","Missing", IF(AND(ISNUMBER(G242)=FALSE, H242=""),"Invalid - Could Not Parse", IF(AND(ISNUMBER(G242)=FALSE, H242&lt;&gt;""),"Text - Converted to Date", IF(ISNUMBER(G242),"Valid","Check"))))</f>
        <v>Text - Converted to Date</v>
      </c>
      <c r="J242" s="9" t="str">
        <f>IF(OR(C242="", H242=""), "Cannot Check - Date Missing", IF(H242&lt;C242, "Invalid - Ship Before Order", "Valid"))</f>
        <v>Valid</v>
      </c>
      <c r="K242" s="5">
        <f>IF(OR(C242="", H242=""), "", IF(H242&lt;C242, "", H242-C242))</f>
        <v>6</v>
      </c>
      <c r="L242" s="3" t="s">
        <v>2624</v>
      </c>
      <c r="M242" s="3" t="s">
        <v>40</v>
      </c>
      <c r="N242" s="4" t="str">
        <f>TRIM(SUBSTITUTE(M242,"_"," "))</f>
        <v>Mira Das</v>
      </c>
      <c r="O242" s="3" t="s">
        <v>26</v>
      </c>
      <c r="P242" s="6" t="str">
        <f>PROPER(TRIM(SUBSTITUTE(O242,".","")))</f>
        <v>Consumer</v>
      </c>
      <c r="Q242" s="3" t="s">
        <v>42</v>
      </c>
      <c r="R242" s="7" t="str">
        <f>PROPER(TRIM(SUBSTITUTE(Q242,"  "," ")))</f>
        <v>East</v>
      </c>
      <c r="S242" s="3" t="s">
        <v>186</v>
      </c>
      <c r="T242" s="6" t="str">
        <f>PROPER(TRIM(SUBSTITUTE(S242,"  "," ")))</f>
        <v>Bihar</v>
      </c>
      <c r="U242" s="3" t="s">
        <v>187</v>
      </c>
      <c r="V242" s="6" t="str">
        <f>PROPER(TRIM(SUBSTITUTE(U242,"  "," ")))</f>
        <v>Patna</v>
      </c>
      <c r="W242" s="3" t="s">
        <v>86</v>
      </c>
      <c r="X242" s="6" t="str">
        <f>PROPER(TRIM(SUBSTITUTE(W242,"  "," ")))</f>
        <v>Technology</v>
      </c>
      <c r="Y242" s="3" t="s">
        <v>94</v>
      </c>
      <c r="Z242" s="6" t="str">
        <f>PROPER(TRIM(SUBSTITUTE(Y242,"  "," ")))</f>
        <v>Copiers</v>
      </c>
      <c r="AA242" s="3" t="s">
        <v>2625</v>
      </c>
      <c r="AB242" s="3" t="s">
        <v>48</v>
      </c>
      <c r="AC242" s="6" t="str">
        <f>PROPER(TRIM(SUBSTITUTE(AB242,"  "," ")))</f>
        <v>Same Day</v>
      </c>
      <c r="AD242" s="3">
        <v>1</v>
      </c>
      <c r="AE242" s="3">
        <v>492.67</v>
      </c>
      <c r="AF242" s="3">
        <v>0.15</v>
      </c>
      <c r="AG242" s="17">
        <v>0.15</v>
      </c>
      <c r="AH242" s="6" t="str">
        <f t="shared" si="27"/>
        <v>Valid</v>
      </c>
      <c r="AI242" s="3">
        <v>418.77</v>
      </c>
      <c r="AJ242" s="3">
        <v>313.72000000000003</v>
      </c>
      <c r="AK242" s="3">
        <v>105.05</v>
      </c>
      <c r="AL242" s="3" t="s">
        <v>34</v>
      </c>
      <c r="AM242" s="6" t="str">
        <f>PROPER(TRIM(SUBSTITUTE(AL242,".","")))</f>
        <v>Paid</v>
      </c>
      <c r="AN242" s="3" t="s">
        <v>35</v>
      </c>
      <c r="AO242" s="8" t="str">
        <f>PROPER(TRIM(SUBSTITUTE(AN242,".","")))</f>
        <v>Completed</v>
      </c>
      <c r="AP242" t="str">
        <f>IF(COUNTIF($A$2:$A$933, A242) &gt; 1, "Duplicate ID", "Unique")</f>
        <v>Unique</v>
      </c>
      <c r="AR242">
        <f t="shared" si="28"/>
        <v>418.76949999999999</v>
      </c>
      <c r="AS242">
        <f t="shared" si="29"/>
        <v>105.04949999999997</v>
      </c>
      <c r="AT242" s="15">
        <f t="shared" si="30"/>
        <v>0.25085279610859906</v>
      </c>
      <c r="AU242" t="str">
        <f t="shared" si="31"/>
        <v>Clean</v>
      </c>
      <c r="AV242" s="8" t="str">
        <f t="shared" si="32"/>
        <v>Active</v>
      </c>
    </row>
    <row r="243" spans="1:48">
      <c r="A243" s="3" t="s">
        <v>2518</v>
      </c>
      <c r="B243" s="3" t="s">
        <v>1109</v>
      </c>
      <c r="C243" s="9">
        <f>IFERROR(DATEVALUE(TEXT(B243,"DD/MM/YYYY")), IF(ISNUMBER(B243), B243, ""))</f>
        <v>45489</v>
      </c>
      <c r="D243" s="9" t="str">
        <f>IF(B243="","Missing", IF(AND(ISNUMBER(B243)=FALSE, C243=""),"Invalid - Could Not Parse", IF(AND(ISNUMBER(B243)=FALSE, C243&lt;&gt;""),"Text - Converted to Date", IF(ISNUMBER(B243),"Valid","Check"))))</f>
        <v>Text - Converted to Date</v>
      </c>
      <c r="E243" s="5">
        <f t="shared" si="25"/>
        <v>7</v>
      </c>
      <c r="F243" s="5">
        <f t="shared" si="26"/>
        <v>2024</v>
      </c>
      <c r="G243" s="3" t="s">
        <v>2519</v>
      </c>
      <c r="H243" s="9">
        <f>IFERROR(DATEVALUE(TEXT(G243,"DD/MM/YYYY")), IF(ISNUMBER(G243), G243, ""))</f>
        <v>45496</v>
      </c>
      <c r="I243" s="9" t="str">
        <f>IF(G243="","Missing", IF(AND(ISNUMBER(G243)=FALSE, H243=""),"Invalid - Could Not Parse", IF(AND(ISNUMBER(G243)=FALSE, H243&lt;&gt;""),"Text - Converted to Date", IF(ISNUMBER(G243),"Valid","Check"))))</f>
        <v>Text - Converted to Date</v>
      </c>
      <c r="J243" s="9" t="str">
        <f>IF(OR(C243="", H243=""), "Cannot Check - Date Missing", IF(H243&lt;C243, "Invalid - Ship Before Order", "Valid"))</f>
        <v>Valid</v>
      </c>
      <c r="K243" s="5">
        <f>IF(OR(C243="", H243=""), "", IF(H243&lt;C243, "", H243-C243))</f>
        <v>7</v>
      </c>
      <c r="L243" s="3" t="s">
        <v>2520</v>
      </c>
      <c r="M243" s="3" t="s">
        <v>162</v>
      </c>
      <c r="N243" s="4" t="str">
        <f>TRIM(SUBSTITUTE(M243,"_"," "))</f>
        <v>Aarav Sharma</v>
      </c>
      <c r="O243" s="3" t="s">
        <v>115</v>
      </c>
      <c r="P243" s="6" t="str">
        <f>PROPER(TRIM(SUBSTITUTE(O243,".","")))</f>
        <v>Home Office</v>
      </c>
      <c r="Q243" s="3" t="s">
        <v>62</v>
      </c>
      <c r="R243" s="7" t="str">
        <f>PROPER(TRIM(SUBSTITUTE(Q243,"  "," ")))</f>
        <v>South</v>
      </c>
      <c r="S243" s="3" t="s">
        <v>229</v>
      </c>
      <c r="T243" s="6" t="str">
        <f>PROPER(TRIM(SUBSTITUTE(S243,"  "," ")))</f>
        <v>Karnataka</v>
      </c>
      <c r="U243" s="3" t="s">
        <v>230</v>
      </c>
      <c r="V243" s="6" t="str">
        <f>PROPER(TRIM(SUBSTITUTE(U243,"  "," ")))</f>
        <v>Bengaluru</v>
      </c>
      <c r="W243" s="3" t="s">
        <v>86</v>
      </c>
      <c r="X243" s="6" t="str">
        <f>PROPER(TRIM(SUBSTITUTE(W243,"  "," ")))</f>
        <v>Technology</v>
      </c>
      <c r="Y243" s="3" t="s">
        <v>382</v>
      </c>
      <c r="Z243" s="6" t="str">
        <f>PROPER(TRIM(SUBSTITUTE(Y243,"  "," ")))</f>
        <v>Machines</v>
      </c>
      <c r="AA243" s="3" t="s">
        <v>2521</v>
      </c>
      <c r="AB243" s="3" t="s">
        <v>48</v>
      </c>
      <c r="AC243" s="6" t="str">
        <f>PROPER(TRIM(SUBSTITUTE(AB243,"  "," ")))</f>
        <v>Same Day</v>
      </c>
      <c r="AD243" s="3">
        <v>1</v>
      </c>
      <c r="AE243" s="3">
        <v>1695.91</v>
      </c>
      <c r="AF243" s="3">
        <v>0.05</v>
      </c>
      <c r="AG243" s="17">
        <v>0.05</v>
      </c>
      <c r="AH243" s="6" t="str">
        <f t="shared" si="27"/>
        <v>Valid</v>
      </c>
      <c r="AI243" s="3">
        <v>1611.11</v>
      </c>
      <c r="AJ243" s="3">
        <v>895.15</v>
      </c>
      <c r="AK243" s="3">
        <v>715.96</v>
      </c>
      <c r="AL243" s="3" t="s">
        <v>34</v>
      </c>
      <c r="AM243" s="6" t="str">
        <f>PROPER(TRIM(SUBSTITUTE(AL243,".","")))</f>
        <v>Paid</v>
      </c>
      <c r="AN243" s="3" t="s">
        <v>35</v>
      </c>
      <c r="AO243" s="8" t="str">
        <f>PROPER(TRIM(SUBSTITUTE(AN243,".","")))</f>
        <v>Completed</v>
      </c>
      <c r="AP243" t="str">
        <f>IF(COUNTIF($A$2:$A$933, A243) &gt; 1, "Duplicate ID", "Unique")</f>
        <v>Unique</v>
      </c>
      <c r="AR243">
        <f t="shared" si="28"/>
        <v>1611.1144999999999</v>
      </c>
      <c r="AS243">
        <f t="shared" si="29"/>
        <v>715.96449999999993</v>
      </c>
      <c r="AT243" s="15">
        <f t="shared" si="30"/>
        <v>0.44439082386757739</v>
      </c>
      <c r="AU243" t="str">
        <f t="shared" si="31"/>
        <v>Clean</v>
      </c>
      <c r="AV243" s="8" t="str">
        <f t="shared" si="32"/>
        <v>Active</v>
      </c>
    </row>
    <row r="244" spans="1:48">
      <c r="A244" s="3" t="s">
        <v>3357</v>
      </c>
      <c r="B244" s="3" t="s">
        <v>1109</v>
      </c>
      <c r="C244" s="9">
        <f>IFERROR(DATEVALUE(TEXT(B244,"DD/MM/YYYY")), IF(ISNUMBER(B244), B244, ""))</f>
        <v>45489</v>
      </c>
      <c r="D244" s="9" t="str">
        <f>IF(B244="","Missing", IF(AND(ISNUMBER(B244)=FALSE, C244=""),"Invalid - Could Not Parse", IF(AND(ISNUMBER(B244)=FALSE, C244&lt;&gt;""),"Text - Converted to Date", IF(ISNUMBER(B244),"Valid","Check"))))</f>
        <v>Text - Converted to Date</v>
      </c>
      <c r="E244" s="5">
        <f t="shared" si="25"/>
        <v>7</v>
      </c>
      <c r="F244" s="5">
        <f t="shared" si="26"/>
        <v>2024</v>
      </c>
      <c r="G244" s="3" t="s">
        <v>3358</v>
      </c>
      <c r="H244" s="9">
        <f>IFERROR(DATEVALUE(MID(G244,4,2) &amp; "/" &amp; LEFT(G244,2) &amp; "/" &amp; RIGHT(G244,4)), IF(ISNUMBER(G244), G244, IFERROR(DATEVALUE(G244), "")))</f>
        <v>45489</v>
      </c>
      <c r="I244" s="9" t="str">
        <f>IF(G244="","Missing", IF(AND(ISNUMBER(G244)=FALSE, H244=""),"Invalid - Could Not Parse", IF(AND(ISNUMBER(G244)=FALSE, H244&lt;&gt;""),"Text - Converted to Date", IF(ISNUMBER(G244),"Valid","Check"))))</f>
        <v>Text - Converted to Date</v>
      </c>
      <c r="J244" s="9" t="str">
        <f>IF(OR(C244="", H244=""), "Cannot Check - Date Missing", IF(H244&lt;C244, "Invalid - Ship Before Order", "Valid"))</f>
        <v>Valid</v>
      </c>
      <c r="K244" s="5">
        <f>IF(OR(C244="", H244=""), "", IF(H244&lt;C244, "", H244-C244))</f>
        <v>0</v>
      </c>
      <c r="L244" s="3" t="s">
        <v>3359</v>
      </c>
      <c r="M244" s="3" t="s">
        <v>107</v>
      </c>
      <c r="N244" s="4" t="str">
        <f>TRIM(SUBSTITUTE(M244,"_"," "))</f>
        <v>Aditi Sen</v>
      </c>
      <c r="O244" s="3" t="s">
        <v>115</v>
      </c>
      <c r="P244" s="6" t="str">
        <f>PROPER(TRIM(SUBSTITUTE(O244,".","")))</f>
        <v>Home Office</v>
      </c>
      <c r="Q244" s="3" t="s">
        <v>73</v>
      </c>
      <c r="R244" s="7" t="str">
        <f>PROPER(TRIM(SUBSTITUTE(Q244,"  "," ")))</f>
        <v>West</v>
      </c>
      <c r="S244" s="3" t="s">
        <v>84</v>
      </c>
      <c r="T244" s="6" t="str">
        <f>PROPER(TRIM(SUBSTITUTE(S244,"  "," ")))</f>
        <v>Madhya Pradesh</v>
      </c>
      <c r="U244" s="3" t="s">
        <v>85</v>
      </c>
      <c r="V244" s="6" t="str">
        <f>PROPER(TRIM(SUBSTITUTE(U244,"  "," ")))</f>
        <v>Indore</v>
      </c>
      <c r="W244" s="3" t="s">
        <v>86</v>
      </c>
      <c r="X244" s="6" t="str">
        <f>PROPER(TRIM(SUBSTITUTE(W244,"  "," ")))</f>
        <v>Technology</v>
      </c>
      <c r="Y244" s="3" t="s">
        <v>94</v>
      </c>
      <c r="Z244" s="6" t="str">
        <f>PROPER(TRIM(SUBSTITUTE(Y244,"  "," ")))</f>
        <v>Copiers</v>
      </c>
      <c r="AA244" s="3" t="s">
        <v>3360</v>
      </c>
      <c r="AB244" s="3" t="s">
        <v>48</v>
      </c>
      <c r="AC244" s="6" t="str">
        <f>PROPER(TRIM(SUBSTITUTE(AB244,"  "," ")))</f>
        <v>Same Day</v>
      </c>
      <c r="AD244" s="3">
        <v>4</v>
      </c>
      <c r="AE244" s="3">
        <v>4479.92</v>
      </c>
      <c r="AF244" s="3">
        <v>0.15</v>
      </c>
      <c r="AG244" s="17">
        <v>0.15</v>
      </c>
      <c r="AH244" s="6" t="str">
        <f t="shared" si="27"/>
        <v>Valid</v>
      </c>
      <c r="AI244" s="3">
        <v>15231.73</v>
      </c>
      <c r="AJ244" s="3">
        <v>12451.46</v>
      </c>
      <c r="AK244" s="3">
        <v>2780.27</v>
      </c>
      <c r="AL244" s="3" t="s">
        <v>34</v>
      </c>
      <c r="AM244" s="6" t="str">
        <f>PROPER(TRIM(SUBSTITUTE(AL244,".","")))</f>
        <v>Paid</v>
      </c>
      <c r="AN244" s="3" t="s">
        <v>35</v>
      </c>
      <c r="AO244" s="8" t="str">
        <f>PROPER(TRIM(SUBSTITUTE(AN244,".","")))</f>
        <v>Completed</v>
      </c>
      <c r="AP244" t="str">
        <f>IF(COUNTIF($A$2:$A$933, A244) &gt; 1, "Duplicate ID", "Unique")</f>
        <v>Unique</v>
      </c>
      <c r="AR244">
        <f t="shared" si="28"/>
        <v>15231.727999999999</v>
      </c>
      <c r="AS244">
        <f t="shared" si="29"/>
        <v>2780.268</v>
      </c>
      <c r="AT244" s="15">
        <f t="shared" si="30"/>
        <v>0.1825313582280356</v>
      </c>
      <c r="AU244" t="str">
        <f t="shared" si="31"/>
        <v>Clean</v>
      </c>
      <c r="AV244" s="8" t="str">
        <f t="shared" si="32"/>
        <v>Active</v>
      </c>
    </row>
    <row r="245" spans="1:48">
      <c r="A245" s="3" t="s">
        <v>2235</v>
      </c>
      <c r="B245" s="3" t="s">
        <v>2236</v>
      </c>
      <c r="C245" s="9">
        <f>IFERROR(DATEVALUE(TEXT(B245,"DD/MM/YYYY")), IF(ISNUMBER(B245), B245, ""))</f>
        <v>45491</v>
      </c>
      <c r="D245" s="9" t="str">
        <f>IF(B245="","Missing", IF(AND(ISNUMBER(B245)=FALSE, C245=""),"Invalid - Could Not Parse", IF(AND(ISNUMBER(B245)=FALSE, C245&lt;&gt;""),"Text - Converted to Date", IF(ISNUMBER(B245),"Valid","Check"))))</f>
        <v>Text - Converted to Date</v>
      </c>
      <c r="E245" s="5">
        <f t="shared" si="25"/>
        <v>7</v>
      </c>
      <c r="F245" s="5">
        <f t="shared" si="26"/>
        <v>2024</v>
      </c>
      <c r="G245" s="3" t="s">
        <v>2237</v>
      </c>
      <c r="H245" s="9">
        <f>IFERROR(DATEVALUE(TEXT(G245,"DD/MM/YYYY")), IF(ISNUMBER(G245), G245, ""))</f>
        <v>45495</v>
      </c>
      <c r="I245" s="9" t="str">
        <f>IF(G245="","Missing", IF(AND(ISNUMBER(G245)=FALSE, H245=""),"Invalid - Could Not Parse", IF(AND(ISNUMBER(G245)=FALSE, H245&lt;&gt;""),"Text - Converted to Date", IF(ISNUMBER(G245),"Valid","Check"))))</f>
        <v>Text - Converted to Date</v>
      </c>
      <c r="J245" s="9" t="str">
        <f>IF(OR(C245="", H245=""), "Cannot Check - Date Missing", IF(H245&lt;C245, "Invalid - Ship Before Order", "Valid"))</f>
        <v>Valid</v>
      </c>
      <c r="K245" s="5">
        <f>IF(OR(C245="", H245=""), "", IF(H245&lt;C245, "", H245-C245))</f>
        <v>4</v>
      </c>
      <c r="L245" s="3" t="s">
        <v>2238</v>
      </c>
      <c r="M245" s="3" t="s">
        <v>93</v>
      </c>
      <c r="N245" s="4" t="str">
        <f>TRIM(SUBSTITUTE(M245,"_"," "))</f>
        <v>Neha Gupta</v>
      </c>
      <c r="O245" s="3" t="s">
        <v>41</v>
      </c>
      <c r="P245" s="6" t="str">
        <f>PROPER(TRIM(SUBSTITUTE(O245,".","")))</f>
        <v>Small Business</v>
      </c>
      <c r="Q245" s="3" t="s">
        <v>62</v>
      </c>
      <c r="R245" s="7" t="str">
        <f>PROPER(TRIM(SUBSTITUTE(Q245,"  "," ")))</f>
        <v>South</v>
      </c>
      <c r="S245" s="3" t="s">
        <v>63</v>
      </c>
      <c r="T245" s="6" t="str">
        <f>PROPER(TRIM(SUBSTITUTE(S245,"  "," ")))</f>
        <v>Telangana</v>
      </c>
      <c r="U245" s="3" t="s">
        <v>64</v>
      </c>
      <c r="V245" s="6" t="str">
        <f>PROPER(TRIM(SUBSTITUTE(U245,"  "," ")))</f>
        <v>Hyderabad</v>
      </c>
      <c r="W245" s="3" t="s">
        <v>30</v>
      </c>
      <c r="X245" s="6" t="str">
        <f>PROPER(TRIM(SUBSTITUTE(W245,"  "," ")))</f>
        <v>Office Supplies</v>
      </c>
      <c r="Y245" s="3" t="s">
        <v>54</v>
      </c>
      <c r="Z245" s="6" t="str">
        <f>PROPER(TRIM(SUBSTITUTE(Y245,"  "," ")))</f>
        <v>Art</v>
      </c>
      <c r="AA245" s="3" t="s">
        <v>2239</v>
      </c>
      <c r="AB245" s="3" t="s">
        <v>67</v>
      </c>
      <c r="AC245" s="6" t="str">
        <f>PROPER(TRIM(SUBSTITUTE(AB245,"  "," ")))</f>
        <v>Standard Class</v>
      </c>
      <c r="AD245" s="3">
        <v>4</v>
      </c>
      <c r="AE245" s="3">
        <v>808.77</v>
      </c>
      <c r="AF245" s="3">
        <v>0</v>
      </c>
      <c r="AG245" s="17">
        <v>0</v>
      </c>
      <c r="AH245" s="6" t="str">
        <f t="shared" si="27"/>
        <v>Valid</v>
      </c>
      <c r="AI245" s="3">
        <v>3235.08</v>
      </c>
      <c r="AJ245" s="3">
        <v>1848.6</v>
      </c>
      <c r="AK245" s="3">
        <v>1386.48</v>
      </c>
      <c r="AL245" s="3" t="s">
        <v>34</v>
      </c>
      <c r="AM245" s="6" t="str">
        <f>PROPER(TRIM(SUBSTITUTE(AL245,".","")))</f>
        <v>Paid</v>
      </c>
      <c r="AN245" s="3" t="s">
        <v>35</v>
      </c>
      <c r="AO245" s="8" t="str">
        <f>PROPER(TRIM(SUBSTITUTE(AN245,".","")))</f>
        <v>Completed</v>
      </c>
      <c r="AP245" t="str">
        <f>IF(COUNTIF($A$2:$A$933, A245) &gt; 1, "Duplicate ID", "Unique")</f>
        <v>Unique</v>
      </c>
      <c r="AR245">
        <f t="shared" si="28"/>
        <v>3235.08</v>
      </c>
      <c r="AS245">
        <f t="shared" si="29"/>
        <v>1386.48</v>
      </c>
      <c r="AT245" s="15">
        <f t="shared" si="30"/>
        <v>0.42857672762342819</v>
      </c>
      <c r="AU245" t="str">
        <f t="shared" si="31"/>
        <v>Clean</v>
      </c>
      <c r="AV245" s="8" t="str">
        <f t="shared" si="32"/>
        <v>Active</v>
      </c>
    </row>
    <row r="246" spans="1:48">
      <c r="A246" s="3" t="s">
        <v>331</v>
      </c>
      <c r="B246" s="3" t="s">
        <v>332</v>
      </c>
      <c r="C246" s="9">
        <f>IFERROR(DATEVALUE(TEXT(B246,"DD/MM/YYYY")), IF(ISNUMBER(B246), B246, ""))</f>
        <v>45492</v>
      </c>
      <c r="D246" s="9" t="str">
        <f>IF(B246="","Missing", IF(AND(ISNUMBER(B246)=FALSE, C246=""),"Invalid - Could Not Parse", IF(AND(ISNUMBER(B246)=FALSE, C246&lt;&gt;""),"Text - Converted to Date", IF(ISNUMBER(B246),"Valid","Check"))))</f>
        <v>Text - Converted to Date</v>
      </c>
      <c r="E246" s="5">
        <f t="shared" si="25"/>
        <v>7</v>
      </c>
      <c r="F246" s="5">
        <f t="shared" si="26"/>
        <v>2024</v>
      </c>
      <c r="G246" s="3" t="s">
        <v>332</v>
      </c>
      <c r="H246" s="9">
        <f>IFERROR(DATEVALUE(TEXT(G246,"DD/MM/YYYY")), IF(ISNUMBER(G246), G246, ""))</f>
        <v>45492</v>
      </c>
      <c r="I246" s="9" t="str">
        <f>IF(G246="","Missing", IF(AND(ISNUMBER(G246)=FALSE, H246=""),"Invalid - Could Not Parse", IF(AND(ISNUMBER(G246)=FALSE, H246&lt;&gt;""),"Text - Converted to Date", IF(ISNUMBER(G246),"Valid","Check"))))</f>
        <v>Text - Converted to Date</v>
      </c>
      <c r="J246" s="9" t="str">
        <f>IF(OR(C246="", H246=""), "Cannot Check - Date Missing", IF(H246&lt;C246, "Invalid - Ship Before Order", "Valid"))</f>
        <v>Valid</v>
      </c>
      <c r="K246" s="5">
        <f>IF(OR(C246="", H246=""), "", IF(H246&lt;C246, "", H246-C246))</f>
        <v>0</v>
      </c>
      <c r="L246" s="3" t="s">
        <v>333</v>
      </c>
      <c r="M246" s="3" t="s">
        <v>72</v>
      </c>
      <c r="N246" s="4" t="str">
        <f>TRIM(SUBSTITUTE(M246,"_"," "))</f>
        <v>Ananya Rao</v>
      </c>
      <c r="O246" s="3" t="s">
        <v>41</v>
      </c>
      <c r="P246" s="6" t="str">
        <f>PROPER(TRIM(SUBSTITUTE(O246,".","")))</f>
        <v>Small Business</v>
      </c>
      <c r="Q246" s="3" t="s">
        <v>62</v>
      </c>
      <c r="R246" s="7" t="str">
        <f>PROPER(TRIM(SUBSTITUTE(Q246,"  "," ")))</f>
        <v>South</v>
      </c>
      <c r="S246" s="3" t="s">
        <v>242</v>
      </c>
      <c r="T246" s="6" t="str">
        <f>PROPER(TRIM(SUBSTITUTE(S246,"  "," ")))</f>
        <v>Kerala</v>
      </c>
      <c r="U246" s="3" t="s">
        <v>243</v>
      </c>
      <c r="V246" s="6" t="str">
        <f>PROPER(TRIM(SUBSTITUTE(U246,"  "," ")))</f>
        <v>Kochi</v>
      </c>
      <c r="W246" s="3" t="s">
        <v>45</v>
      </c>
      <c r="X246" s="6" t="str">
        <f>PROPER(TRIM(SUBSTITUTE(W246,"  "," ")))</f>
        <v>Furniture</v>
      </c>
      <c r="Y246" s="3" t="s">
        <v>204</v>
      </c>
      <c r="Z246" s="6" t="str">
        <f>PROPER(TRIM(SUBSTITUTE(Y246,"  "," ")))</f>
        <v>Bookcases</v>
      </c>
      <c r="AA246" s="3" t="s">
        <v>334</v>
      </c>
      <c r="AB246" s="3" t="s">
        <v>67</v>
      </c>
      <c r="AC246" s="6" t="str">
        <f>PROPER(TRIM(SUBSTITUTE(AB246,"  "," ")))</f>
        <v>Standard Class</v>
      </c>
      <c r="AD246" s="3">
        <v>9</v>
      </c>
      <c r="AE246" s="3">
        <v>2386.79</v>
      </c>
      <c r="AF246" s="3">
        <v>0.25</v>
      </c>
      <c r="AG246" s="17">
        <v>0.25</v>
      </c>
      <c r="AH246" s="6" t="str">
        <f t="shared" si="27"/>
        <v>Valid</v>
      </c>
      <c r="AI246" s="3">
        <v>16110.83</v>
      </c>
      <c r="AJ246" s="3">
        <v>10680.03</v>
      </c>
      <c r="AK246" s="3">
        <v>5430.8</v>
      </c>
      <c r="AL246" s="3" t="s">
        <v>124</v>
      </c>
      <c r="AM246" s="6" t="str">
        <f>PROPER(TRIM(SUBSTITUTE(AL246,".","")))</f>
        <v>Refunded</v>
      </c>
      <c r="AN246" s="3" t="s">
        <v>125</v>
      </c>
      <c r="AO246" s="8" t="str">
        <f>PROPER(TRIM(SUBSTITUTE(AN246,".","")))</f>
        <v>Returned</v>
      </c>
      <c r="AP246" t="str">
        <f>IF(COUNTIF($A$2:$A$933, A246) &gt; 1, "Duplicate ID", "Unique")</f>
        <v>Unique</v>
      </c>
      <c r="AR246">
        <f t="shared" si="28"/>
        <v>16110.8325</v>
      </c>
      <c r="AS246">
        <f t="shared" si="29"/>
        <v>5430.8024999999998</v>
      </c>
      <c r="AT246" s="15">
        <f t="shared" si="30"/>
        <v>0.33709012243780695</v>
      </c>
      <c r="AU246" t="str">
        <f t="shared" si="31"/>
        <v>Clean</v>
      </c>
      <c r="AV246" s="8" t="str">
        <f t="shared" si="32"/>
        <v>Refund</v>
      </c>
    </row>
    <row r="247" spans="1:48">
      <c r="A247" s="3" t="s">
        <v>737</v>
      </c>
      <c r="B247" s="3" t="s">
        <v>406</v>
      </c>
      <c r="C247" s="9">
        <f>IFERROR(DATEVALUE(TEXT(B247,"DD/MM/YYYY")), IF(ISNUMBER(B247), B247, ""))</f>
        <v>45492</v>
      </c>
      <c r="D247" s="9" t="str">
        <f>IF(B247="","Missing", IF(AND(ISNUMBER(B247)=FALSE, C247=""),"Invalid - Could Not Parse", IF(AND(ISNUMBER(B247)=FALSE, C247&lt;&gt;""),"Text - Converted to Date", IF(ISNUMBER(B247),"Valid","Check"))))</f>
        <v>Text - Converted to Date</v>
      </c>
      <c r="E247" s="5">
        <f t="shared" si="25"/>
        <v>7</v>
      </c>
      <c r="F247" s="5">
        <f t="shared" si="26"/>
        <v>2024</v>
      </c>
      <c r="G247" s="3" t="s">
        <v>738</v>
      </c>
      <c r="H247" s="9">
        <f>IFERROR(DATEVALUE(TEXT(G247,"DD/MM/YYYY")), IF(ISNUMBER(G247), G247, ""))</f>
        <v>45498</v>
      </c>
      <c r="I247" s="9" t="str">
        <f>IF(G247="","Missing", IF(AND(ISNUMBER(G247)=FALSE, H247=""),"Invalid - Could Not Parse", IF(AND(ISNUMBER(G247)=FALSE, H247&lt;&gt;""),"Text - Converted to Date", IF(ISNUMBER(G247),"Valid","Check"))))</f>
        <v>Text - Converted to Date</v>
      </c>
      <c r="J247" s="9" t="str">
        <f>IF(OR(C247="", H247=""), "Cannot Check - Date Missing", IF(H247&lt;C247, "Invalid - Ship Before Order", "Valid"))</f>
        <v>Valid</v>
      </c>
      <c r="K247" s="5">
        <f>IF(OR(C247="", H247=""), "", IF(H247&lt;C247, "", H247-C247))</f>
        <v>6</v>
      </c>
      <c r="L247" s="3" t="s">
        <v>739</v>
      </c>
      <c r="M247" s="3" t="s">
        <v>53</v>
      </c>
      <c r="N247" s="4" t="str">
        <f>TRIM(SUBSTITUTE(M247,"_"," "))</f>
        <v>Isha Nair</v>
      </c>
      <c r="O247" s="3" t="s">
        <v>41</v>
      </c>
      <c r="P247" s="6" t="str">
        <f>PROPER(TRIM(SUBSTITUTE(O247,".","")))</f>
        <v>Small Business</v>
      </c>
      <c r="Q247" s="3" t="s">
        <v>73</v>
      </c>
      <c r="R247" s="7" t="str">
        <f>PROPER(TRIM(SUBSTITUTE(Q247,"  "," ")))</f>
        <v>West</v>
      </c>
      <c r="S247" s="3" t="s">
        <v>249</v>
      </c>
      <c r="T247" s="6" t="str">
        <f>PROPER(TRIM(SUBSTITUTE(S247,"  "," ")))</f>
        <v>Goa</v>
      </c>
      <c r="U247" s="3" t="s">
        <v>250</v>
      </c>
      <c r="V247" s="6" t="str">
        <f>PROPER(TRIM(SUBSTITUTE(U247,"  "," ")))</f>
        <v>Panaji</v>
      </c>
      <c r="W247" s="3" t="s">
        <v>30</v>
      </c>
      <c r="X247" s="6" t="str">
        <f>PROPER(TRIM(SUBSTITUTE(W247,"  "," ")))</f>
        <v>Office Supplies</v>
      </c>
      <c r="Y247" s="3" t="s">
        <v>198</v>
      </c>
      <c r="Z247" s="6" t="str">
        <f>PROPER(TRIM(SUBSTITUTE(Y247,"  "," ")))</f>
        <v>Binders</v>
      </c>
      <c r="AA247" s="3" t="s">
        <v>740</v>
      </c>
      <c r="AB247" s="3" t="s">
        <v>67</v>
      </c>
      <c r="AC247" s="6" t="str">
        <f>PROPER(TRIM(SUBSTITUTE(AB247,"  "," ")))</f>
        <v>Standard Class</v>
      </c>
      <c r="AD247" s="3">
        <v>7</v>
      </c>
      <c r="AE247" s="3">
        <v>2741.29</v>
      </c>
      <c r="AF247" s="3">
        <v>0.05</v>
      </c>
      <c r="AG247" s="17">
        <v>0.05</v>
      </c>
      <c r="AH247" s="6" t="str">
        <f t="shared" si="27"/>
        <v>Valid</v>
      </c>
      <c r="AI247" s="3">
        <v>18229.580000000002</v>
      </c>
      <c r="AJ247" s="3">
        <v>15139.15</v>
      </c>
      <c r="AK247" s="3">
        <v>3090.43</v>
      </c>
      <c r="AL247" s="3" t="s">
        <v>34</v>
      </c>
      <c r="AM247" s="6" t="str">
        <f>PROPER(TRIM(SUBSTITUTE(AL247,".","")))</f>
        <v>Paid</v>
      </c>
      <c r="AN247" s="3" t="s">
        <v>35</v>
      </c>
      <c r="AO247" s="8" t="str">
        <f>PROPER(TRIM(SUBSTITUTE(AN247,".","")))</f>
        <v>Completed</v>
      </c>
      <c r="AP247" t="str">
        <f>IF(COUNTIF($A$2:$A$933, A247) &gt; 1, "Duplicate ID", "Unique")</f>
        <v>Unique</v>
      </c>
      <c r="AR247">
        <f t="shared" si="28"/>
        <v>18229.5785</v>
      </c>
      <c r="AS247">
        <f t="shared" si="29"/>
        <v>3090.4285</v>
      </c>
      <c r="AT247" s="15">
        <f t="shared" si="30"/>
        <v>0.16952824773211295</v>
      </c>
      <c r="AU247" t="str">
        <f t="shared" si="31"/>
        <v>Clean</v>
      </c>
      <c r="AV247" s="8" t="str">
        <f t="shared" si="32"/>
        <v>Active</v>
      </c>
    </row>
    <row r="248" spans="1:48">
      <c r="A248" s="3" t="s">
        <v>1008</v>
      </c>
      <c r="B248" s="3" t="s">
        <v>332</v>
      </c>
      <c r="C248" s="9">
        <f>IFERROR(DATEVALUE(TEXT(B248,"DD/MM/YYYY")), IF(ISNUMBER(B248), B248, ""))</f>
        <v>45492</v>
      </c>
      <c r="D248" s="9" t="str">
        <f>IF(B248="","Missing", IF(AND(ISNUMBER(B248)=FALSE, C248=""),"Invalid - Could Not Parse", IF(AND(ISNUMBER(B248)=FALSE, C248&lt;&gt;""),"Text - Converted to Date", IF(ISNUMBER(B248),"Valid","Check"))))</f>
        <v>Text - Converted to Date</v>
      </c>
      <c r="E248" s="5">
        <f t="shared" si="25"/>
        <v>7</v>
      </c>
      <c r="F248" s="5">
        <f t="shared" si="26"/>
        <v>2024</v>
      </c>
      <c r="G248" s="3" t="s">
        <v>1009</v>
      </c>
      <c r="H248" s="9">
        <f>IFERROR(DATEVALUE(TEXT(G248,"DD/MM/YYYY")), IF(ISNUMBER(G248), G248, ""))</f>
        <v>45493</v>
      </c>
      <c r="I248" s="9" t="str">
        <f>IF(G248="","Missing", IF(AND(ISNUMBER(G248)=FALSE, H248=""),"Invalid - Could Not Parse", IF(AND(ISNUMBER(G248)=FALSE, H248&lt;&gt;""),"Text - Converted to Date", IF(ISNUMBER(G248),"Valid","Check"))))</f>
        <v>Text - Converted to Date</v>
      </c>
      <c r="J248" s="9" t="str">
        <f>IF(OR(C248="", H248=""), "Cannot Check - Date Missing", IF(H248&lt;C248, "Invalid - Ship Before Order", "Valid"))</f>
        <v>Valid</v>
      </c>
      <c r="K248" s="5">
        <f>IF(OR(C248="", H248=""), "", IF(H248&lt;C248, "", H248-C248))</f>
        <v>1</v>
      </c>
      <c r="L248" s="3" t="s">
        <v>365</v>
      </c>
      <c r="M248" s="3" t="s">
        <v>83</v>
      </c>
      <c r="N248" s="4" t="str">
        <f>TRIM(SUBSTITUTE(M248,"_"," "))</f>
        <v>Vikram Iyer</v>
      </c>
      <c r="O248" s="3" t="s">
        <v>26</v>
      </c>
      <c r="P248" s="6" t="str">
        <f>PROPER(TRIM(SUBSTITUTE(O248,".","")))</f>
        <v>Consumer</v>
      </c>
      <c r="Q248" s="3" t="s">
        <v>62</v>
      </c>
      <c r="R248" s="7" t="str">
        <f>PROPER(TRIM(SUBSTITUTE(Q248,"  "," ")))</f>
        <v>South</v>
      </c>
      <c r="S248" s="3" t="s">
        <v>339</v>
      </c>
      <c r="T248" s="6" t="str">
        <f>PROPER(TRIM(SUBSTITUTE(S248,"  "," ")))</f>
        <v>Tamil Nadu</v>
      </c>
      <c r="U248" s="3" t="s">
        <v>340</v>
      </c>
      <c r="V248" s="6" t="str">
        <f>PROPER(TRIM(SUBSTITUTE(U248,"  "," ")))</f>
        <v>Chennai</v>
      </c>
      <c r="W248" s="3" t="s">
        <v>45</v>
      </c>
      <c r="X248" s="6" t="str">
        <f>PROPER(TRIM(SUBSTITUTE(W248,"  "," ")))</f>
        <v>Furniture</v>
      </c>
      <c r="Y248" s="3" t="s">
        <v>46</v>
      </c>
      <c r="Z248" s="6" t="str">
        <f>PROPER(TRIM(SUBSTITUTE(Y248,"  "," ")))</f>
        <v>Tables</v>
      </c>
      <c r="AA248" s="3" t="s">
        <v>1010</v>
      </c>
      <c r="AB248" s="3" t="s">
        <v>56</v>
      </c>
      <c r="AC248" s="6" t="str">
        <f>PROPER(TRIM(SUBSTITUTE(AB248,"  "," ")))</f>
        <v>First Class</v>
      </c>
      <c r="AD248" s="3">
        <v>7</v>
      </c>
      <c r="AE248" s="3">
        <v>3608.43</v>
      </c>
      <c r="AF248" s="3">
        <v>0.05</v>
      </c>
      <c r="AG248" s="17">
        <v>0.05</v>
      </c>
      <c r="AH248" s="6" t="str">
        <f t="shared" si="27"/>
        <v>Valid</v>
      </c>
      <c r="AI248" s="3">
        <v>23996.06</v>
      </c>
      <c r="AJ248" s="3">
        <v>20167.28</v>
      </c>
      <c r="AK248" s="3">
        <v>3828.78</v>
      </c>
      <c r="AL248" s="3" t="s">
        <v>34</v>
      </c>
      <c r="AM248" s="6" t="str">
        <f>PROPER(TRIM(SUBSTITUTE(AL248,".","")))</f>
        <v>Paid</v>
      </c>
      <c r="AN248" s="3" t="s">
        <v>35</v>
      </c>
      <c r="AO248" s="8" t="str">
        <f>PROPER(TRIM(SUBSTITUTE(AN248,".","")))</f>
        <v>Completed</v>
      </c>
      <c r="AP248" t="str">
        <f>IF(COUNTIF($A$2:$A$933, A248) &gt; 1, "Duplicate ID", "Unique")</f>
        <v>Unique</v>
      </c>
      <c r="AR248">
        <f t="shared" si="28"/>
        <v>23996.059499999996</v>
      </c>
      <c r="AS248">
        <f t="shared" si="29"/>
        <v>3828.7794999999969</v>
      </c>
      <c r="AT248" s="15">
        <f t="shared" si="30"/>
        <v>0.15955867670689838</v>
      </c>
      <c r="AU248" t="str">
        <f t="shared" si="31"/>
        <v>Clean</v>
      </c>
      <c r="AV248" s="8" t="str">
        <f t="shared" si="32"/>
        <v>Active</v>
      </c>
    </row>
    <row r="249" spans="1:48">
      <c r="A249" s="3" t="s">
        <v>1971</v>
      </c>
      <c r="B249" s="3" t="s">
        <v>1972</v>
      </c>
      <c r="C249" s="9">
        <f>IFERROR(DATEVALUE(TEXT(B249,"DD/MM/YYYY")), IF(ISNUMBER(B249), B249, ""))</f>
        <v>45492</v>
      </c>
      <c r="D249" s="9" t="str">
        <f>IF(B249="","Missing", IF(AND(ISNUMBER(B249)=FALSE, C249=""),"Invalid - Could Not Parse", IF(AND(ISNUMBER(B249)=FALSE, C249&lt;&gt;""),"Text - Converted to Date", IF(ISNUMBER(B249),"Valid","Check"))))</f>
        <v>Text - Converted to Date</v>
      </c>
      <c r="E249" s="5">
        <f t="shared" si="25"/>
        <v>7</v>
      </c>
      <c r="F249" s="5">
        <f t="shared" si="26"/>
        <v>2024</v>
      </c>
      <c r="G249" s="3" t="s">
        <v>1973</v>
      </c>
      <c r="H249" s="9">
        <f>IFERROR(DATEVALUE(TEXT(G249,"DD/MM/YYYY")), IF(ISNUMBER(G249), G249, ""))</f>
        <v>45499</v>
      </c>
      <c r="I249" s="9" t="str">
        <f>IF(G249="","Missing", IF(AND(ISNUMBER(G249)=FALSE, H249=""),"Invalid - Could Not Parse", IF(AND(ISNUMBER(G249)=FALSE, H249&lt;&gt;""),"Text - Converted to Date", IF(ISNUMBER(G249),"Valid","Check"))))</f>
        <v>Text - Converted to Date</v>
      </c>
      <c r="J249" s="9" t="str">
        <f>IF(OR(C249="", H249=""), "Cannot Check - Date Missing", IF(H249&lt;C249, "Invalid - Ship Before Order", "Valid"))</f>
        <v>Valid</v>
      </c>
      <c r="K249" s="5">
        <f>IF(OR(C249="", H249=""), "", IF(H249&lt;C249, "", H249-C249))</f>
        <v>7</v>
      </c>
      <c r="L249" s="3" t="s">
        <v>1974</v>
      </c>
      <c r="M249" s="3" t="s">
        <v>83</v>
      </c>
      <c r="N249" s="4" t="str">
        <f>TRIM(SUBSTITUTE(M249,"_"," "))</f>
        <v>Vikram Iyer</v>
      </c>
      <c r="O249" s="3" t="s">
        <v>108</v>
      </c>
      <c r="P249" s="6" t="str">
        <f>PROPER(TRIM(SUBSTITUTE(O249,".","")))</f>
        <v>Corporate</v>
      </c>
      <c r="Q249" s="3" t="s">
        <v>27</v>
      </c>
      <c r="R249" s="7" t="str">
        <f>PROPER(TRIM(SUBSTITUTE(Q249,"  "," ")))</f>
        <v>North</v>
      </c>
      <c r="S249" s="3" t="s">
        <v>154</v>
      </c>
      <c r="T249" s="6" t="str">
        <f>PROPER(TRIM(SUBSTITUTE(S249,"  "," ")))</f>
        <v>Punjab</v>
      </c>
      <c r="U249" s="3" t="s">
        <v>155</v>
      </c>
      <c r="V249" s="6" t="str">
        <f>PROPER(TRIM(SUBSTITUTE(U249,"  "," ")))</f>
        <v>Ludhiana</v>
      </c>
      <c r="W249" s="3" t="s">
        <v>86</v>
      </c>
      <c r="X249" s="6" t="str">
        <f>PROPER(TRIM(SUBSTITUTE(W249,"  "," ")))</f>
        <v>Technology</v>
      </c>
      <c r="Y249" s="3" t="s">
        <v>382</v>
      </c>
      <c r="Z249" s="6" t="str">
        <f>PROPER(TRIM(SUBSTITUTE(Y249,"  "," ")))</f>
        <v>Machines</v>
      </c>
      <c r="AA249" s="3" t="s">
        <v>1975</v>
      </c>
      <c r="AB249" s="3" t="s">
        <v>48</v>
      </c>
      <c r="AC249" s="6" t="str">
        <f>PROPER(TRIM(SUBSTITUTE(AB249,"  "," ")))</f>
        <v>Same Day</v>
      </c>
      <c r="AD249" s="3">
        <v>2</v>
      </c>
      <c r="AE249" s="3">
        <v>1263.6500000000001</v>
      </c>
      <c r="AF249" s="3">
        <v>0.2</v>
      </c>
      <c r="AG249" s="17">
        <v>0.2</v>
      </c>
      <c r="AH249" s="6" t="str">
        <f t="shared" si="27"/>
        <v>Valid</v>
      </c>
      <c r="AI249" s="3">
        <v>2021.84</v>
      </c>
      <c r="AJ249" s="3">
        <v>1355.22</v>
      </c>
      <c r="AK249" s="3">
        <v>666.62</v>
      </c>
      <c r="AL249" s="3" t="s">
        <v>34</v>
      </c>
      <c r="AM249" s="6" t="str">
        <f>PROPER(TRIM(SUBSTITUTE(AL249,".","")))</f>
        <v>Paid</v>
      </c>
      <c r="AN249" s="3" t="s">
        <v>35</v>
      </c>
      <c r="AO249" s="8" t="str">
        <f>PROPER(TRIM(SUBSTITUTE(AN249,".","")))</f>
        <v>Completed</v>
      </c>
      <c r="AP249" t="str">
        <f>IF(COUNTIF($A$2:$A$933, A249) &gt; 1, "Duplicate ID", "Unique")</f>
        <v>Unique</v>
      </c>
      <c r="AR249">
        <f t="shared" si="28"/>
        <v>2021.8400000000001</v>
      </c>
      <c r="AS249">
        <f t="shared" si="29"/>
        <v>666.62000000000012</v>
      </c>
      <c r="AT249" s="15">
        <f t="shared" si="30"/>
        <v>0.32970957147944452</v>
      </c>
      <c r="AU249" t="str">
        <f t="shared" si="31"/>
        <v>Clean</v>
      </c>
      <c r="AV249" s="8" t="str">
        <f t="shared" si="32"/>
        <v>Active</v>
      </c>
    </row>
    <row r="250" spans="1:48">
      <c r="A250" s="3" t="s">
        <v>3518</v>
      </c>
      <c r="B250" s="3" t="s">
        <v>406</v>
      </c>
      <c r="C250" s="9">
        <f>IFERROR(DATEVALUE(TEXT(B250,"DD/MM/YYYY")), IF(ISNUMBER(B250), B250, ""))</f>
        <v>45492</v>
      </c>
      <c r="D250" s="9" t="str">
        <f>IF(B250="","Missing", IF(AND(ISNUMBER(B250)=FALSE, C250=""),"Invalid - Could Not Parse", IF(AND(ISNUMBER(B250)=FALSE, C250&lt;&gt;""),"Text - Converted to Date", IF(ISNUMBER(B250),"Valid","Check"))))</f>
        <v>Text - Converted to Date</v>
      </c>
      <c r="E250" s="5">
        <f t="shared" si="25"/>
        <v>7</v>
      </c>
      <c r="F250" s="5">
        <f t="shared" si="26"/>
        <v>2024</v>
      </c>
      <c r="G250" s="3" t="s">
        <v>3519</v>
      </c>
      <c r="H250" s="9">
        <f>IFERROR(DATEVALUE(TEXT(G250,"DD/MM/YYYY")), IF(ISNUMBER(G250), G250, ""))</f>
        <v>45499</v>
      </c>
      <c r="I250" s="9" t="str">
        <f>IF(G250="","Missing", IF(AND(ISNUMBER(G250)=FALSE, H250=""),"Invalid - Could Not Parse", IF(AND(ISNUMBER(G250)=FALSE, H250&lt;&gt;""),"Text - Converted to Date", IF(ISNUMBER(G250),"Valid","Check"))))</f>
        <v>Text - Converted to Date</v>
      </c>
      <c r="J250" s="9" t="str">
        <f>IF(OR(C250="", H250=""), "Cannot Check - Date Missing", IF(H250&lt;C250, "Invalid - Ship Before Order", "Valid"))</f>
        <v>Valid</v>
      </c>
      <c r="K250" s="5">
        <f>IF(OR(C250="", H250=""), "", IF(H250&lt;C250, "", H250-C250))</f>
        <v>7</v>
      </c>
      <c r="L250" s="3" t="s">
        <v>3520</v>
      </c>
      <c r="M250" s="3" t="s">
        <v>61</v>
      </c>
      <c r="N250" s="4" t="str">
        <f>TRIM(SUBSTITUTE(M250,"_"," "))</f>
        <v>Arjun Bose</v>
      </c>
      <c r="O250" s="3" t="s">
        <v>115</v>
      </c>
      <c r="P250" s="6" t="str">
        <f>PROPER(TRIM(SUBSTITUTE(O250,".","")))</f>
        <v>Home Office</v>
      </c>
      <c r="Q250" s="3" t="s">
        <v>62</v>
      </c>
      <c r="R250" s="7" t="str">
        <f>PROPER(TRIM(SUBSTITUTE(Q250,"  "," ")))</f>
        <v>South</v>
      </c>
      <c r="S250" s="3" t="s">
        <v>229</v>
      </c>
      <c r="T250" s="6" t="str">
        <f>PROPER(TRIM(SUBSTITUTE(S250,"  "," ")))</f>
        <v>Karnataka</v>
      </c>
      <c r="U250" s="3" t="s">
        <v>230</v>
      </c>
      <c r="V250" s="6" t="str">
        <f>PROPER(TRIM(SUBSTITUTE(U250,"  "," ")))</f>
        <v>Bengaluru</v>
      </c>
      <c r="W250" s="3" t="s">
        <v>45</v>
      </c>
      <c r="X250" s="6" t="str">
        <f>PROPER(TRIM(SUBSTITUTE(W250,"  "," ")))</f>
        <v>Furniture</v>
      </c>
      <c r="Y250" s="3" t="s">
        <v>46</v>
      </c>
      <c r="Z250" s="6" t="str">
        <f>PROPER(TRIM(SUBSTITUTE(Y250,"  "," ")))</f>
        <v>Tables</v>
      </c>
      <c r="AA250" s="3" t="s">
        <v>3521</v>
      </c>
      <c r="AB250" s="3" t="s">
        <v>33</v>
      </c>
      <c r="AC250" s="6" t="str">
        <f>PROPER(TRIM(SUBSTITUTE(AB250,"  "," ")))</f>
        <v>Second Class</v>
      </c>
      <c r="AD250" s="3">
        <v>5</v>
      </c>
      <c r="AE250" s="3">
        <v>3986.01</v>
      </c>
      <c r="AF250" s="3">
        <v>0.25</v>
      </c>
      <c r="AG250" s="17">
        <v>0.25</v>
      </c>
      <c r="AH250" s="6" t="str">
        <f t="shared" si="27"/>
        <v>Valid</v>
      </c>
      <c r="AI250" s="3">
        <v>14947.54</v>
      </c>
      <c r="AJ250" s="3">
        <v>9438.4599999999991</v>
      </c>
      <c r="AK250" s="3">
        <v>5509.08</v>
      </c>
      <c r="AL250" s="3" t="s">
        <v>34</v>
      </c>
      <c r="AM250" s="6" t="str">
        <f>PROPER(TRIM(SUBSTITUTE(AL250,".","")))</f>
        <v>Paid</v>
      </c>
      <c r="AN250" s="3" t="s">
        <v>35</v>
      </c>
      <c r="AO250" s="8" t="str">
        <f>PROPER(TRIM(SUBSTITUTE(AN250,".","")))</f>
        <v>Completed</v>
      </c>
      <c r="AP250" t="str">
        <f>IF(COUNTIF($A$2:$A$933, A250) &gt; 1, "Duplicate ID", "Unique")</f>
        <v>Unique</v>
      </c>
      <c r="AR250">
        <f t="shared" si="28"/>
        <v>14947.537500000002</v>
      </c>
      <c r="AS250">
        <f t="shared" si="29"/>
        <v>5509.0775000000031</v>
      </c>
      <c r="AT250" s="15">
        <f t="shared" si="30"/>
        <v>0.36856087499362367</v>
      </c>
      <c r="AU250" t="str">
        <f t="shared" si="31"/>
        <v>Clean</v>
      </c>
      <c r="AV250" s="8" t="str">
        <f t="shared" si="32"/>
        <v>Active</v>
      </c>
    </row>
    <row r="251" spans="1:48">
      <c r="A251" s="3" t="s">
        <v>399</v>
      </c>
      <c r="B251" s="3" t="s">
        <v>400</v>
      </c>
      <c r="C251" s="9">
        <f>IFERROR(DATEVALUE(TEXT(B251,"DD/MM/YYYY")), IF(ISNUMBER(B251), B251, ""))</f>
        <v>45493</v>
      </c>
      <c r="D251" s="9" t="str">
        <f>IF(B251="","Missing", IF(AND(ISNUMBER(B251)=FALSE, C251=""),"Invalid - Could Not Parse", IF(AND(ISNUMBER(B251)=FALSE, C251&lt;&gt;""),"Text - Converted to Date", IF(ISNUMBER(B251),"Valid","Check"))))</f>
        <v>Text - Converted to Date</v>
      </c>
      <c r="E251" s="5">
        <f t="shared" si="25"/>
        <v>7</v>
      </c>
      <c r="F251" s="5">
        <f t="shared" si="26"/>
        <v>2024</v>
      </c>
      <c r="G251" s="3" t="s">
        <v>401</v>
      </c>
      <c r="H251" s="9">
        <f>IFERROR(DATEVALUE(TEXT(G251,"DD/MM/YYYY")), IF(ISNUMBER(G251), G251, ""))</f>
        <v>45498</v>
      </c>
      <c r="I251" s="9" t="str">
        <f>IF(G251="","Missing", IF(AND(ISNUMBER(G251)=FALSE, H251=""),"Invalid - Could Not Parse", IF(AND(ISNUMBER(G251)=FALSE, H251&lt;&gt;""),"Text - Converted to Date", IF(ISNUMBER(G251),"Valid","Check"))))</f>
        <v>Text - Converted to Date</v>
      </c>
      <c r="J251" s="9" t="str">
        <f>IF(OR(C251="", H251=""), "Cannot Check - Date Missing", IF(H251&lt;C251, "Invalid - Ship Before Order", "Valid"))</f>
        <v>Valid</v>
      </c>
      <c r="K251" s="5">
        <f>IF(OR(C251="", H251=""), "", IF(H251&lt;C251, "", H251-C251))</f>
        <v>5</v>
      </c>
      <c r="L251" s="3" t="s">
        <v>402</v>
      </c>
      <c r="M251" s="3" t="s">
        <v>142</v>
      </c>
      <c r="N251" s="4" t="str">
        <f>TRIM(SUBSTITUTE(M251,"_"," "))</f>
        <v>Priya Menon</v>
      </c>
      <c r="O251" s="3" t="s">
        <v>108</v>
      </c>
      <c r="P251" s="6" t="str">
        <f>PROPER(TRIM(SUBSTITUTE(O251,".","")))</f>
        <v>Corporate</v>
      </c>
      <c r="Q251" s="3" t="s">
        <v>42</v>
      </c>
      <c r="R251" s="7" t="str">
        <f>PROPER(TRIM(SUBSTITUTE(Q251,"  "," ")))</f>
        <v>East</v>
      </c>
      <c r="S251" s="3" t="s">
        <v>216</v>
      </c>
      <c r="T251" s="6" t="str">
        <f>PROPER(TRIM(SUBSTITUTE(S251,"  "," ")))</f>
        <v>Assam</v>
      </c>
      <c r="U251" s="3" t="s">
        <v>217</v>
      </c>
      <c r="V251" s="6" t="str">
        <f>PROPER(TRIM(SUBSTITUTE(U251,"  "," ")))</f>
        <v>Guwahati</v>
      </c>
      <c r="W251" s="3" t="s">
        <v>30</v>
      </c>
      <c r="X251" s="6" t="str">
        <f>PROPER(TRIM(SUBSTITUTE(W251,"  "," ")))</f>
        <v>Office Supplies</v>
      </c>
      <c r="Y251" s="3" t="s">
        <v>109</v>
      </c>
      <c r="Z251" s="6" t="str">
        <f>PROPER(TRIM(SUBSTITUTE(Y251,"  "," ")))</f>
        <v>Labels</v>
      </c>
      <c r="AA251" s="3" t="s">
        <v>403</v>
      </c>
      <c r="AB251" s="3" t="s">
        <v>48</v>
      </c>
      <c r="AC251" s="6" t="str">
        <f>PROPER(TRIM(SUBSTITUTE(AB251,"  "," ")))</f>
        <v>Same Day</v>
      </c>
      <c r="AD251" s="3">
        <v>5</v>
      </c>
      <c r="AE251" s="3">
        <v>4133.8500000000004</v>
      </c>
      <c r="AF251" s="3">
        <v>0.2</v>
      </c>
      <c r="AG251" s="17">
        <v>0.2</v>
      </c>
      <c r="AH251" s="6" t="str">
        <f t="shared" si="27"/>
        <v>Valid</v>
      </c>
      <c r="AI251" s="3">
        <v>16535.400000000001</v>
      </c>
      <c r="AJ251" s="3">
        <v>12990.21</v>
      </c>
      <c r="AK251" s="3">
        <v>3545.19</v>
      </c>
      <c r="AL251" s="3" t="s">
        <v>34</v>
      </c>
      <c r="AM251" s="6" t="str">
        <f>PROPER(TRIM(SUBSTITUTE(AL251,".","")))</f>
        <v>Paid</v>
      </c>
      <c r="AN251" s="3" t="s">
        <v>78</v>
      </c>
      <c r="AO251" s="8" t="str">
        <f>PROPER(TRIM(SUBSTITUTE(AN251,".","")))</f>
        <v>Cancelled</v>
      </c>
      <c r="AP251" t="str">
        <f>IF(COUNTIF($A$2:$A$933, A251) &gt; 1, "Duplicate ID", "Unique")</f>
        <v>Unique</v>
      </c>
      <c r="AR251">
        <f t="shared" si="28"/>
        <v>16535.400000000001</v>
      </c>
      <c r="AS251">
        <f t="shared" si="29"/>
        <v>3545.1900000000023</v>
      </c>
      <c r="AT251" s="15">
        <f t="shared" si="30"/>
        <v>0.21440001451431487</v>
      </c>
      <c r="AU251" t="str">
        <f t="shared" si="31"/>
        <v>Clean</v>
      </c>
      <c r="AV251" s="8" t="str">
        <f t="shared" si="32"/>
        <v>Cancelled</v>
      </c>
    </row>
    <row r="252" spans="1:48">
      <c r="A252" s="3" t="s">
        <v>21</v>
      </c>
      <c r="B252" s="3" t="s">
        <v>22</v>
      </c>
      <c r="C252" s="9">
        <f>IFERROR(DATEVALUE(TEXT(B252,"DD/MM/YYYY")), IF(ISNUMBER(B252), B252, ""))</f>
        <v>45494</v>
      </c>
      <c r="D252" s="9" t="str">
        <f>IF(B252="","Missing", IF(AND(ISNUMBER(B252)=FALSE, C252=""),"Invalid - Could Not Parse", IF(AND(ISNUMBER(B252)=FALSE, C252&lt;&gt;""),"Text - Converted to Date", IF(ISNUMBER(B252),"Valid","Check"))))</f>
        <v>Text - Converted to Date</v>
      </c>
      <c r="E252" s="5">
        <f t="shared" si="25"/>
        <v>7</v>
      </c>
      <c r="F252" s="5">
        <f t="shared" si="26"/>
        <v>2024</v>
      </c>
      <c r="G252" s="3" t="s">
        <v>23</v>
      </c>
      <c r="H252" s="9">
        <f>IFERROR(DATEVALUE(MID(G252,4,2) &amp; "/" &amp; LEFT(G252,2) &amp; "/" &amp; RIGHT(G252,4)), IF(ISNUMBER(G252), G252, IFERROR(DATEVALUE(G252), "")))</f>
        <v>45500</v>
      </c>
      <c r="I252" s="9" t="str">
        <f>IF(G252="","Missing", IF(AND(ISNUMBER(G252)=FALSE, H252=""),"Invalid - Could Not Parse", IF(AND(ISNUMBER(G252)=FALSE, H252&lt;&gt;""),"Text - Converted to Date", IF(ISNUMBER(G252),"Valid","Check"))))</f>
        <v>Text - Converted to Date</v>
      </c>
      <c r="J252" s="9" t="str">
        <f>IF(OR(C252="", H252=""), "Cannot Check - Date Missing", IF(H252&lt;C252, "Invalid - Ship Before Order", "Valid"))</f>
        <v>Valid</v>
      </c>
      <c r="K252" s="5">
        <f>IF(OR(C252="", H252=""), "", IF(H252&lt;C252, "", H252-C252))</f>
        <v>6</v>
      </c>
      <c r="L252" s="3" t="s">
        <v>24</v>
      </c>
      <c r="M252" s="3" t="s">
        <v>25</v>
      </c>
      <c r="N252" s="4" t="str">
        <f>TRIM(SUBSTITUTE(M252,"_"," "))</f>
        <v>Karan Malhotra</v>
      </c>
      <c r="O252" s="3" t="s">
        <v>26</v>
      </c>
      <c r="P252" s="6" t="str">
        <f>PROPER(TRIM(SUBSTITUTE(O252,".","")))</f>
        <v>Consumer</v>
      </c>
      <c r="Q252" s="3" t="s">
        <v>27</v>
      </c>
      <c r="R252" s="7" t="str">
        <f>PROPER(TRIM(SUBSTITUTE(Q252,"  "," ")))</f>
        <v>North</v>
      </c>
      <c r="S252" s="3" t="s">
        <v>28</v>
      </c>
      <c r="T252" s="6" t="str">
        <f>PROPER(TRIM(SUBSTITUTE(S252,"  "," ")))</f>
        <v>Rajasthan</v>
      </c>
      <c r="U252" s="3" t="s">
        <v>29</v>
      </c>
      <c r="V252" s="6" t="str">
        <f>PROPER(TRIM(SUBSTITUTE(U252,"  "," ")))</f>
        <v>Jaipur</v>
      </c>
      <c r="W252" s="3" t="s">
        <v>30</v>
      </c>
      <c r="X252" s="6" t="str">
        <f>PROPER(TRIM(SUBSTITUTE(W252,"  "," ")))</f>
        <v>Office Supplies</v>
      </c>
      <c r="Y252" s="3" t="s">
        <v>31</v>
      </c>
      <c r="Z252" s="6" t="str">
        <f>PROPER(TRIM(SUBSTITUTE(Y252,"  "," ")))</f>
        <v>Paper</v>
      </c>
      <c r="AA252" s="3" t="s">
        <v>32</v>
      </c>
      <c r="AB252" s="3" t="s">
        <v>33</v>
      </c>
      <c r="AC252" s="6" t="str">
        <f>PROPER(TRIM(SUBSTITUTE(AB252,"  "," ")))</f>
        <v>Second Class</v>
      </c>
      <c r="AD252" s="3">
        <v>8</v>
      </c>
      <c r="AE252" s="3">
        <v>2976.45</v>
      </c>
      <c r="AF252" s="3">
        <v>0.2</v>
      </c>
      <c r="AG252" s="17">
        <v>0.2</v>
      </c>
      <c r="AH252" s="6" t="str">
        <f t="shared" si="27"/>
        <v>Valid</v>
      </c>
      <c r="AI252" s="3">
        <v>19049.28</v>
      </c>
      <c r="AJ252" s="3">
        <v>15841.89</v>
      </c>
      <c r="AK252" s="3">
        <v>3207.39</v>
      </c>
      <c r="AL252" s="3" t="s">
        <v>34</v>
      </c>
      <c r="AM252" s="6" t="str">
        <f>PROPER(TRIM(SUBSTITUTE(AL252,".","")))</f>
        <v>Paid</v>
      </c>
      <c r="AN252" s="3" t="s">
        <v>35</v>
      </c>
      <c r="AO252" s="8" t="str">
        <f>PROPER(TRIM(SUBSTITUTE(AN252,".","")))</f>
        <v>Completed</v>
      </c>
      <c r="AP252" t="str">
        <f>IF(COUNTIF($A$2:$A$933, A252) &gt; 1, "Duplicate ID", "Unique")</f>
        <v>Unique</v>
      </c>
      <c r="AR252">
        <f t="shared" si="28"/>
        <v>19049.28</v>
      </c>
      <c r="AS252">
        <f t="shared" si="29"/>
        <v>3207.3899999999994</v>
      </c>
      <c r="AT252" s="15">
        <f t="shared" si="30"/>
        <v>0.16837329284886357</v>
      </c>
      <c r="AU252" t="str">
        <f t="shared" si="31"/>
        <v>Clean</v>
      </c>
      <c r="AV252" s="8" t="str">
        <f t="shared" si="32"/>
        <v>Active</v>
      </c>
    </row>
    <row r="253" spans="1:48">
      <c r="A253" s="3" t="s">
        <v>714</v>
      </c>
      <c r="B253" s="3" t="s">
        <v>22</v>
      </c>
      <c r="C253" s="9">
        <f>IFERROR(DATEVALUE(TEXT(B253,"DD/MM/YYYY")), IF(ISNUMBER(B253), B253, ""))</f>
        <v>45494</v>
      </c>
      <c r="D253" s="9" t="str">
        <f>IF(B253="","Missing", IF(AND(ISNUMBER(B253)=FALSE, C253=""),"Invalid - Could Not Parse", IF(AND(ISNUMBER(B253)=FALSE, C253&lt;&gt;""),"Text - Converted to Date", IF(ISNUMBER(B253),"Valid","Check"))))</f>
        <v>Text - Converted to Date</v>
      </c>
      <c r="E253" s="5">
        <f t="shared" si="25"/>
        <v>7</v>
      </c>
      <c r="F253" s="5">
        <f t="shared" si="26"/>
        <v>2024</v>
      </c>
      <c r="G253" s="3" t="s">
        <v>715</v>
      </c>
      <c r="H253" s="9">
        <f>IFERROR(DATEVALUE(MID(G253,4,2) &amp; "/" &amp; LEFT(G253,2) &amp; "/" &amp; RIGHT(G253,4)), IF(ISNUMBER(G253), G253, IFERROR(DATEVALUE(G253), "")))</f>
        <v>45497</v>
      </c>
      <c r="I253" s="9" t="str">
        <f>IF(G253="","Missing", IF(AND(ISNUMBER(G253)=FALSE, H253=""),"Invalid - Could Not Parse", IF(AND(ISNUMBER(G253)=FALSE, H253&lt;&gt;""),"Text - Converted to Date", IF(ISNUMBER(G253),"Valid","Check"))))</f>
        <v>Text - Converted to Date</v>
      </c>
      <c r="J253" s="9" t="str">
        <f>IF(OR(C253="", H253=""), "Cannot Check - Date Missing", IF(H253&lt;C253, "Invalid - Ship Before Order", "Valid"))</f>
        <v>Valid</v>
      </c>
      <c r="K253" s="5">
        <f>IF(OR(C253="", H253=""), "", IF(H253&lt;C253, "", H253-C253))</f>
        <v>3</v>
      </c>
      <c r="L253" s="3" t="s">
        <v>716</v>
      </c>
      <c r="M253" s="3" t="s">
        <v>53</v>
      </c>
      <c r="N253" s="4" t="str">
        <f>TRIM(SUBSTITUTE(M253,"_"," "))</f>
        <v>Isha Nair</v>
      </c>
      <c r="O253" s="3" t="s">
        <v>108</v>
      </c>
      <c r="P253" s="6" t="str">
        <f>PROPER(TRIM(SUBSTITUTE(O253,".","")))</f>
        <v>Corporate</v>
      </c>
      <c r="Q253" s="3" t="s">
        <v>62</v>
      </c>
      <c r="R253" s="7" t="str">
        <f>PROPER(TRIM(SUBSTITUTE(Q253,"  "," ")))</f>
        <v>South</v>
      </c>
      <c r="S253" s="3" t="s">
        <v>229</v>
      </c>
      <c r="T253" s="6" t="str">
        <f>PROPER(TRIM(SUBSTITUTE(S253,"  "," ")))</f>
        <v>Karnataka</v>
      </c>
      <c r="U253" s="3" t="s">
        <v>230</v>
      </c>
      <c r="V253" s="6" t="str">
        <f>PROPER(TRIM(SUBSTITUTE(U253,"  "," ")))</f>
        <v>Bengaluru</v>
      </c>
      <c r="W253" s="3" t="s">
        <v>86</v>
      </c>
      <c r="X253" s="6" t="str">
        <f>PROPER(TRIM(SUBSTITUTE(W253,"  "," ")))</f>
        <v>Technology</v>
      </c>
      <c r="Y253" s="3" t="s">
        <v>94</v>
      </c>
      <c r="Z253" s="6" t="str">
        <f>PROPER(TRIM(SUBSTITUTE(Y253,"  "," ")))</f>
        <v>Copiers</v>
      </c>
      <c r="AA253" s="3" t="s">
        <v>717</v>
      </c>
      <c r="AB253" s="3" t="s">
        <v>67</v>
      </c>
      <c r="AC253" s="6" t="str">
        <f>PROPER(TRIM(SUBSTITUTE(AB253,"  "," ")))</f>
        <v>Standard Class</v>
      </c>
      <c r="AD253" s="3">
        <v>9</v>
      </c>
      <c r="AE253" s="3">
        <v>465.06</v>
      </c>
      <c r="AF253" s="3">
        <v>-0.15</v>
      </c>
      <c r="AG253" s="17">
        <v>-0.15</v>
      </c>
      <c r="AH253" s="6" t="str">
        <f t="shared" si="27"/>
        <v>Invalid - Negative</v>
      </c>
      <c r="AI253" s="3">
        <v>4185.54</v>
      </c>
      <c r="AJ253" s="3">
        <v>3443.74</v>
      </c>
      <c r="AK253" s="3">
        <v>741.8</v>
      </c>
      <c r="AL253" s="3" t="s">
        <v>34</v>
      </c>
      <c r="AM253" s="6" t="str">
        <f>PROPER(TRIM(SUBSTITUTE(AL253,".","")))</f>
        <v>Paid</v>
      </c>
      <c r="AN253" s="3" t="s">
        <v>35</v>
      </c>
      <c r="AO253" s="8" t="str">
        <f>PROPER(TRIM(SUBSTITUTE(AN253,".","")))</f>
        <v>Completed</v>
      </c>
      <c r="AP253" t="str">
        <f>IF(COUNTIF($A$2:$A$933, A253) &gt; 1, "Duplicate ID", "Unique")</f>
        <v>Unique</v>
      </c>
      <c r="AR253">
        <f t="shared" si="28"/>
        <v>4813.3709999999992</v>
      </c>
      <c r="AS253">
        <f t="shared" si="29"/>
        <v>1369.6309999999994</v>
      </c>
      <c r="AT253" s="15">
        <f t="shared" si="30"/>
        <v>0.28454715001191466</v>
      </c>
      <c r="AU253" t="str">
        <f t="shared" si="31"/>
        <v>Invalid</v>
      </c>
      <c r="AV253" s="8" t="str">
        <f t="shared" si="32"/>
        <v>Active</v>
      </c>
    </row>
    <row r="254" spans="1:48">
      <c r="A254" s="3" t="s">
        <v>126</v>
      </c>
      <c r="B254" s="3" t="s">
        <v>127</v>
      </c>
      <c r="C254" s="9">
        <f>IFERROR(DATEVALUE(TEXT(B254,"DD/MM/YYYY")), IF(ISNUMBER(B254), B254, ""))</f>
        <v>45495</v>
      </c>
      <c r="D254" s="9" t="str">
        <f>IF(B254="","Missing", IF(AND(ISNUMBER(B254)=FALSE, C254=""),"Invalid - Could Not Parse", IF(AND(ISNUMBER(B254)=FALSE, C254&lt;&gt;""),"Text - Converted to Date", IF(ISNUMBER(B254),"Valid","Check"))))</f>
        <v>Text - Converted to Date</v>
      </c>
      <c r="E254" s="5">
        <f t="shared" si="25"/>
        <v>7</v>
      </c>
      <c r="F254" s="5">
        <f t="shared" si="26"/>
        <v>2024</v>
      </c>
      <c r="G254" s="3" t="s">
        <v>128</v>
      </c>
      <c r="H254" s="9">
        <f>IFERROR(DATEVALUE(TEXT(G254,"DD/MM/YYYY")), IF(ISNUMBER(G254), G254, ""))</f>
        <v>45496</v>
      </c>
      <c r="I254" s="9" t="str">
        <f>IF(G254="","Missing", IF(AND(ISNUMBER(G254)=FALSE, H254=""),"Invalid - Could Not Parse", IF(AND(ISNUMBER(G254)=FALSE, H254&lt;&gt;""),"Text - Converted to Date", IF(ISNUMBER(G254),"Valid","Check"))))</f>
        <v>Text - Converted to Date</v>
      </c>
      <c r="J254" s="9" t="str">
        <f>IF(OR(C254="", H254=""), "Cannot Check - Date Missing", IF(H254&lt;C254, "Invalid - Ship Before Order", "Valid"))</f>
        <v>Valid</v>
      </c>
      <c r="K254" s="5">
        <f>IF(OR(C254="", H254=""), "", IF(H254&lt;C254, "", H254-C254))</f>
        <v>1</v>
      </c>
      <c r="L254" s="3" t="s">
        <v>129</v>
      </c>
      <c r="M254" s="3" t="s">
        <v>83</v>
      </c>
      <c r="N254" s="4" t="str">
        <f>TRIM(SUBSTITUTE(M254,"_"," "))</f>
        <v>Vikram Iyer</v>
      </c>
      <c r="O254" s="3" t="s">
        <v>41</v>
      </c>
      <c r="P254" s="6" t="str">
        <f>PROPER(TRIM(SUBSTITUTE(O254,".","")))</f>
        <v>Small Business</v>
      </c>
      <c r="Q254" s="3" t="s">
        <v>42</v>
      </c>
      <c r="R254" s="7" t="str">
        <f>PROPER(TRIM(SUBSTITUTE(Q254,"  "," ")))</f>
        <v>East</v>
      </c>
      <c r="S254" s="3" t="s">
        <v>43</v>
      </c>
      <c r="T254" s="6" t="str">
        <f>PROPER(TRIM(SUBSTITUTE(S254,"  "," ")))</f>
        <v>Odisha</v>
      </c>
      <c r="U254" s="3" t="s">
        <v>44</v>
      </c>
      <c r="V254" s="6" t="str">
        <f>PROPER(TRIM(SUBSTITUTE(U254,"  "," ")))</f>
        <v>Bhubaneswar</v>
      </c>
      <c r="W254" s="3" t="s">
        <v>86</v>
      </c>
      <c r="X254" s="6" t="str">
        <f>PROPER(TRIM(SUBSTITUTE(W254,"  "," ")))</f>
        <v>Technology</v>
      </c>
      <c r="Y254" s="3" t="s">
        <v>87</v>
      </c>
      <c r="Z254" s="6" t="str">
        <f>PROPER(TRIM(SUBSTITUTE(Y254,"  "," ")))</f>
        <v>Accessories</v>
      </c>
      <c r="AA254" s="3" t="s">
        <v>130</v>
      </c>
      <c r="AB254" s="3" t="s">
        <v>48</v>
      </c>
      <c r="AC254" s="6" t="str">
        <f>PROPER(TRIM(SUBSTITUTE(AB254,"  "," ")))</f>
        <v>Same Day</v>
      </c>
      <c r="AD254" s="3">
        <v>6</v>
      </c>
      <c r="AE254" s="3">
        <v>2005.95</v>
      </c>
      <c r="AF254" s="3">
        <v>0.2</v>
      </c>
      <c r="AG254" s="17">
        <v>0.2</v>
      </c>
      <c r="AH254" s="6" t="str">
        <f t="shared" si="27"/>
        <v>Valid</v>
      </c>
      <c r="AI254" s="3">
        <v>9628.56</v>
      </c>
      <c r="AJ254" s="3">
        <v>8038.59</v>
      </c>
      <c r="AK254" s="3">
        <v>1589.97</v>
      </c>
      <c r="AL254" s="3" t="s">
        <v>34</v>
      </c>
      <c r="AM254" s="6" t="str">
        <f>PROPER(TRIM(SUBSTITUTE(AL254,".","")))</f>
        <v>Paid</v>
      </c>
      <c r="AN254" s="3" t="s">
        <v>35</v>
      </c>
      <c r="AO254" s="8" t="str">
        <f>PROPER(TRIM(SUBSTITUTE(AN254,".","")))</f>
        <v>Completed</v>
      </c>
      <c r="AP254" t="str">
        <f>IF(COUNTIF($A$2:$A$933, A254) &gt; 1, "Duplicate ID", "Unique")</f>
        <v>Unique</v>
      </c>
      <c r="AR254">
        <f t="shared" si="28"/>
        <v>9628.5600000000013</v>
      </c>
      <c r="AS254">
        <f t="shared" si="29"/>
        <v>1589.9700000000012</v>
      </c>
      <c r="AT254" s="15">
        <f t="shared" si="30"/>
        <v>0.16513061143099289</v>
      </c>
      <c r="AU254" t="str">
        <f t="shared" si="31"/>
        <v>Clean</v>
      </c>
      <c r="AV254" s="8" t="str">
        <f t="shared" si="32"/>
        <v>Active</v>
      </c>
    </row>
    <row r="255" spans="1:48">
      <c r="A255" s="3" t="s">
        <v>262</v>
      </c>
      <c r="B255" s="3" t="s">
        <v>263</v>
      </c>
      <c r="C255" s="9">
        <v>45495</v>
      </c>
      <c r="D255" s="9" t="str">
        <f>IF(B255="","Missing", IF(AND(ISNUMBER(B255)=FALSE, C255=""),"Invalid - Could Not Parse", IF(AND(ISNUMBER(B255)=FALSE, C255&lt;&gt;""),"Text - Converted to Date", IF(ISNUMBER(B255),"Valid","Check"))))</f>
        <v>Text - Converted to Date</v>
      </c>
      <c r="E255" s="5">
        <f t="shared" si="25"/>
        <v>7</v>
      </c>
      <c r="F255" s="5">
        <f t="shared" si="26"/>
        <v>2024</v>
      </c>
      <c r="G255" s="3" t="s">
        <v>264</v>
      </c>
      <c r="H255" s="9">
        <f>IFERROR(DATEVALUE(TEXT(G255,"DD/MM/YYYY")), IF(ISNUMBER(G255), G255, ""))</f>
        <v>45500</v>
      </c>
      <c r="I255" s="9" t="str">
        <f>IF(G255="","Missing", IF(AND(ISNUMBER(G255)=FALSE, H255=""),"Invalid - Could Not Parse", IF(AND(ISNUMBER(G255)=FALSE, H255&lt;&gt;""),"Text - Converted to Date", IF(ISNUMBER(G255),"Valid","Check"))))</f>
        <v>Text - Converted to Date</v>
      </c>
      <c r="J255" s="9" t="str">
        <f>IF(OR(C255="", H255=""), "Cannot Check - Date Missing", IF(H255&lt;C255, "Invalid - Ship Before Order", "Valid"))</f>
        <v>Valid</v>
      </c>
      <c r="K255" s="5">
        <f>IF(OR(C255="", H255=""), "", IF(H255&lt;C255, "", H255-C255))</f>
        <v>5</v>
      </c>
      <c r="L255" s="3" t="s">
        <v>265</v>
      </c>
      <c r="M255" s="3" t="s">
        <v>142</v>
      </c>
      <c r="N255" s="4" t="str">
        <f>TRIM(SUBSTITUTE(M255,"_"," "))</f>
        <v>Priya Menon</v>
      </c>
      <c r="O255" s="3" t="s">
        <v>115</v>
      </c>
      <c r="P255" s="6" t="str">
        <f>PROPER(TRIM(SUBSTITUTE(O255,".","")))</f>
        <v>Home Office</v>
      </c>
      <c r="Q255" s="3" t="s">
        <v>73</v>
      </c>
      <c r="R255" s="7" t="str">
        <f>PROPER(TRIM(SUBSTITUTE(Q255,"  "," ")))</f>
        <v>West</v>
      </c>
      <c r="S255" s="3" t="s">
        <v>249</v>
      </c>
      <c r="T255" s="6" t="str">
        <f>PROPER(TRIM(SUBSTITUTE(S255,"  "," ")))</f>
        <v>Goa</v>
      </c>
      <c r="U255" s="3" t="s">
        <v>250</v>
      </c>
      <c r="V255" s="6" t="str">
        <f>PROPER(TRIM(SUBSTITUTE(U255,"  "," ")))</f>
        <v>Panaji</v>
      </c>
      <c r="W255" s="3" t="s">
        <v>45</v>
      </c>
      <c r="X255" s="6" t="str">
        <f>PROPER(TRIM(SUBSTITUTE(W255,"  "," ")))</f>
        <v>Furniture</v>
      </c>
      <c r="Y255" s="3" t="s">
        <v>46</v>
      </c>
      <c r="Z255" s="6" t="str">
        <f>PROPER(TRIM(SUBSTITUTE(Y255,"  "," ")))</f>
        <v>Tables</v>
      </c>
      <c r="AA255" s="3" t="s">
        <v>266</v>
      </c>
      <c r="AB255" s="3" t="s">
        <v>48</v>
      </c>
      <c r="AC255" s="6" t="str">
        <f>PROPER(TRIM(SUBSTITUTE(AB255,"  "," ")))</f>
        <v>Same Day</v>
      </c>
      <c r="AD255" s="3">
        <v>7</v>
      </c>
      <c r="AE255" s="3">
        <v>492.41</v>
      </c>
      <c r="AF255" s="3">
        <v>0.25</v>
      </c>
      <c r="AG255" s="17">
        <v>0.25</v>
      </c>
      <c r="AH255" s="6" t="str">
        <f t="shared" si="27"/>
        <v>Valid</v>
      </c>
      <c r="AI255" s="3">
        <v>2585.15</v>
      </c>
      <c r="AJ255" s="3">
        <v>2070.73</v>
      </c>
      <c r="AK255" s="3">
        <v>514.41999999999996</v>
      </c>
      <c r="AL255" s="3" t="s">
        <v>34</v>
      </c>
      <c r="AM255" s="6" t="str">
        <f>PROPER(TRIM(SUBSTITUTE(AL255,".","")))</f>
        <v>Paid</v>
      </c>
      <c r="AN255" s="3" t="s">
        <v>35</v>
      </c>
      <c r="AO255" s="8" t="str">
        <f>PROPER(TRIM(SUBSTITUTE(AN255,".","")))</f>
        <v>Completed</v>
      </c>
      <c r="AP255" t="str">
        <f>IF(COUNTIF($A$2:$A$933, A255) &gt; 1, "Duplicate ID", "Unique")</f>
        <v>Unique</v>
      </c>
      <c r="AR255">
        <f t="shared" si="28"/>
        <v>2585.1525000000001</v>
      </c>
      <c r="AS255">
        <f t="shared" si="29"/>
        <v>514.42250000000013</v>
      </c>
      <c r="AT255" s="15">
        <f t="shared" si="30"/>
        <v>0.19899116203009304</v>
      </c>
      <c r="AU255" t="str">
        <f t="shared" si="31"/>
        <v>Clean</v>
      </c>
      <c r="AV255" s="8" t="str">
        <f t="shared" si="32"/>
        <v>Active</v>
      </c>
    </row>
    <row r="256" spans="1:48">
      <c r="A256" s="3" t="s">
        <v>2937</v>
      </c>
      <c r="B256" s="3" t="s">
        <v>2938</v>
      </c>
      <c r="C256" s="9">
        <f>IFERROR(DATEVALUE(TEXT(B256,"DD/MM/YYYY")), IF(ISNUMBER(B256), B256, ""))</f>
        <v>45496</v>
      </c>
      <c r="D256" s="9" t="str">
        <f>IF(B256="","Missing", IF(AND(ISNUMBER(B256)=FALSE, C256=""),"Invalid - Could Not Parse", IF(AND(ISNUMBER(B256)=FALSE, C256&lt;&gt;""),"Text - Converted to Date", IF(ISNUMBER(B256),"Valid","Check"))))</f>
        <v>Text - Converted to Date</v>
      </c>
      <c r="E256" s="5">
        <f t="shared" si="25"/>
        <v>7</v>
      </c>
      <c r="F256" s="5">
        <f t="shared" si="26"/>
        <v>2024</v>
      </c>
      <c r="G256" s="3" t="s">
        <v>529</v>
      </c>
      <c r="H256" s="9">
        <f>IFERROR(DATEVALUE(TEXT(G256,"DD/MM/YYYY")), IF(ISNUMBER(G256), G256, ""))</f>
        <v>45503</v>
      </c>
      <c r="I256" s="9" t="str">
        <f>IF(G256="","Missing", IF(AND(ISNUMBER(G256)=FALSE, H256=""),"Invalid - Could Not Parse", IF(AND(ISNUMBER(G256)=FALSE, H256&lt;&gt;""),"Text - Converted to Date", IF(ISNUMBER(G256),"Valid","Check"))))</f>
        <v>Text - Converted to Date</v>
      </c>
      <c r="J256" s="9" t="str">
        <f>IF(OR(C256="", H256=""), "Cannot Check - Date Missing", IF(H256&lt;C256, "Invalid - Ship Before Order", "Valid"))</f>
        <v>Valid</v>
      </c>
      <c r="K256" s="5">
        <f>IF(OR(C256="", H256=""), "", IF(H256&lt;C256, "", H256-C256))</f>
        <v>7</v>
      </c>
      <c r="L256" s="3" t="s">
        <v>2939</v>
      </c>
      <c r="M256" s="3" t="s">
        <v>366</v>
      </c>
      <c r="N256" s="4" t="str">
        <f>TRIM(SUBSTITUTE(M256,"_"," "))</f>
        <v>Kabir Singh</v>
      </c>
      <c r="O256" s="3" t="s">
        <v>108</v>
      </c>
      <c r="P256" s="6" t="str">
        <f>PROPER(TRIM(SUBSTITUTE(O256,".","")))</f>
        <v>Corporate</v>
      </c>
      <c r="Q256" s="3" t="s">
        <v>27</v>
      </c>
      <c r="R256" s="7" t="str">
        <f>PROPER(TRIM(SUBSTITUTE(Q256,"  "," ")))</f>
        <v>North</v>
      </c>
      <c r="S256" s="3" t="s">
        <v>28</v>
      </c>
      <c r="T256" s="6" t="str">
        <f>PROPER(TRIM(SUBSTITUTE(S256,"  "," ")))</f>
        <v>Rajasthan</v>
      </c>
      <c r="U256" s="3" t="s">
        <v>29</v>
      </c>
      <c r="V256" s="6" t="str">
        <f>PROPER(TRIM(SUBSTITUTE(U256,"  "," ")))</f>
        <v>Jaipur</v>
      </c>
      <c r="W256" s="3" t="s">
        <v>45</v>
      </c>
      <c r="X256" s="6" t="str">
        <f>PROPER(TRIM(SUBSTITUTE(W256,"  "," ")))</f>
        <v>Furniture</v>
      </c>
      <c r="Y256" s="3" t="s">
        <v>46</v>
      </c>
      <c r="Z256" s="6" t="str">
        <f>PROPER(TRIM(SUBSTITUTE(Y256,"  "," ")))</f>
        <v>Tables</v>
      </c>
      <c r="AA256" s="3" t="s">
        <v>2940</v>
      </c>
      <c r="AB256" s="3" t="s">
        <v>48</v>
      </c>
      <c r="AC256" s="6" t="str">
        <f>PROPER(TRIM(SUBSTITUTE(AB256,"  "," ")))</f>
        <v>Same Day</v>
      </c>
      <c r="AD256" s="3">
        <v>9</v>
      </c>
      <c r="AE256" s="3">
        <v>1870.11</v>
      </c>
      <c r="AF256" s="3">
        <v>0.25</v>
      </c>
      <c r="AG256" s="17">
        <v>0.25</v>
      </c>
      <c r="AH256" s="6" t="str">
        <f t="shared" si="27"/>
        <v>Valid</v>
      </c>
      <c r="AI256" s="3">
        <v>12623.24</v>
      </c>
      <c r="AJ256" s="3">
        <v>10540.8</v>
      </c>
      <c r="AK256" s="3">
        <v>2082.44</v>
      </c>
      <c r="AL256" s="3" t="s">
        <v>200</v>
      </c>
      <c r="AM256" s="6" t="str">
        <f>PROPER(TRIM(SUBSTITUTE(AL256,".","")))</f>
        <v>Failed</v>
      </c>
      <c r="AN256" s="3" t="s">
        <v>78</v>
      </c>
      <c r="AO256" s="8" t="str">
        <f>PROPER(TRIM(SUBSTITUTE(AN256,".","")))</f>
        <v>Cancelled</v>
      </c>
      <c r="AP256" t="str">
        <f>IF(COUNTIF($A$2:$A$933, A256) &gt; 1, "Duplicate ID", "Unique")</f>
        <v>Unique</v>
      </c>
      <c r="AR256">
        <f t="shared" si="28"/>
        <v>12623.242499999998</v>
      </c>
      <c r="AS256">
        <f t="shared" si="29"/>
        <v>2082.4424999999992</v>
      </c>
      <c r="AT256" s="15">
        <f t="shared" si="30"/>
        <v>0.16496890557239943</v>
      </c>
      <c r="AU256" t="str">
        <f t="shared" si="31"/>
        <v>Clean</v>
      </c>
      <c r="AV256" s="8" t="str">
        <f t="shared" si="32"/>
        <v>Cancelled</v>
      </c>
    </row>
    <row r="257" spans="1:48">
      <c r="A257" s="3" t="s">
        <v>1661</v>
      </c>
      <c r="B257" s="3" t="s">
        <v>1662</v>
      </c>
      <c r="C257" s="9">
        <f>IFERROR(DATEVALUE(TEXT(B257,"DD/MM/YYYY")), IF(ISNUMBER(B257), B257, ""))</f>
        <v>45497</v>
      </c>
      <c r="D257" s="9" t="str">
        <f>IF(B257="","Missing", IF(AND(ISNUMBER(B257)=FALSE, C257=""),"Invalid - Could Not Parse", IF(AND(ISNUMBER(B257)=FALSE, C257&lt;&gt;""),"Text - Converted to Date", IF(ISNUMBER(B257),"Valid","Check"))))</f>
        <v>Text - Converted to Date</v>
      </c>
      <c r="E257" s="5">
        <f t="shared" si="25"/>
        <v>7</v>
      </c>
      <c r="F257" s="5">
        <f t="shared" si="26"/>
        <v>2024</v>
      </c>
      <c r="G257" s="3" t="s">
        <v>264</v>
      </c>
      <c r="H257" s="9">
        <f>IFERROR(DATEVALUE(TEXT(G257,"DD/MM/YYYY")), IF(ISNUMBER(G257), G257, ""))</f>
        <v>45500</v>
      </c>
      <c r="I257" s="9" t="str">
        <f>IF(G257="","Missing", IF(AND(ISNUMBER(G257)=FALSE, H257=""),"Invalid - Could Not Parse", IF(AND(ISNUMBER(G257)=FALSE, H257&lt;&gt;""),"Text - Converted to Date", IF(ISNUMBER(G257),"Valid","Check"))))</f>
        <v>Text - Converted to Date</v>
      </c>
      <c r="J257" s="9" t="str">
        <f>IF(OR(C257="", H257=""), "Cannot Check - Date Missing", IF(H257&lt;C257, "Invalid - Ship Before Order", "Valid"))</f>
        <v>Valid</v>
      </c>
      <c r="K257" s="5">
        <f>IF(OR(C257="", H257=""), "", IF(H257&lt;C257, "", H257-C257))</f>
        <v>3</v>
      </c>
      <c r="L257" s="3" t="s">
        <v>1663</v>
      </c>
      <c r="M257" s="3" t="s">
        <v>53</v>
      </c>
      <c r="N257" s="4" t="str">
        <f>TRIM(SUBSTITUTE(M257,"_"," "))</f>
        <v>Isha Nair</v>
      </c>
      <c r="O257" s="3" t="s">
        <v>26</v>
      </c>
      <c r="P257" s="6" t="str">
        <f>PROPER(TRIM(SUBSTITUTE(O257,".","")))</f>
        <v>Consumer</v>
      </c>
      <c r="Q257" s="3" t="s">
        <v>73</v>
      </c>
      <c r="R257" s="7" t="str">
        <f>PROPER(TRIM(SUBSTITUTE(Q257,"  "," ")))</f>
        <v>West</v>
      </c>
      <c r="S257" s="3" t="s">
        <v>28</v>
      </c>
      <c r="T257" s="6" t="str">
        <f>PROPER(TRIM(SUBSTITUTE(S257,"  "," ")))</f>
        <v>Rajasthan</v>
      </c>
      <c r="U257" s="3" t="s">
        <v>135</v>
      </c>
      <c r="V257" s="6" t="str">
        <f>PROPER(TRIM(SUBSTITUTE(U257,"  "," ")))</f>
        <v>Udaipur</v>
      </c>
      <c r="W257" s="3" t="s">
        <v>86</v>
      </c>
      <c r="X257" s="6" t="str">
        <f>PROPER(TRIM(SUBSTITUTE(W257,"  "," ")))</f>
        <v>Technology</v>
      </c>
      <c r="Y257" s="3" t="s">
        <v>87</v>
      </c>
      <c r="Z257" s="6" t="str">
        <f>PROPER(TRIM(SUBSTITUTE(Y257,"  "," ")))</f>
        <v>Accessories</v>
      </c>
      <c r="AA257" s="3" t="s">
        <v>1664</v>
      </c>
      <c r="AB257" s="3" t="s">
        <v>33</v>
      </c>
      <c r="AC257" s="6" t="str">
        <f>PROPER(TRIM(SUBSTITUTE(AB257,"  "," ")))</f>
        <v>Second Class</v>
      </c>
      <c r="AD257" s="3">
        <v>3</v>
      </c>
      <c r="AE257" s="3">
        <v>1834.55</v>
      </c>
      <c r="AF257" s="3">
        <v>0.2</v>
      </c>
      <c r="AG257" s="17">
        <v>0.2</v>
      </c>
      <c r="AH257" s="6" t="str">
        <f t="shared" si="27"/>
        <v>Valid</v>
      </c>
      <c r="AI257" s="3">
        <v>4402.92</v>
      </c>
      <c r="AJ257" s="3">
        <v>2993.94</v>
      </c>
      <c r="AK257" s="3">
        <v>1408.98</v>
      </c>
      <c r="AL257" s="3" t="s">
        <v>137</v>
      </c>
      <c r="AM257" s="6" t="str">
        <f>PROPER(TRIM(SUBSTITUTE(AL257,".","")))</f>
        <v>Pending</v>
      </c>
      <c r="AN257" s="3" t="s">
        <v>78</v>
      </c>
      <c r="AO257" s="8" t="str">
        <f>PROPER(TRIM(SUBSTITUTE(AN257,".","")))</f>
        <v>Cancelled</v>
      </c>
      <c r="AP257" t="str">
        <f>IF(COUNTIF($A$2:$A$933, A257) &gt; 1, "Duplicate ID", "Unique")</f>
        <v>Unique</v>
      </c>
      <c r="AR257">
        <f t="shared" si="28"/>
        <v>4402.92</v>
      </c>
      <c r="AS257">
        <f t="shared" si="29"/>
        <v>1408.98</v>
      </c>
      <c r="AT257" s="15">
        <f t="shared" si="30"/>
        <v>0.32001035676323897</v>
      </c>
      <c r="AU257" t="str">
        <f t="shared" si="31"/>
        <v>Clean</v>
      </c>
      <c r="AV257" s="8" t="str">
        <f t="shared" si="32"/>
        <v>Cancelled</v>
      </c>
    </row>
    <row r="258" spans="1:48">
      <c r="A258" s="3" t="s">
        <v>3913</v>
      </c>
      <c r="B258" s="3" t="s">
        <v>738</v>
      </c>
      <c r="C258" s="9">
        <f>IFERROR(DATEVALUE(TEXT(B258,"DD/MM/YYYY")), IF(ISNUMBER(B258), B258, ""))</f>
        <v>45498</v>
      </c>
      <c r="D258" s="9" t="str">
        <f>IF(B258="","Missing", IF(AND(ISNUMBER(B258)=FALSE, C258=""),"Invalid - Could Not Parse", IF(AND(ISNUMBER(B258)=FALSE, C258&lt;&gt;""),"Text - Converted to Date", IF(ISNUMBER(B258),"Valid","Check"))))</f>
        <v>Text - Converted to Date</v>
      </c>
      <c r="E258" s="5">
        <f t="shared" si="25"/>
        <v>7</v>
      </c>
      <c r="F258" s="5">
        <f t="shared" si="26"/>
        <v>2024</v>
      </c>
      <c r="G258" s="3" t="s">
        <v>3914</v>
      </c>
      <c r="H258" s="9">
        <f>IFERROR(DATEVALUE(TEXT(G258,"DD/MM/YYYY")), IF(ISNUMBER(G258), G258, ""))</f>
        <v>45506</v>
      </c>
      <c r="I258" s="9" t="str">
        <f>IF(G258="","Missing", IF(AND(ISNUMBER(G258)=FALSE, H258=""),"Invalid - Could Not Parse", IF(AND(ISNUMBER(G258)=FALSE, H258&lt;&gt;""),"Text - Converted to Date", IF(ISNUMBER(G258),"Valid","Check"))))</f>
        <v>Text - Converted to Date</v>
      </c>
      <c r="J258" s="9" t="str">
        <f>IF(OR(C258="", H258=""), "Cannot Check - Date Missing", IF(H258&lt;C258, "Invalid - Ship Before Order", "Valid"))</f>
        <v>Valid</v>
      </c>
      <c r="K258" s="5">
        <f>IF(OR(C258="", H258=""), "", IF(H258&lt;C258, "", H258-C258))</f>
        <v>8</v>
      </c>
      <c r="L258" s="3" t="s">
        <v>1716</v>
      </c>
      <c r="M258" s="3" t="s">
        <v>148</v>
      </c>
      <c r="N258" s="4" t="str">
        <f>TRIM(SUBSTITUTE(M258,"_"," "))</f>
        <v>Rahul Verma</v>
      </c>
      <c r="O258" s="3" t="s">
        <v>26</v>
      </c>
      <c r="P258" s="6" t="str">
        <f>PROPER(TRIM(SUBSTITUTE(O258,".","")))</f>
        <v>Consumer</v>
      </c>
      <c r="Q258" s="3" t="s">
        <v>27</v>
      </c>
      <c r="R258" s="7" t="str">
        <f>PROPER(TRIM(SUBSTITUTE(Q258,"  "," ")))</f>
        <v>North</v>
      </c>
      <c r="S258" s="3" t="s">
        <v>28</v>
      </c>
      <c r="T258" s="6" t="str">
        <f>PROPER(TRIM(SUBSTITUTE(S258,"  "," ")))</f>
        <v>Rajasthan</v>
      </c>
      <c r="U258" s="3" t="s">
        <v>29</v>
      </c>
      <c r="V258" s="6" t="str">
        <f>PROPER(TRIM(SUBSTITUTE(U258,"  "," ")))</f>
        <v>Jaipur</v>
      </c>
      <c r="W258" s="3" t="s">
        <v>30</v>
      </c>
      <c r="X258" s="6" t="str">
        <f>PROPER(TRIM(SUBSTITUTE(W258,"  "," ")))</f>
        <v>Office Supplies</v>
      </c>
      <c r="Y258" s="3" t="s">
        <v>3915</v>
      </c>
      <c r="Z258" s="6" t="str">
        <f>PROPER(TRIM(SUBSTITUTE(Y258,"  "," ")))</f>
        <v>Labels</v>
      </c>
      <c r="AA258" s="3" t="s">
        <v>3916</v>
      </c>
      <c r="AB258" s="3" t="s">
        <v>33</v>
      </c>
      <c r="AC258" s="6" t="str">
        <f>PROPER(TRIM(SUBSTITUTE(AB258,"  "," ")))</f>
        <v>Second Class</v>
      </c>
      <c r="AD258" s="3">
        <v>2</v>
      </c>
      <c r="AE258" s="3">
        <v>2073.5300000000002</v>
      </c>
      <c r="AF258" s="3">
        <v>0.25</v>
      </c>
      <c r="AG258" s="17">
        <v>0.25</v>
      </c>
      <c r="AH258" s="6" t="str">
        <f t="shared" si="27"/>
        <v>Valid</v>
      </c>
      <c r="AI258" s="3">
        <v>3110.3</v>
      </c>
      <c r="AJ258" s="3">
        <v>2101.0300000000002</v>
      </c>
      <c r="AK258" s="3">
        <v>1009.27</v>
      </c>
      <c r="AL258" s="3" t="s">
        <v>34</v>
      </c>
      <c r="AM258" s="6" t="str">
        <f>PROPER(TRIM(SUBSTITUTE(AL258,".","")))</f>
        <v>Paid</v>
      </c>
      <c r="AN258" s="3" t="s">
        <v>35</v>
      </c>
      <c r="AO258" s="8" t="str">
        <f>PROPER(TRIM(SUBSTITUTE(AN258,".","")))</f>
        <v>Completed</v>
      </c>
      <c r="AP258" t="str">
        <f>IF(COUNTIF($A$2:$A$933, A258) &gt; 1, "Duplicate ID", "Unique")</f>
        <v>Unique</v>
      </c>
      <c r="AR258">
        <f t="shared" si="28"/>
        <v>3110.2950000000001</v>
      </c>
      <c r="AS258">
        <f t="shared" si="29"/>
        <v>1009.2649999999999</v>
      </c>
      <c r="AT258" s="15">
        <f t="shared" si="30"/>
        <v>0.32449172827657824</v>
      </c>
      <c r="AU258" t="str">
        <f t="shared" si="31"/>
        <v>Clean</v>
      </c>
      <c r="AV258" s="8" t="str">
        <f t="shared" si="32"/>
        <v>Active</v>
      </c>
    </row>
    <row r="259" spans="1:48">
      <c r="A259" s="3" t="s">
        <v>177</v>
      </c>
      <c r="B259" s="3" t="s">
        <v>23</v>
      </c>
      <c r="C259" s="9">
        <v>45500</v>
      </c>
      <c r="D259" s="9" t="str">
        <f>IF(B259="","Missing", IF(AND(ISNUMBER(B259)=FALSE, C259=""),"Invalid - Could Not Parse", IF(AND(ISNUMBER(B259)=FALSE, C259&lt;&gt;""),"Text - Converted to Date", IF(ISNUMBER(B259),"Valid","Check"))))</f>
        <v>Text - Converted to Date</v>
      </c>
      <c r="E259" s="5">
        <f t="shared" ref="E259:E322" si="33">IFERROR(MONTH(C259), "")</f>
        <v>7</v>
      </c>
      <c r="F259" s="5">
        <f t="shared" ref="F259:F322" si="34">IFERROR(YEAR(C259), "")</f>
        <v>2024</v>
      </c>
      <c r="G259" s="3" t="s">
        <v>178</v>
      </c>
      <c r="H259" s="9">
        <f>IFERROR(DATEVALUE(TEXT(G259,"DD/MM/YYYY")), IF(ISNUMBER(G259), G259, ""))</f>
        <v>45504</v>
      </c>
      <c r="I259" s="9" t="str">
        <f>IF(G259="","Missing", IF(AND(ISNUMBER(G259)=FALSE, H259=""),"Invalid - Could Not Parse", IF(AND(ISNUMBER(G259)=FALSE, H259&lt;&gt;""),"Text - Converted to Date", IF(ISNUMBER(G259),"Valid","Check"))))</f>
        <v>Text - Converted to Date</v>
      </c>
      <c r="J259" s="9" t="str">
        <f>IF(OR(C259="", H259=""), "Cannot Check - Date Missing", IF(H259&lt;C259, "Invalid - Ship Before Order", "Valid"))</f>
        <v>Valid</v>
      </c>
      <c r="K259" s="5">
        <f>IF(OR(C259="", H259=""), "", IF(H259&lt;C259, "", H259-C259))</f>
        <v>4</v>
      </c>
      <c r="L259" s="3" t="s">
        <v>179</v>
      </c>
      <c r="M259" s="3" t="s">
        <v>180</v>
      </c>
      <c r="N259" s="4" t="str">
        <f>TRIM(SUBSTITUTE(M259,"_"," "))</f>
        <v>Rohan Mehta</v>
      </c>
      <c r="O259" s="3" t="s">
        <v>115</v>
      </c>
      <c r="P259" s="6" t="str">
        <f>PROPER(TRIM(SUBSTITUTE(O259,".","")))</f>
        <v>Home Office</v>
      </c>
      <c r="Q259" s="3" t="s">
        <v>73</v>
      </c>
      <c r="R259" s="7" t="str">
        <f>PROPER(TRIM(SUBSTITUTE(Q259,"  "," ")))</f>
        <v>West</v>
      </c>
      <c r="S259" s="3" t="s">
        <v>84</v>
      </c>
      <c r="T259" s="6" t="str">
        <f>PROPER(TRIM(SUBSTITUTE(S259,"  "," ")))</f>
        <v>Madhya Pradesh</v>
      </c>
      <c r="U259" s="3" t="s">
        <v>85</v>
      </c>
      <c r="V259" s="6" t="str">
        <f>PROPER(TRIM(SUBSTITUTE(U259,"  "," ")))</f>
        <v>Indore</v>
      </c>
      <c r="W259" s="3" t="s">
        <v>30</v>
      </c>
      <c r="X259" s="6" t="str">
        <f>PROPER(TRIM(SUBSTITUTE(W259,"  "," ")))</f>
        <v>Office Supplies</v>
      </c>
      <c r="Y259" s="3" t="s">
        <v>156</v>
      </c>
      <c r="Z259" s="6" t="str">
        <f>PROPER(TRIM(SUBSTITUTE(Y259,"  "," ")))</f>
        <v>Storage</v>
      </c>
      <c r="AA259" s="3" t="s">
        <v>181</v>
      </c>
      <c r="AB259" s="3" t="s">
        <v>33</v>
      </c>
      <c r="AC259" s="6" t="str">
        <f>PROPER(TRIM(SUBSTITUTE(AB259,"  "," ")))</f>
        <v>Second Class</v>
      </c>
      <c r="AD259" s="3">
        <v>3</v>
      </c>
      <c r="AE259" s="3">
        <v>3887.94</v>
      </c>
      <c r="AF259" s="3">
        <v>-0.19</v>
      </c>
      <c r="AG259" s="17">
        <v>-0.19</v>
      </c>
      <c r="AH259" s="6" t="str">
        <f t="shared" ref="AH259:AH322" si="35">IF(ISBLANK(AF259), "Missing", IF(AF259 &lt; 0, "Invalid - Negative", IF(AF259 &gt; 0.5, "Invalid - Above Range", "Valid")))</f>
        <v>Invalid - Negative</v>
      </c>
      <c r="AI259" s="3">
        <v>9331.06</v>
      </c>
      <c r="AJ259" s="3">
        <v>7529.31</v>
      </c>
      <c r="AK259" s="3">
        <v>1801.75</v>
      </c>
      <c r="AL259" s="3" t="s">
        <v>34</v>
      </c>
      <c r="AM259" s="6" t="str">
        <f>PROPER(TRIM(SUBSTITUTE(AL259,".","")))</f>
        <v>Paid</v>
      </c>
      <c r="AN259" s="3" t="s">
        <v>35</v>
      </c>
      <c r="AO259" s="8" t="str">
        <f>PROPER(TRIM(SUBSTITUTE(AN259,".","")))</f>
        <v>Completed</v>
      </c>
      <c r="AP259" t="str">
        <f>IF(COUNTIF($A$2:$A$933, A259) &gt; 1, "Duplicate ID", "Unique")</f>
        <v>Unique</v>
      </c>
      <c r="AR259">
        <f t="shared" ref="AR259:AR322" si="36">AD259 * AE259 * (1 - AG259)</f>
        <v>13879.9458</v>
      </c>
      <c r="AS259">
        <f t="shared" ref="AS259:AS322" si="37">AR259-AJ259</f>
        <v>6350.6357999999991</v>
      </c>
      <c r="AT259" s="15">
        <f t="shared" ref="AT259:AT322" si="38">IFERROR(AS259 / AR259, "")</f>
        <v>0.45754038895454474</v>
      </c>
      <c r="AU259" t="str">
        <f t="shared" ref="AU259:AU322" si="39">IF(OR(AH259="Invalid - Negative",AH259="Invalid - Above Range", J259="Invalid - Ship Before Order", AQ259="Conflicting Duplicate - Flagged"), "Invalid", IF(OR(R258="Unknown", AC258="Unknown", AH259="Missing"), "Warning", "Clean"))</f>
        <v>Invalid</v>
      </c>
      <c r="AV259" s="8" t="str">
        <f t="shared" ref="AV259:AV322" si="40">IF(AM259 = "Refunded", "Refund", IF(AO259 = "Cancelled", "Cancelled", "Active"))</f>
        <v>Active</v>
      </c>
    </row>
    <row r="260" spans="1:48">
      <c r="A260" s="3" t="s">
        <v>2301</v>
      </c>
      <c r="B260" s="3" t="s">
        <v>2302</v>
      </c>
      <c r="C260" s="9">
        <f>IFERROR(DATEVALUE(TEXT(B260,"DD/MM/YYYY")), IF(ISNUMBER(B260), B260, ""))</f>
        <v>45501</v>
      </c>
      <c r="D260" s="9" t="str">
        <f>IF(B260="","Missing", IF(AND(ISNUMBER(B260)=FALSE, C260=""),"Invalid - Could Not Parse", IF(AND(ISNUMBER(B260)=FALSE, C260&lt;&gt;""),"Text - Converted to Date", IF(ISNUMBER(B260),"Valid","Check"))))</f>
        <v>Text - Converted to Date</v>
      </c>
      <c r="E260" s="5">
        <f t="shared" si="33"/>
        <v>7</v>
      </c>
      <c r="F260" s="5">
        <f t="shared" si="34"/>
        <v>2024</v>
      </c>
      <c r="G260" s="3" t="s">
        <v>1594</v>
      </c>
      <c r="H260" s="9">
        <f>IFERROR(DATEVALUE(MID(G260,4,2) &amp; "/" &amp; LEFT(G260,2) &amp; "/" &amp; RIGHT(G260,4)), IF(ISNUMBER(G260), G260, IFERROR(DATEVALUE(G260), "")))</f>
        <v>45504</v>
      </c>
      <c r="I260" s="9" t="str">
        <f>IF(G260="","Missing", IF(AND(ISNUMBER(G260)=FALSE, H260=""),"Invalid - Could Not Parse", IF(AND(ISNUMBER(G260)=FALSE, H260&lt;&gt;""),"Text - Converted to Date", IF(ISNUMBER(G260),"Valid","Check"))))</f>
        <v>Text - Converted to Date</v>
      </c>
      <c r="J260" s="9" t="str">
        <f>IF(OR(C260="", H260=""), "Cannot Check - Date Missing", IF(H260&lt;C260, "Invalid - Ship Before Order", "Valid"))</f>
        <v>Valid</v>
      </c>
      <c r="K260" s="5">
        <f>IF(OR(C260="", H260=""), "", IF(H260&lt;C260, "", H260-C260))</f>
        <v>3</v>
      </c>
      <c r="L260" s="3" t="s">
        <v>2303</v>
      </c>
      <c r="M260" s="3" t="s">
        <v>107</v>
      </c>
      <c r="N260" s="4" t="str">
        <f>TRIM(SUBSTITUTE(M260,"_"," "))</f>
        <v>Aditi Sen</v>
      </c>
      <c r="O260" s="3" t="s">
        <v>26</v>
      </c>
      <c r="P260" s="6" t="str">
        <f>PROPER(TRIM(SUBSTITUTE(O260,".","")))</f>
        <v>Consumer</v>
      </c>
      <c r="Q260" s="3" t="s">
        <v>27</v>
      </c>
      <c r="R260" s="7" t="str">
        <f>PROPER(TRIM(SUBSTITUTE(Q260,"  "," ")))</f>
        <v>North</v>
      </c>
      <c r="S260" s="3" t="s">
        <v>28</v>
      </c>
      <c r="T260" s="6" t="str">
        <f>PROPER(TRIM(SUBSTITUTE(S260,"  "," ")))</f>
        <v>Rajasthan</v>
      </c>
      <c r="U260" s="3" t="s">
        <v>29</v>
      </c>
      <c r="V260" s="6" t="str">
        <f>PROPER(TRIM(SUBSTITUTE(U260,"  "," ")))</f>
        <v>Jaipur</v>
      </c>
      <c r="W260" s="3" t="s">
        <v>45</v>
      </c>
      <c r="X260" s="6" t="str">
        <f>PROPER(TRIM(SUBSTITUTE(W260,"  "," ")))</f>
        <v>Furniture</v>
      </c>
      <c r="Y260" s="3" t="s">
        <v>46</v>
      </c>
      <c r="Z260" s="6" t="str">
        <f>PROPER(TRIM(SUBSTITUTE(Y260,"  "," ")))</f>
        <v>Tables</v>
      </c>
      <c r="AA260" s="3" t="s">
        <v>2304</v>
      </c>
      <c r="AB260" s="3" t="s">
        <v>48</v>
      </c>
      <c r="AC260" s="6" t="str">
        <f>PROPER(TRIM(SUBSTITUTE(AB260,"  "," ")))</f>
        <v>Same Day</v>
      </c>
      <c r="AD260" s="3">
        <v>2</v>
      </c>
      <c r="AE260" s="3">
        <v>4424.78</v>
      </c>
      <c r="AF260" s="3">
        <v>0.2</v>
      </c>
      <c r="AG260" s="17">
        <v>0.2</v>
      </c>
      <c r="AH260" s="6" t="str">
        <f t="shared" si="35"/>
        <v>Valid</v>
      </c>
      <c r="AI260" s="3">
        <v>7079.65</v>
      </c>
      <c r="AJ260" s="3">
        <v>4465.91</v>
      </c>
      <c r="AK260" s="3">
        <v>2613.7399999999998</v>
      </c>
      <c r="AL260" s="3" t="s">
        <v>34</v>
      </c>
      <c r="AM260" s="6" t="str">
        <f>PROPER(TRIM(SUBSTITUTE(AL260,".","")))</f>
        <v>Paid</v>
      </c>
      <c r="AN260" s="3" t="s">
        <v>35</v>
      </c>
      <c r="AO260" s="8" t="str">
        <f>PROPER(TRIM(SUBSTITUTE(AN260,".","")))</f>
        <v>Completed</v>
      </c>
      <c r="AP260" t="str">
        <f>IF(COUNTIF($A$2:$A$933, A260) &gt; 1, "Duplicate ID", "Unique")</f>
        <v>Unique</v>
      </c>
      <c r="AR260">
        <f t="shared" si="36"/>
        <v>7079.6480000000001</v>
      </c>
      <c r="AS260">
        <f t="shared" si="37"/>
        <v>2613.7380000000003</v>
      </c>
      <c r="AT260" s="15">
        <f t="shared" si="38"/>
        <v>0.36919038912669105</v>
      </c>
      <c r="AU260" t="str">
        <f t="shared" si="39"/>
        <v>Clean</v>
      </c>
      <c r="AV260" s="8" t="str">
        <f t="shared" si="40"/>
        <v>Active</v>
      </c>
    </row>
    <row r="261" spans="1:48">
      <c r="A261" s="3" t="s">
        <v>528</v>
      </c>
      <c r="B261" s="3" t="s">
        <v>529</v>
      </c>
      <c r="C261" s="9">
        <f>IFERROR(DATEVALUE(TEXT(B261,"DD/MM/YYYY")), IF(ISNUMBER(B261), B261, ""))</f>
        <v>45503</v>
      </c>
      <c r="D261" s="9" t="str">
        <f>IF(B261="","Missing", IF(AND(ISNUMBER(B261)=FALSE, C261=""),"Invalid - Could Not Parse", IF(AND(ISNUMBER(B261)=FALSE, C261&lt;&gt;""),"Text - Converted to Date", IF(ISNUMBER(B261),"Valid","Check"))))</f>
        <v>Text - Converted to Date</v>
      </c>
      <c r="E261" s="5">
        <f t="shared" si="33"/>
        <v>7</v>
      </c>
      <c r="F261" s="5">
        <f t="shared" si="34"/>
        <v>2024</v>
      </c>
      <c r="G261" s="3" t="s">
        <v>530</v>
      </c>
      <c r="H261" s="9">
        <f>IFERROR(DATEVALUE(TEXT(G261,"DD/MM/YYYY")), IF(ISNUMBER(G261), G261, ""))</f>
        <v>45420</v>
      </c>
      <c r="I261" s="9" t="str">
        <f>IF(G261="","Missing", IF(AND(ISNUMBER(G261)=FALSE, H261=""),"Invalid - Could Not Parse", IF(AND(ISNUMBER(G261)=FALSE, H261&lt;&gt;""),"Text - Converted to Date", IF(ISNUMBER(G261),"Valid","Check"))))</f>
        <v>Text - Converted to Date</v>
      </c>
      <c r="J261" s="9" t="str">
        <f>IF(OR(C261="", H261=""), "Cannot Check - Date Missing", IF(H261&lt;C261, "Invalid - Ship Before Order", "Valid"))</f>
        <v>Invalid - Ship Before Order</v>
      </c>
      <c r="K261" s="5" t="str">
        <f>IF(OR(C261="", H261=""), "", IF(H261&lt;C261, "", H261-C261))</f>
        <v/>
      </c>
      <c r="L261" s="3" t="s">
        <v>531</v>
      </c>
      <c r="M261" s="3" t="s">
        <v>366</v>
      </c>
      <c r="N261" s="4" t="str">
        <f>TRIM(SUBSTITUTE(M261,"_"," "))</f>
        <v>Kabir Singh</v>
      </c>
      <c r="O261" s="3" t="s">
        <v>108</v>
      </c>
      <c r="P261" s="6" t="str">
        <f>PROPER(TRIM(SUBSTITUTE(O261,".","")))</f>
        <v>Corporate</v>
      </c>
      <c r="Q261" s="3" t="s">
        <v>27</v>
      </c>
      <c r="R261" s="7" t="str">
        <f>PROPER(TRIM(SUBSTITUTE(Q261,"  "," ")))</f>
        <v>North</v>
      </c>
      <c r="S261" s="3" t="s">
        <v>506</v>
      </c>
      <c r="T261" s="6" t="str">
        <f>PROPER(TRIM(SUBSTITUTE(S261,"  "," ")))</f>
        <v>Delhi</v>
      </c>
      <c r="U261" s="3" t="s">
        <v>507</v>
      </c>
      <c r="V261" s="6" t="str">
        <f>PROPER(TRIM(SUBSTITUTE(U261,"  "," ")))</f>
        <v>New Delhi</v>
      </c>
      <c r="W261" s="3" t="s">
        <v>30</v>
      </c>
      <c r="X261" s="6" t="str">
        <f>PROPER(TRIM(SUBSTITUTE(W261,"  "," ")))</f>
        <v>Office Supplies</v>
      </c>
      <c r="Y261" s="3" t="s">
        <v>198</v>
      </c>
      <c r="Z261" s="6" t="str">
        <f>PROPER(TRIM(SUBSTITUTE(Y261,"  "," ")))</f>
        <v>Binders</v>
      </c>
      <c r="AA261" s="3" t="s">
        <v>532</v>
      </c>
      <c r="AB261" s="3" t="s">
        <v>67</v>
      </c>
      <c r="AC261" s="6" t="str">
        <f>PROPER(TRIM(SUBSTITUTE(AB261,"  "," ")))</f>
        <v>Standard Class</v>
      </c>
      <c r="AD261" s="3">
        <v>1</v>
      </c>
      <c r="AE261" s="3">
        <v>608.64</v>
      </c>
      <c r="AF261" s="3">
        <v>0</v>
      </c>
      <c r="AG261" s="17">
        <v>0</v>
      </c>
      <c r="AH261" s="6" t="str">
        <f t="shared" si="35"/>
        <v>Valid</v>
      </c>
      <c r="AI261" s="3">
        <v>608.64</v>
      </c>
      <c r="AJ261" s="3">
        <v>343.99</v>
      </c>
      <c r="AK261" s="3">
        <v>264.64999999999998</v>
      </c>
      <c r="AL261" s="3" t="s">
        <v>34</v>
      </c>
      <c r="AM261" s="6" t="str">
        <f>PROPER(TRIM(SUBSTITUTE(AL261,".","")))</f>
        <v>Paid</v>
      </c>
      <c r="AN261" s="3" t="s">
        <v>78</v>
      </c>
      <c r="AO261" s="8" t="str">
        <f>PROPER(TRIM(SUBSTITUTE(AN261,".","")))</f>
        <v>Cancelled</v>
      </c>
      <c r="AP261" t="str">
        <f>IF(COUNTIF($A$2:$A$933, A261) &gt; 1, "Duplicate ID", "Unique")</f>
        <v>Unique</v>
      </c>
      <c r="AR261">
        <f t="shared" si="36"/>
        <v>608.64</v>
      </c>
      <c r="AS261">
        <f t="shared" si="37"/>
        <v>264.64999999999998</v>
      </c>
      <c r="AT261" s="15">
        <f t="shared" si="38"/>
        <v>0.43482189800210302</v>
      </c>
      <c r="AU261" t="str">
        <f t="shared" si="39"/>
        <v>Invalid</v>
      </c>
      <c r="AV261" s="8" t="str">
        <f t="shared" si="40"/>
        <v>Cancelled</v>
      </c>
    </row>
    <row r="262" spans="1:48">
      <c r="A262" s="3" t="s">
        <v>3663</v>
      </c>
      <c r="B262" s="3" t="s">
        <v>3664</v>
      </c>
      <c r="C262" s="9">
        <f>IFERROR(DATEVALUE(TEXT(B262,"DD/MM/YYYY")), IF(ISNUMBER(B262), B262, ""))</f>
        <v>45503</v>
      </c>
      <c r="D262" s="9" t="str">
        <f>IF(B262="","Missing", IF(AND(ISNUMBER(B262)=FALSE, C262=""),"Invalid - Could Not Parse", IF(AND(ISNUMBER(B262)=FALSE, C262&lt;&gt;""),"Text - Converted to Date", IF(ISNUMBER(B262),"Valid","Check"))))</f>
        <v>Text - Converted to Date</v>
      </c>
      <c r="E262" s="5">
        <f t="shared" si="33"/>
        <v>7</v>
      </c>
      <c r="F262" s="5">
        <f t="shared" si="34"/>
        <v>2024</v>
      </c>
      <c r="G262" s="3" t="s">
        <v>529</v>
      </c>
      <c r="H262" s="9">
        <f>IFERROR(DATEVALUE(TEXT(G262,"DD/MM/YYYY")), IF(ISNUMBER(G262), G262, ""))</f>
        <v>45503</v>
      </c>
      <c r="I262" s="9" t="str">
        <f>IF(G262="","Missing", IF(AND(ISNUMBER(G262)=FALSE, H262=""),"Invalid - Could Not Parse", IF(AND(ISNUMBER(G262)=FALSE, H262&lt;&gt;""),"Text - Converted to Date", IF(ISNUMBER(G262),"Valid","Check"))))</f>
        <v>Text - Converted to Date</v>
      </c>
      <c r="J262" s="9" t="str">
        <f>IF(OR(C262="", H262=""), "Cannot Check - Date Missing", IF(H262&lt;C262, "Invalid - Ship Before Order", "Valid"))</f>
        <v>Valid</v>
      </c>
      <c r="K262" s="5">
        <f>IF(OR(C262="", H262=""), "", IF(H262&lt;C262, "", H262-C262))</f>
        <v>0</v>
      </c>
      <c r="L262" s="3" t="s">
        <v>3665</v>
      </c>
      <c r="M262" s="3" t="s">
        <v>210</v>
      </c>
      <c r="N262" s="4" t="str">
        <f>TRIM(SUBSTITUTE(M262,"_"," "))</f>
        <v>Diya Patel</v>
      </c>
      <c r="O262" s="3" t="s">
        <v>115</v>
      </c>
      <c r="P262" s="6" t="str">
        <f>PROPER(TRIM(SUBSTITUTE(O262,".","")))</f>
        <v>Home Office</v>
      </c>
      <c r="Q262" s="3" t="s">
        <v>42</v>
      </c>
      <c r="R262" s="7" t="str">
        <f>PROPER(TRIM(SUBSTITUTE(Q262,"  "," ")))</f>
        <v>East</v>
      </c>
      <c r="S262" s="3" t="s">
        <v>43</v>
      </c>
      <c r="T262" s="6" t="str">
        <f>PROPER(TRIM(SUBSTITUTE(S262,"  "," ")))</f>
        <v>Odisha</v>
      </c>
      <c r="U262" s="3" t="s">
        <v>44</v>
      </c>
      <c r="V262" s="6" t="str">
        <f>PROPER(TRIM(SUBSTITUTE(U262,"  "," ")))</f>
        <v>Bhubaneswar</v>
      </c>
      <c r="W262" s="3" t="s">
        <v>86</v>
      </c>
      <c r="X262" s="6" t="str">
        <f>PROPER(TRIM(SUBSTITUTE(W262,"  "," ")))</f>
        <v>Technology</v>
      </c>
      <c r="Y262" s="3" t="s">
        <v>94</v>
      </c>
      <c r="Z262" s="6" t="str">
        <f>PROPER(TRIM(SUBSTITUTE(Y262,"  "," ")))</f>
        <v>Copiers</v>
      </c>
      <c r="AA262" s="3" t="s">
        <v>3666</v>
      </c>
      <c r="AB262" s="3" t="s">
        <v>48</v>
      </c>
      <c r="AC262" s="6" t="str">
        <f>PROPER(TRIM(SUBSTITUTE(AB262,"  "," ")))</f>
        <v>Same Day</v>
      </c>
      <c r="AD262" s="3">
        <v>9</v>
      </c>
      <c r="AE262" s="3">
        <v>2894.66</v>
      </c>
      <c r="AF262" s="3">
        <v>0</v>
      </c>
      <c r="AG262" s="17">
        <v>0</v>
      </c>
      <c r="AH262" s="6" t="str">
        <f t="shared" si="35"/>
        <v>Valid</v>
      </c>
      <c r="AI262" s="3">
        <v>26051.94</v>
      </c>
      <c r="AJ262" s="3">
        <v>16883.59</v>
      </c>
      <c r="AK262" s="3">
        <v>9168.35</v>
      </c>
      <c r="AL262" s="3" t="s">
        <v>124</v>
      </c>
      <c r="AM262" s="6" t="str">
        <f>PROPER(TRIM(SUBSTITUTE(AL262,".","")))</f>
        <v>Refunded</v>
      </c>
      <c r="AN262" s="3" t="s">
        <v>78</v>
      </c>
      <c r="AO262" s="8" t="str">
        <f>PROPER(TRIM(SUBSTITUTE(AN262,".","")))</f>
        <v>Cancelled</v>
      </c>
      <c r="AP262" t="str">
        <f>IF(COUNTIF($A$2:$A$933, A262) &gt; 1, "Duplicate ID", "Unique")</f>
        <v>Unique</v>
      </c>
      <c r="AR262">
        <f t="shared" si="36"/>
        <v>26051.94</v>
      </c>
      <c r="AS262">
        <f t="shared" si="37"/>
        <v>9168.3499999999985</v>
      </c>
      <c r="AT262" s="15">
        <f t="shared" si="38"/>
        <v>0.3519258066769691</v>
      </c>
      <c r="AU262" t="str">
        <f t="shared" si="39"/>
        <v>Clean</v>
      </c>
      <c r="AV262" s="8" t="str">
        <f t="shared" si="40"/>
        <v>Refund</v>
      </c>
    </row>
    <row r="263" spans="1:48">
      <c r="A263" s="3" t="s">
        <v>2569</v>
      </c>
      <c r="B263" s="3" t="s">
        <v>1299</v>
      </c>
      <c r="C263" s="9">
        <f>IFERROR(DATEVALUE(TEXT(B263,"DD/MM/YYYY")), IF(ISNUMBER(B263), B263, ""))</f>
        <v>45505</v>
      </c>
      <c r="D263" s="9" t="str">
        <f>IF(B263="","Missing", IF(AND(ISNUMBER(B263)=FALSE, C263=""),"Invalid - Could Not Parse", IF(AND(ISNUMBER(B263)=FALSE, C263&lt;&gt;""),"Text - Converted to Date", IF(ISNUMBER(B263),"Valid","Check"))))</f>
        <v>Text - Converted to Date</v>
      </c>
      <c r="E263" s="5">
        <f t="shared" si="33"/>
        <v>8</v>
      </c>
      <c r="F263" s="5">
        <f t="shared" si="34"/>
        <v>2024</v>
      </c>
      <c r="G263" s="3" t="s">
        <v>2570</v>
      </c>
      <c r="H263" s="9">
        <f>IFERROR(DATEVALUE(TEXT(G263,"DD/MM/YYYY")), IF(ISNUMBER(G263), G263, ""))</f>
        <v>45512</v>
      </c>
      <c r="I263" s="9" t="str">
        <f>IF(G263="","Missing", IF(AND(ISNUMBER(G263)=FALSE, H263=""),"Invalid - Could Not Parse", IF(AND(ISNUMBER(G263)=FALSE, H263&lt;&gt;""),"Text - Converted to Date", IF(ISNUMBER(G263),"Valid","Check"))))</f>
        <v>Text - Converted to Date</v>
      </c>
      <c r="J263" s="9" t="str">
        <f>IF(OR(C263="", H263=""), "Cannot Check - Date Missing", IF(H263&lt;C263, "Invalid - Ship Before Order", "Valid"))</f>
        <v>Valid</v>
      </c>
      <c r="K263" s="5">
        <f>IF(OR(C263="", H263=""), "", IF(H263&lt;C263, "", H263-C263))</f>
        <v>7</v>
      </c>
      <c r="L263" s="3" t="s">
        <v>2571</v>
      </c>
      <c r="M263" s="3" t="s">
        <v>210</v>
      </c>
      <c r="N263" s="4" t="str">
        <f>TRIM(SUBSTITUTE(M263,"_"," "))</f>
        <v>Diya Patel</v>
      </c>
      <c r="O263" s="3" t="s">
        <v>41</v>
      </c>
      <c r="P263" s="6" t="str">
        <f>PROPER(TRIM(SUBSTITUTE(O263,".","")))</f>
        <v>Small Business</v>
      </c>
      <c r="Q263" s="3" t="s">
        <v>73</v>
      </c>
      <c r="R263" s="7" t="str">
        <f>PROPER(TRIM(SUBSTITUTE(Q263,"  "," ")))</f>
        <v>West</v>
      </c>
      <c r="S263" s="3" t="s">
        <v>74</v>
      </c>
      <c r="T263" s="6" t="str">
        <f>PROPER(TRIM(SUBSTITUTE(S263,"  "," ")))</f>
        <v>Maharashtra</v>
      </c>
      <c r="U263" s="3" t="s">
        <v>75</v>
      </c>
      <c r="V263" s="6" t="str">
        <f>PROPER(TRIM(SUBSTITUTE(U263,"  "," ")))</f>
        <v>Mumbai</v>
      </c>
      <c r="W263" s="3" t="s">
        <v>30</v>
      </c>
      <c r="X263" s="6" t="str">
        <f>PROPER(TRIM(SUBSTITUTE(W263,"  "," ")))</f>
        <v>Office Supplies</v>
      </c>
      <c r="Y263" s="3" t="s">
        <v>156</v>
      </c>
      <c r="Z263" s="6" t="str">
        <f>PROPER(TRIM(SUBSTITUTE(Y263,"  "," ")))</f>
        <v>Storage</v>
      </c>
      <c r="AA263" s="3" t="s">
        <v>2572</v>
      </c>
      <c r="AB263" s="3"/>
      <c r="AC263" s="11" t="str">
        <f>IF(ISBLANK(AB263), "Unknown", AB263)</f>
        <v>Unknown</v>
      </c>
      <c r="AD263" s="3">
        <v>1</v>
      </c>
      <c r="AE263" s="3">
        <v>442.97</v>
      </c>
      <c r="AF263" s="3">
        <v>0.1</v>
      </c>
      <c r="AG263" s="17">
        <v>0.1</v>
      </c>
      <c r="AH263" s="6" t="str">
        <f t="shared" si="35"/>
        <v>Valid</v>
      </c>
      <c r="AI263" s="3">
        <v>398.67</v>
      </c>
      <c r="AJ263" s="3">
        <v>311.66000000000003</v>
      </c>
      <c r="AK263" s="3">
        <v>87.01</v>
      </c>
      <c r="AL263" s="3" t="s">
        <v>34</v>
      </c>
      <c r="AM263" s="6" t="str">
        <f>PROPER(TRIM(SUBSTITUTE(AL263,".","")))</f>
        <v>Paid</v>
      </c>
      <c r="AN263" s="3" t="s">
        <v>35</v>
      </c>
      <c r="AO263" s="8" t="str">
        <f>PROPER(TRIM(SUBSTITUTE(AN263,".","")))</f>
        <v>Completed</v>
      </c>
      <c r="AP263" t="str">
        <f>IF(COUNTIF($A$2:$A$933, A263) &gt; 1, "Duplicate ID", "Unique")</f>
        <v>Unique</v>
      </c>
      <c r="AR263">
        <f t="shared" si="36"/>
        <v>398.67300000000006</v>
      </c>
      <c r="AS263">
        <f t="shared" si="37"/>
        <v>87.013000000000034</v>
      </c>
      <c r="AT263" s="15">
        <f t="shared" si="38"/>
        <v>0.21825656615822997</v>
      </c>
      <c r="AU263" t="str">
        <f t="shared" si="39"/>
        <v>Clean</v>
      </c>
      <c r="AV263" s="8" t="str">
        <f t="shared" si="40"/>
        <v>Active</v>
      </c>
    </row>
    <row r="264" spans="1:48">
      <c r="A264" s="3" t="s">
        <v>3635</v>
      </c>
      <c r="B264" s="3" t="s">
        <v>1299</v>
      </c>
      <c r="C264" s="9">
        <f>IFERROR(DATEVALUE(TEXT(B264,"DD/MM/YYYY")), IF(ISNUMBER(B264), B264, ""))</f>
        <v>45505</v>
      </c>
      <c r="D264" s="9" t="str">
        <f>IF(B264="","Missing", IF(AND(ISNUMBER(B264)=FALSE, C264=""),"Invalid - Could Not Parse", IF(AND(ISNUMBER(B264)=FALSE, C264&lt;&gt;""),"Text - Converted to Date", IF(ISNUMBER(B264),"Valid","Check"))))</f>
        <v>Text - Converted to Date</v>
      </c>
      <c r="E264" s="5">
        <f t="shared" si="33"/>
        <v>8</v>
      </c>
      <c r="F264" s="5">
        <f t="shared" si="34"/>
        <v>2024</v>
      </c>
      <c r="G264" s="3" t="s">
        <v>538</v>
      </c>
      <c r="H264" s="9">
        <f>IFERROR(DATEVALUE(TEXT(G264,"DD/MM/YYYY")), IF(ISNUMBER(G264), G264, ""))</f>
        <v>45506</v>
      </c>
      <c r="I264" s="9" t="str">
        <f>IF(G264="","Missing", IF(AND(ISNUMBER(G264)=FALSE, H264=""),"Invalid - Could Not Parse", IF(AND(ISNUMBER(G264)=FALSE, H264&lt;&gt;""),"Text - Converted to Date", IF(ISNUMBER(G264),"Valid","Check"))))</f>
        <v>Text - Converted to Date</v>
      </c>
      <c r="J264" s="9" t="str">
        <f>IF(OR(C264="", H264=""), "Cannot Check - Date Missing", IF(H264&lt;C264, "Invalid - Ship Before Order", "Valid"))</f>
        <v>Valid</v>
      </c>
      <c r="K264" s="5">
        <f>IF(OR(C264="", H264=""), "", IF(H264&lt;C264, "", H264-C264))</f>
        <v>1</v>
      </c>
      <c r="L264" s="3" t="s">
        <v>3636</v>
      </c>
      <c r="M264" s="3" t="s">
        <v>53</v>
      </c>
      <c r="N264" s="4" t="str">
        <f>TRIM(SUBSTITUTE(M264,"_"," "))</f>
        <v>Isha Nair</v>
      </c>
      <c r="O264" s="3" t="s">
        <v>108</v>
      </c>
      <c r="P264" s="6" t="str">
        <f>PROPER(TRIM(SUBSTITUTE(O264,".","")))</f>
        <v>Corporate</v>
      </c>
      <c r="Q264" s="3" t="s">
        <v>27</v>
      </c>
      <c r="R264" s="7" t="str">
        <f>PROPER(TRIM(SUBSTITUTE(Q264,"  "," ")))</f>
        <v>North</v>
      </c>
      <c r="S264" s="3" t="s">
        <v>174</v>
      </c>
      <c r="T264" s="6" t="str">
        <f>PROPER(TRIM(SUBSTITUTE(S264,"  "," ")))</f>
        <v>Uttar Pradesh</v>
      </c>
      <c r="U264" s="3" t="s">
        <v>175</v>
      </c>
      <c r="V264" s="6" t="str">
        <f>PROPER(TRIM(SUBSTITUTE(U264,"  "," ")))</f>
        <v>Noida</v>
      </c>
      <c r="W264" s="3" t="s">
        <v>45</v>
      </c>
      <c r="X264" s="6" t="str">
        <f>PROPER(TRIM(SUBSTITUTE(W264,"  "," ")))</f>
        <v>Furniture</v>
      </c>
      <c r="Y264" s="3" t="s">
        <v>76</v>
      </c>
      <c r="Z264" s="6" t="str">
        <f>PROPER(TRIM(SUBSTITUTE(Y264,"  "," ")))</f>
        <v>Chairs</v>
      </c>
      <c r="AA264" s="3" t="s">
        <v>3637</v>
      </c>
      <c r="AB264" s="3" t="s">
        <v>67</v>
      </c>
      <c r="AC264" s="6" t="str">
        <f>PROPER(TRIM(SUBSTITUTE(AB264,"  "," ")))</f>
        <v>Standard Class</v>
      </c>
      <c r="AD264" s="3">
        <v>8</v>
      </c>
      <c r="AE264" s="3">
        <v>2487.64</v>
      </c>
      <c r="AF264" s="3">
        <v>0.1</v>
      </c>
      <c r="AG264" s="17">
        <v>0.1</v>
      </c>
      <c r="AH264" s="6" t="str">
        <f t="shared" si="35"/>
        <v>Valid</v>
      </c>
      <c r="AI264" s="3">
        <v>17911.009999999998</v>
      </c>
      <c r="AJ264" s="3">
        <v>11546.05</v>
      </c>
      <c r="AK264" s="3">
        <v>6364.96</v>
      </c>
      <c r="AL264" s="3" t="s">
        <v>200</v>
      </c>
      <c r="AM264" s="6" t="str">
        <f>PROPER(TRIM(SUBSTITUTE(AL264,".","")))</f>
        <v>Failed</v>
      </c>
      <c r="AN264" s="3" t="s">
        <v>125</v>
      </c>
      <c r="AO264" s="8" t="str">
        <f>PROPER(TRIM(SUBSTITUTE(AN264,".","")))</f>
        <v>Returned</v>
      </c>
      <c r="AP264" t="str">
        <f>IF(COUNTIF($A$2:$A$933, A264) &gt; 1, "Duplicate ID", "Unique")</f>
        <v>Unique</v>
      </c>
      <c r="AR264">
        <f t="shared" si="36"/>
        <v>17911.007999999998</v>
      </c>
      <c r="AS264">
        <f t="shared" si="37"/>
        <v>6364.9579999999987</v>
      </c>
      <c r="AT264" s="15">
        <f t="shared" si="38"/>
        <v>0.35536570582738836</v>
      </c>
      <c r="AU264" t="str">
        <f t="shared" si="39"/>
        <v>Warning</v>
      </c>
      <c r="AV264" s="8" t="str">
        <f t="shared" si="40"/>
        <v>Active</v>
      </c>
    </row>
    <row r="265" spans="1:48">
      <c r="A265" s="3" t="s">
        <v>537</v>
      </c>
      <c r="B265" s="3" t="s">
        <v>538</v>
      </c>
      <c r="C265" s="9">
        <f>IFERROR(DATEVALUE(TEXT(B265,"DD/MM/YYYY")), IF(ISNUMBER(B265), B265, ""))</f>
        <v>45506</v>
      </c>
      <c r="D265" s="9" t="str">
        <f>IF(B265="","Missing", IF(AND(ISNUMBER(B265)=FALSE, C265=""),"Invalid - Could Not Parse", IF(AND(ISNUMBER(B265)=FALSE, C265&lt;&gt;""),"Text - Converted to Date", IF(ISNUMBER(B265),"Valid","Check"))))</f>
        <v>Text - Converted to Date</v>
      </c>
      <c r="E265" s="5">
        <f t="shared" si="33"/>
        <v>8</v>
      </c>
      <c r="F265" s="5">
        <f t="shared" si="34"/>
        <v>2024</v>
      </c>
      <c r="G265" s="3" t="s">
        <v>515</v>
      </c>
      <c r="H265" s="9">
        <f>IFERROR(DATEVALUE(TEXT(G265,"DD/MM/YYYY")), IF(ISNUMBER(G265), G265, ""))</f>
        <v>45507</v>
      </c>
      <c r="I265" s="9" t="str">
        <f>IF(G265="","Missing", IF(AND(ISNUMBER(G265)=FALSE, H265=""),"Invalid - Could Not Parse", IF(AND(ISNUMBER(G265)=FALSE, H265&lt;&gt;""),"Text - Converted to Date", IF(ISNUMBER(G265),"Valid","Check"))))</f>
        <v>Text - Converted to Date</v>
      </c>
      <c r="J265" s="9" t="str">
        <f>IF(OR(C265="", H265=""), "Cannot Check - Date Missing", IF(H265&lt;C265, "Invalid - Ship Before Order", "Valid"))</f>
        <v>Valid</v>
      </c>
      <c r="K265" s="5">
        <f>IF(OR(C265="", H265=""), "", IF(H265&lt;C265, "", H265-C265))</f>
        <v>1</v>
      </c>
      <c r="L265" s="3" t="s">
        <v>539</v>
      </c>
      <c r="M265" s="3" t="s">
        <v>83</v>
      </c>
      <c r="N265" s="4" t="str">
        <f>TRIM(SUBSTITUTE(M265,"_"," "))</f>
        <v>Vikram Iyer</v>
      </c>
      <c r="O265" s="3" t="s">
        <v>26</v>
      </c>
      <c r="P265" s="6" t="str">
        <f>PROPER(TRIM(SUBSTITUTE(O265,".","")))</f>
        <v>Consumer</v>
      </c>
      <c r="Q265" s="3" t="s">
        <v>42</v>
      </c>
      <c r="R265" s="7" t="str">
        <f>PROPER(TRIM(SUBSTITUTE(Q265,"  "," ")))</f>
        <v>East</v>
      </c>
      <c r="S265" s="3" t="s">
        <v>216</v>
      </c>
      <c r="T265" s="6" t="str">
        <f>PROPER(TRIM(SUBSTITUTE(S265,"  "," ")))</f>
        <v>Assam</v>
      </c>
      <c r="U265" s="3" t="s">
        <v>217</v>
      </c>
      <c r="V265" s="6" t="str">
        <f>PROPER(TRIM(SUBSTITUTE(U265,"  "," ")))</f>
        <v>Guwahati</v>
      </c>
      <c r="W265" s="3" t="s">
        <v>30</v>
      </c>
      <c r="X265" s="6" t="str">
        <f>PROPER(TRIM(SUBSTITUTE(W265,"  "," ")))</f>
        <v>Office Supplies</v>
      </c>
      <c r="Y265" s="3" t="s">
        <v>198</v>
      </c>
      <c r="Z265" s="6" t="str">
        <f>PROPER(TRIM(SUBSTITUTE(Y265,"  "," ")))</f>
        <v>Binders</v>
      </c>
      <c r="AA265" s="3" t="s">
        <v>540</v>
      </c>
      <c r="AB265" s="3" t="s">
        <v>67</v>
      </c>
      <c r="AC265" s="6" t="str">
        <f>PROPER(TRIM(SUBSTITUTE(AB265,"  "," ")))</f>
        <v>Standard Class</v>
      </c>
      <c r="AD265" s="3">
        <v>7</v>
      </c>
      <c r="AE265" s="3">
        <v>3345.22</v>
      </c>
      <c r="AF265" s="3">
        <v>0</v>
      </c>
      <c r="AG265" s="17">
        <v>0</v>
      </c>
      <c r="AH265" s="6" t="str">
        <f t="shared" si="35"/>
        <v>Valid</v>
      </c>
      <c r="AI265" s="3">
        <v>23416.54</v>
      </c>
      <c r="AJ265" s="3">
        <v>15490.89</v>
      </c>
      <c r="AK265" s="3">
        <v>7925.65</v>
      </c>
      <c r="AL265" s="3" t="s">
        <v>34</v>
      </c>
      <c r="AM265" s="6" t="str">
        <f>PROPER(TRIM(SUBSTITUTE(AL265,".","")))</f>
        <v>Paid</v>
      </c>
      <c r="AN265" s="3" t="s">
        <v>35</v>
      </c>
      <c r="AO265" s="8" t="str">
        <f>PROPER(TRIM(SUBSTITUTE(AN265,".","")))</f>
        <v>Completed</v>
      </c>
      <c r="AP265" t="str">
        <f>IF(COUNTIF($A$2:$A$933, A265) &gt; 1, "Duplicate ID", "Unique")</f>
        <v>Unique</v>
      </c>
      <c r="AR265">
        <f t="shared" si="36"/>
        <v>23416.539999999997</v>
      </c>
      <c r="AS265">
        <f t="shared" si="37"/>
        <v>7925.6499999999978</v>
      </c>
      <c r="AT265" s="15">
        <f t="shared" si="38"/>
        <v>0.33846375254414185</v>
      </c>
      <c r="AU265" t="str">
        <f t="shared" si="39"/>
        <v>Clean</v>
      </c>
      <c r="AV265" s="8" t="str">
        <f t="shared" si="40"/>
        <v>Active</v>
      </c>
    </row>
    <row r="266" spans="1:48">
      <c r="A266" s="3" t="s">
        <v>2653</v>
      </c>
      <c r="B266" s="3" t="s">
        <v>538</v>
      </c>
      <c r="C266" s="9">
        <f>IFERROR(DATEVALUE(TEXT(B266,"DD/MM/YYYY")), IF(ISNUMBER(B266), B266, ""))</f>
        <v>45506</v>
      </c>
      <c r="D266" s="9" t="str">
        <f>IF(B266="","Missing", IF(AND(ISNUMBER(B266)=FALSE, C266=""),"Invalid - Could Not Parse", IF(AND(ISNUMBER(B266)=FALSE, C266&lt;&gt;""),"Text - Converted to Date", IF(ISNUMBER(B266),"Valid","Check"))))</f>
        <v>Text - Converted to Date</v>
      </c>
      <c r="E266" s="5">
        <f t="shared" si="33"/>
        <v>8</v>
      </c>
      <c r="F266" s="5">
        <f t="shared" si="34"/>
        <v>2024</v>
      </c>
      <c r="G266" s="3" t="s">
        <v>2654</v>
      </c>
      <c r="H266" s="9">
        <f>IFERROR(DATEVALUE(TEXT(G266,"DD/MM/YYYY")), IF(ISNUMBER(G266), G266, ""))</f>
        <v>45573</v>
      </c>
      <c r="I266" s="9" t="str">
        <f>IF(G266="","Missing", IF(AND(ISNUMBER(G266)=FALSE, H266=""),"Invalid - Could Not Parse", IF(AND(ISNUMBER(G266)=FALSE, H266&lt;&gt;""),"Text - Converted to Date", IF(ISNUMBER(G266),"Valid","Check"))))</f>
        <v>Text - Converted to Date</v>
      </c>
      <c r="J266" s="9" t="str">
        <f>IF(OR(C266="", H266=""), "Cannot Check - Date Missing", IF(H266&lt;C266, "Invalid - Ship Before Order", "Valid"))</f>
        <v>Valid</v>
      </c>
      <c r="K266" s="5">
        <f>IF(OR(C266="", H266=""), "", IF(H266&lt;C266, "", H266-C266))</f>
        <v>67</v>
      </c>
      <c r="L266" s="3" t="s">
        <v>2655</v>
      </c>
      <c r="M266" s="3" t="s">
        <v>40</v>
      </c>
      <c r="N266" s="4" t="str">
        <f>TRIM(SUBSTITUTE(M266,"_"," "))</f>
        <v>Mira Das</v>
      </c>
      <c r="O266" s="3" t="s">
        <v>115</v>
      </c>
      <c r="P266" s="6" t="str">
        <f>PROPER(TRIM(SUBSTITUTE(O266,".","")))</f>
        <v>Home Office</v>
      </c>
      <c r="Q266" s="3" t="s">
        <v>42</v>
      </c>
      <c r="R266" s="7" t="str">
        <f>PROPER(TRIM(SUBSTITUTE(Q266,"  "," ")))</f>
        <v>East</v>
      </c>
      <c r="S266" s="3" t="s">
        <v>43</v>
      </c>
      <c r="T266" s="6" t="str">
        <f>PROPER(TRIM(SUBSTITUTE(S266,"  "," ")))</f>
        <v>Odisha</v>
      </c>
      <c r="U266" s="3" t="s">
        <v>44</v>
      </c>
      <c r="V266" s="6" t="str">
        <f>PROPER(TRIM(SUBSTITUTE(U266,"  "," ")))</f>
        <v>Bhubaneswar</v>
      </c>
      <c r="W266" s="3" t="s">
        <v>86</v>
      </c>
      <c r="X266" s="6" t="str">
        <f>PROPER(TRIM(SUBSTITUTE(W266,"  "," ")))</f>
        <v>Technology</v>
      </c>
      <c r="Y266" s="3" t="s">
        <v>87</v>
      </c>
      <c r="Z266" s="6" t="str">
        <f>PROPER(TRIM(SUBSTITUTE(Y266,"  "," ")))</f>
        <v>Accessories</v>
      </c>
      <c r="AA266" s="3" t="s">
        <v>2656</v>
      </c>
      <c r="AB266" s="3" t="s">
        <v>67</v>
      </c>
      <c r="AC266" s="6" t="str">
        <f>PROPER(TRIM(SUBSTITUTE(AB266,"  "," ")))</f>
        <v>Standard Class</v>
      </c>
      <c r="AD266" s="3">
        <v>6</v>
      </c>
      <c r="AE266" s="3">
        <v>2126.44</v>
      </c>
      <c r="AF266" s="3">
        <v>0.2</v>
      </c>
      <c r="AG266" s="17">
        <v>0.2</v>
      </c>
      <c r="AH266" s="6" t="str">
        <f t="shared" si="35"/>
        <v>Valid</v>
      </c>
      <c r="AI266" s="3">
        <v>10206.91</v>
      </c>
      <c r="AJ266" s="3">
        <v>6764.53</v>
      </c>
      <c r="AK266" s="3">
        <v>3442.38</v>
      </c>
      <c r="AL266" s="3" t="s">
        <v>34</v>
      </c>
      <c r="AM266" s="6" t="str">
        <f>PROPER(TRIM(SUBSTITUTE(AL266,".","")))</f>
        <v>Paid</v>
      </c>
      <c r="AN266" s="3" t="s">
        <v>35</v>
      </c>
      <c r="AO266" s="8" t="str">
        <f>PROPER(TRIM(SUBSTITUTE(AN266,".","")))</f>
        <v>Completed</v>
      </c>
      <c r="AP266" t="str">
        <f>IF(COUNTIF($A$2:$A$933, A266) &gt; 1, "Duplicate ID", "Unique")</f>
        <v>Unique</v>
      </c>
      <c r="AR266">
        <f t="shared" si="36"/>
        <v>10206.912</v>
      </c>
      <c r="AS266">
        <f t="shared" si="37"/>
        <v>3442.3820000000005</v>
      </c>
      <c r="AT266" s="15">
        <f t="shared" si="38"/>
        <v>0.33725988820125036</v>
      </c>
      <c r="AU266" t="str">
        <f t="shared" si="39"/>
        <v>Clean</v>
      </c>
      <c r="AV266" s="8" t="str">
        <f t="shared" si="40"/>
        <v>Active</v>
      </c>
    </row>
    <row r="267" spans="1:48">
      <c r="A267" s="3" t="s">
        <v>514</v>
      </c>
      <c r="B267" s="3" t="s">
        <v>515</v>
      </c>
      <c r="C267" s="9">
        <f>IFERROR(DATEVALUE(TEXT(B267,"DD/MM/YYYY")), IF(ISNUMBER(B267), B267, ""))</f>
        <v>45507</v>
      </c>
      <c r="D267" s="9" t="str">
        <f>IF(B267="","Missing", IF(AND(ISNUMBER(B267)=FALSE, C267=""),"Invalid - Could Not Parse", IF(AND(ISNUMBER(B267)=FALSE, C267&lt;&gt;""),"Text - Converted to Date", IF(ISNUMBER(B267),"Valid","Check"))))</f>
        <v>Text - Converted to Date</v>
      </c>
      <c r="E267" s="5">
        <f t="shared" si="33"/>
        <v>8</v>
      </c>
      <c r="F267" s="5">
        <f t="shared" si="34"/>
        <v>2024</v>
      </c>
      <c r="G267" s="3" t="s">
        <v>516</v>
      </c>
      <c r="H267" s="9">
        <f>IFERROR(DATEVALUE(TEXT(G267,"DD/MM/YYYY")), IF(ISNUMBER(G267), G267, ""))</f>
        <v>45508</v>
      </c>
      <c r="I267" s="9" t="str">
        <f>IF(G267="","Missing", IF(AND(ISNUMBER(G267)=FALSE, H267=""),"Invalid - Could Not Parse", IF(AND(ISNUMBER(G267)=FALSE, H267&lt;&gt;""),"Text - Converted to Date", IF(ISNUMBER(G267),"Valid","Check"))))</f>
        <v>Text - Converted to Date</v>
      </c>
      <c r="J267" s="9" t="str">
        <f>IF(OR(C267="", H267=""), "Cannot Check - Date Missing", IF(H267&lt;C267, "Invalid - Ship Before Order", "Valid"))</f>
        <v>Valid</v>
      </c>
      <c r="K267" s="5">
        <f>IF(OR(C267="", H267=""), "", IF(H267&lt;C267, "", H267-C267))</f>
        <v>1</v>
      </c>
      <c r="L267" s="3" t="s">
        <v>517</v>
      </c>
      <c r="M267" s="3" t="s">
        <v>61</v>
      </c>
      <c r="N267" s="4" t="str">
        <f>TRIM(SUBSTITUTE(M267,"_"," "))</f>
        <v>Arjun Bose</v>
      </c>
      <c r="O267" s="3" t="s">
        <v>26</v>
      </c>
      <c r="P267" s="6" t="str">
        <f>PROPER(TRIM(SUBSTITUTE(O267,".","")))</f>
        <v>Consumer</v>
      </c>
      <c r="Q267" s="3" t="s">
        <v>27</v>
      </c>
      <c r="R267" s="7" t="str">
        <f>PROPER(TRIM(SUBSTITUTE(Q267,"  "," ")))</f>
        <v>North</v>
      </c>
      <c r="S267" s="3" t="s">
        <v>174</v>
      </c>
      <c r="T267" s="6" t="str">
        <f>PROPER(TRIM(SUBSTITUTE(S267,"  "," ")))</f>
        <v>Uttar Pradesh</v>
      </c>
      <c r="U267" s="3" t="s">
        <v>175</v>
      </c>
      <c r="V267" s="6" t="str">
        <f>PROPER(TRIM(SUBSTITUTE(U267,"  "," ")))</f>
        <v>Noida</v>
      </c>
      <c r="W267" s="3" t="s">
        <v>86</v>
      </c>
      <c r="X267" s="6" t="str">
        <f>PROPER(TRIM(SUBSTITUTE(W267,"  "," ")))</f>
        <v>Technology</v>
      </c>
      <c r="Y267" s="3" t="s">
        <v>94</v>
      </c>
      <c r="Z267" s="6" t="str">
        <f>PROPER(TRIM(SUBSTITUTE(Y267,"  "," ")))</f>
        <v>Copiers</v>
      </c>
      <c r="AA267" s="3" t="s">
        <v>518</v>
      </c>
      <c r="AB267" s="3" t="s">
        <v>33</v>
      </c>
      <c r="AC267" s="6" t="str">
        <f>PROPER(TRIM(SUBSTITUTE(AB267,"  "," ")))</f>
        <v>Second Class</v>
      </c>
      <c r="AD267" s="3">
        <v>6</v>
      </c>
      <c r="AE267" s="3">
        <v>1001.73</v>
      </c>
      <c r="AF267" s="3">
        <v>0</v>
      </c>
      <c r="AG267" s="17">
        <v>0</v>
      </c>
      <c r="AH267" s="6" t="str">
        <f t="shared" si="35"/>
        <v>Valid</v>
      </c>
      <c r="AI267" s="3">
        <v>6010.38</v>
      </c>
      <c r="AJ267" s="3">
        <v>3762.85</v>
      </c>
      <c r="AK267" s="3">
        <v>2247.5300000000002</v>
      </c>
      <c r="AL267" s="3" t="s">
        <v>200</v>
      </c>
      <c r="AM267" s="6" t="str">
        <f>PROPER(TRIM(SUBSTITUTE(AL267,".","")))</f>
        <v>Failed</v>
      </c>
      <c r="AN267" s="3" t="s">
        <v>125</v>
      </c>
      <c r="AO267" s="8" t="str">
        <f>PROPER(TRIM(SUBSTITUTE(AN267,".","")))</f>
        <v>Returned</v>
      </c>
      <c r="AP267" t="str">
        <f>IF(COUNTIF($A$2:$A$933, A267) &gt; 1, "Duplicate ID", "Unique")</f>
        <v>Unique</v>
      </c>
      <c r="AR267">
        <f t="shared" si="36"/>
        <v>6010.38</v>
      </c>
      <c r="AS267">
        <f t="shared" si="37"/>
        <v>2247.5300000000002</v>
      </c>
      <c r="AT267" s="15">
        <f t="shared" si="38"/>
        <v>0.37394141468592673</v>
      </c>
      <c r="AU267" t="str">
        <f t="shared" si="39"/>
        <v>Clean</v>
      </c>
      <c r="AV267" s="8" t="str">
        <f t="shared" si="40"/>
        <v>Active</v>
      </c>
    </row>
    <row r="268" spans="1:48">
      <c r="A268" s="3" t="s">
        <v>3602</v>
      </c>
      <c r="B268" s="3" t="s">
        <v>3603</v>
      </c>
      <c r="C268" s="9">
        <f>IFERROR(DATEVALUE(TEXT(B268,"DD/MM/YYYY")), IF(ISNUMBER(B268), B268, ""))</f>
        <v>45508</v>
      </c>
      <c r="D268" s="9" t="str">
        <f>IF(B268="","Missing", IF(AND(ISNUMBER(B268)=FALSE, C268=""),"Invalid - Could Not Parse", IF(AND(ISNUMBER(B268)=FALSE, C268&lt;&gt;""),"Text - Converted to Date", IF(ISNUMBER(B268),"Valid","Check"))))</f>
        <v>Text - Converted to Date</v>
      </c>
      <c r="E268" s="5">
        <f t="shared" si="33"/>
        <v>8</v>
      </c>
      <c r="F268" s="5">
        <f t="shared" si="34"/>
        <v>2024</v>
      </c>
      <c r="G268" s="3" t="s">
        <v>2654</v>
      </c>
      <c r="H268" s="9">
        <f>IFERROR(DATEVALUE(TEXT(G268,"DD/MM/YYYY")), IF(ISNUMBER(G268), G268, ""))</f>
        <v>45573</v>
      </c>
      <c r="I268" s="9" t="str">
        <f>IF(G268="","Missing", IF(AND(ISNUMBER(G268)=FALSE, H268=""),"Invalid - Could Not Parse", IF(AND(ISNUMBER(G268)=FALSE, H268&lt;&gt;""),"Text - Converted to Date", IF(ISNUMBER(G268),"Valid","Check"))))</f>
        <v>Text - Converted to Date</v>
      </c>
      <c r="J268" s="9" t="str">
        <f>IF(OR(C268="", H268=""), "Cannot Check - Date Missing", IF(H268&lt;C268, "Invalid - Ship Before Order", "Valid"))</f>
        <v>Valid</v>
      </c>
      <c r="K268" s="5">
        <f>IF(OR(C268="", H268=""), "", IF(H268&lt;C268, "", H268-C268))</f>
        <v>65</v>
      </c>
      <c r="L268" s="3" t="s">
        <v>3604</v>
      </c>
      <c r="M268" s="3" t="s">
        <v>210</v>
      </c>
      <c r="N268" s="4" t="str">
        <f>TRIM(SUBSTITUTE(M268,"_"," "))</f>
        <v>Diya Patel</v>
      </c>
      <c r="O268" s="3" t="s">
        <v>41</v>
      </c>
      <c r="P268" s="6" t="str">
        <f>PROPER(TRIM(SUBSTITUTE(O268,".","")))</f>
        <v>Small Business</v>
      </c>
      <c r="Q268" s="3" t="s">
        <v>73</v>
      </c>
      <c r="R268" s="7" t="str">
        <f>PROPER(TRIM(SUBSTITUTE(Q268,"  "," ")))</f>
        <v>West</v>
      </c>
      <c r="S268" s="3" t="s">
        <v>28</v>
      </c>
      <c r="T268" s="6" t="str">
        <f>PROPER(TRIM(SUBSTITUTE(S268,"  "," ")))</f>
        <v>Rajasthan</v>
      </c>
      <c r="U268" s="3" t="s">
        <v>135</v>
      </c>
      <c r="V268" s="6" t="str">
        <f>PROPER(TRIM(SUBSTITUTE(U268,"  "," ")))</f>
        <v>Udaipur</v>
      </c>
      <c r="W268" s="3" t="s">
        <v>45</v>
      </c>
      <c r="X268" s="6" t="str">
        <f>PROPER(TRIM(SUBSTITUTE(W268,"  "," ")))</f>
        <v>Furniture</v>
      </c>
      <c r="Y268" s="3" t="s">
        <v>76</v>
      </c>
      <c r="Z268" s="6" t="str">
        <f>PROPER(TRIM(SUBSTITUTE(Y268,"  "," ")))</f>
        <v>Chairs</v>
      </c>
      <c r="AA268" s="3" t="s">
        <v>3605</v>
      </c>
      <c r="AB268" s="3" t="s">
        <v>48</v>
      </c>
      <c r="AC268" s="6" t="str">
        <f>PROPER(TRIM(SUBSTITUTE(AB268,"  "," ")))</f>
        <v>Same Day</v>
      </c>
      <c r="AD268" s="3">
        <v>4</v>
      </c>
      <c r="AE268" s="3">
        <v>426.43</v>
      </c>
      <c r="AF268" s="3">
        <v>0.2</v>
      </c>
      <c r="AG268" s="17">
        <v>0.2</v>
      </c>
      <c r="AH268" s="6" t="str">
        <f t="shared" si="35"/>
        <v>Valid</v>
      </c>
      <c r="AI268" s="3">
        <v>1364.58</v>
      </c>
      <c r="AJ268" s="3">
        <v>978.16</v>
      </c>
      <c r="AK268" s="3">
        <v>386.42</v>
      </c>
      <c r="AL268" s="3" t="s">
        <v>34</v>
      </c>
      <c r="AM268" s="6" t="str">
        <f>PROPER(TRIM(SUBSTITUTE(AL268,".","")))</f>
        <v>Paid</v>
      </c>
      <c r="AN268" s="3" t="s">
        <v>35</v>
      </c>
      <c r="AO268" s="8" t="str">
        <f>PROPER(TRIM(SUBSTITUTE(AN268,".","")))</f>
        <v>Completed</v>
      </c>
      <c r="AP268" t="str">
        <f>IF(COUNTIF($A$2:$A$933, A268) &gt; 1, "Duplicate ID", "Unique")</f>
        <v>Unique</v>
      </c>
      <c r="AR268">
        <f t="shared" si="36"/>
        <v>1364.576</v>
      </c>
      <c r="AS268">
        <f t="shared" si="37"/>
        <v>386.41600000000005</v>
      </c>
      <c r="AT268" s="15">
        <f t="shared" si="38"/>
        <v>0.28317660577351506</v>
      </c>
      <c r="AU268" t="str">
        <f t="shared" si="39"/>
        <v>Clean</v>
      </c>
      <c r="AV268" s="8" t="str">
        <f t="shared" si="40"/>
        <v>Active</v>
      </c>
    </row>
    <row r="269" spans="1:48">
      <c r="A269" s="3" t="s">
        <v>158</v>
      </c>
      <c r="B269" s="3" t="s">
        <v>159</v>
      </c>
      <c r="C269" s="9">
        <f>IFERROR(DATEVALUE(TEXT(B269,"DD/MM/YYYY")), IF(ISNUMBER(B269), B269, ""))</f>
        <v>45509</v>
      </c>
      <c r="D269" s="9" t="str">
        <f>IF(B269="","Missing", IF(AND(ISNUMBER(B269)=FALSE, C269=""),"Invalid - Could Not Parse", IF(AND(ISNUMBER(B269)=FALSE, C269&lt;&gt;""),"Text - Converted to Date", IF(ISNUMBER(B269),"Valid","Check"))))</f>
        <v>Text - Converted to Date</v>
      </c>
      <c r="E269" s="5">
        <f t="shared" si="33"/>
        <v>8</v>
      </c>
      <c r="F269" s="5">
        <f t="shared" si="34"/>
        <v>2024</v>
      </c>
      <c r="G269" s="3" t="s">
        <v>160</v>
      </c>
      <c r="H269" s="9">
        <f>IFERROR(DATEVALUE(TEXT(G269,"DD/MM/YYYY")), IF(ISNUMBER(G269), G269, ""))</f>
        <v>45427</v>
      </c>
      <c r="I269" s="9" t="str">
        <f>IF(G269="","Missing", IF(AND(ISNUMBER(G269)=FALSE, H269=""),"Invalid - Could Not Parse", IF(AND(ISNUMBER(G269)=FALSE, H269&lt;&gt;""),"Text - Converted to Date", IF(ISNUMBER(G269),"Valid","Check"))))</f>
        <v>Text - Converted to Date</v>
      </c>
      <c r="J269" s="9" t="str">
        <f>IF(OR(C269="", H269=""), "Cannot Check - Date Missing", IF(H269&lt;C269, "Invalid - Ship Before Order", "Valid"))</f>
        <v>Invalid - Ship Before Order</v>
      </c>
      <c r="K269" s="5" t="str">
        <f>IF(OR(C269="", H269=""), "", IF(H269&lt;C269, "", H269-C269))</f>
        <v/>
      </c>
      <c r="L269" s="3" t="s">
        <v>161</v>
      </c>
      <c r="M269" s="3" t="s">
        <v>162</v>
      </c>
      <c r="N269" s="4" t="str">
        <f>TRIM(SUBSTITUTE(M269,"_"," "))</f>
        <v>Aarav Sharma</v>
      </c>
      <c r="O269" s="3" t="s">
        <v>26</v>
      </c>
      <c r="P269" s="6" t="str">
        <f>PROPER(TRIM(SUBSTITUTE(O269,".","")))</f>
        <v>Consumer</v>
      </c>
      <c r="Q269" s="3" t="s">
        <v>62</v>
      </c>
      <c r="R269" s="7" t="str">
        <f>PROPER(TRIM(SUBSTITUTE(Q269,"  "," ")))</f>
        <v>South</v>
      </c>
      <c r="S269" s="3" t="s">
        <v>63</v>
      </c>
      <c r="T269" s="6" t="str">
        <f>PROPER(TRIM(SUBSTITUTE(S269,"  "," ")))</f>
        <v>Telangana</v>
      </c>
      <c r="U269" s="3" t="s">
        <v>64</v>
      </c>
      <c r="V269" s="6" t="str">
        <f>PROPER(TRIM(SUBSTITUTE(U269,"  "," ")))</f>
        <v>Hyderabad</v>
      </c>
      <c r="W269" s="3" t="s">
        <v>30</v>
      </c>
      <c r="X269" s="6" t="str">
        <f>PROPER(TRIM(SUBSTITUTE(W269,"  "," ")))</f>
        <v>Office Supplies</v>
      </c>
      <c r="Y269" s="3" t="s">
        <v>54</v>
      </c>
      <c r="Z269" s="6" t="str">
        <f>PROPER(TRIM(SUBSTITUTE(Y269,"  "," ")))</f>
        <v>Art</v>
      </c>
      <c r="AA269" s="3" t="s">
        <v>163</v>
      </c>
      <c r="AB269" s="3" t="s">
        <v>56</v>
      </c>
      <c r="AC269" s="6" t="str">
        <f>PROPER(TRIM(SUBSTITUTE(AB269,"  "," ")))</f>
        <v>First Class</v>
      </c>
      <c r="AD269" s="3">
        <v>4</v>
      </c>
      <c r="AE269" s="3">
        <v>3323.51</v>
      </c>
      <c r="AF269" s="3">
        <v>0.25</v>
      </c>
      <c r="AG269" s="17">
        <v>0.25</v>
      </c>
      <c r="AH269" s="6" t="str">
        <f t="shared" si="35"/>
        <v>Valid</v>
      </c>
      <c r="AI269" s="3">
        <v>9970.5300000000007</v>
      </c>
      <c r="AJ269" s="3">
        <v>5668.17</v>
      </c>
      <c r="AK269" s="3">
        <v>4302.3599999999997</v>
      </c>
      <c r="AL269" s="3" t="s">
        <v>34</v>
      </c>
      <c r="AM269" s="6" t="str">
        <f>PROPER(TRIM(SUBSTITUTE(AL269,".","")))</f>
        <v>Paid</v>
      </c>
      <c r="AN269" s="3" t="s">
        <v>35</v>
      </c>
      <c r="AO269" s="8" t="str">
        <f>PROPER(TRIM(SUBSTITUTE(AN269,".","")))</f>
        <v>Completed</v>
      </c>
      <c r="AP269" t="str">
        <f>IF(COUNTIF($A$2:$A$933, A269) &gt; 1, "Duplicate ID", "Unique")</f>
        <v>Unique</v>
      </c>
      <c r="AR269">
        <f t="shared" si="36"/>
        <v>9970.5300000000007</v>
      </c>
      <c r="AS269">
        <f t="shared" si="37"/>
        <v>4302.3600000000006</v>
      </c>
      <c r="AT269" s="15">
        <f t="shared" si="38"/>
        <v>0.43150765305354882</v>
      </c>
      <c r="AU269" t="str">
        <f t="shared" si="39"/>
        <v>Invalid</v>
      </c>
      <c r="AV269" s="8" t="str">
        <f t="shared" si="40"/>
        <v>Active</v>
      </c>
    </row>
    <row r="270" spans="1:48">
      <c r="A270" s="3" t="s">
        <v>49</v>
      </c>
      <c r="B270" s="3" t="s">
        <v>50</v>
      </c>
      <c r="C270" s="9">
        <f>IFERROR(DATEVALUE(TEXT(B270,"DD/MM/YYYY")), IF(ISNUMBER(B270), B270, ""))</f>
        <v>45510</v>
      </c>
      <c r="D270" s="9" t="str">
        <f>IF(B270="","Missing", IF(AND(ISNUMBER(B270)=FALSE, C270=""),"Invalid - Could Not Parse", IF(AND(ISNUMBER(B270)=FALSE, C270&lt;&gt;""),"Text - Converted to Date", IF(ISNUMBER(B270),"Valid","Check"))))</f>
        <v>Text - Converted to Date</v>
      </c>
      <c r="E270" s="5">
        <f t="shared" si="33"/>
        <v>8</v>
      </c>
      <c r="F270" s="5">
        <f t="shared" si="34"/>
        <v>2024</v>
      </c>
      <c r="G270" s="3" t="s">
        <v>51</v>
      </c>
      <c r="H270" s="9">
        <f>IFERROR(DATEVALUE(TEXT(G270,"DD/MM/YYYY")), IF(ISNUMBER(G270), G270, ""))</f>
        <v>45458</v>
      </c>
      <c r="I270" s="9" t="str">
        <f>IF(G270="","Missing", IF(AND(ISNUMBER(G270)=FALSE, H270=""),"Invalid - Could Not Parse", IF(AND(ISNUMBER(G270)=FALSE, H270&lt;&gt;""),"Text - Converted to Date", IF(ISNUMBER(G270),"Valid","Check"))))</f>
        <v>Text - Converted to Date</v>
      </c>
      <c r="J270" s="9" t="str">
        <f>IF(OR(C270="", H270=""), "Cannot Check - Date Missing", IF(H270&lt;C270, "Invalid - Ship Before Order", "Valid"))</f>
        <v>Invalid - Ship Before Order</v>
      </c>
      <c r="K270" s="5" t="str">
        <f>IF(OR(C270="", H270=""), "", IF(H270&lt;C270, "", H270-C270))</f>
        <v/>
      </c>
      <c r="L270" s="3" t="s">
        <v>52</v>
      </c>
      <c r="M270" s="3" t="s">
        <v>53</v>
      </c>
      <c r="N270" s="4" t="str">
        <f>TRIM(SUBSTITUTE(M270,"_"," "))</f>
        <v>Isha Nair</v>
      </c>
      <c r="O270" s="3" t="s">
        <v>26</v>
      </c>
      <c r="P270" s="6" t="str">
        <f>PROPER(TRIM(SUBSTITUTE(O270,".","")))</f>
        <v>Consumer</v>
      </c>
      <c r="Q270" s="3" t="s">
        <v>42</v>
      </c>
      <c r="R270" s="7" t="str">
        <f>PROPER(TRIM(SUBSTITUTE(Q270,"  "," ")))</f>
        <v>East</v>
      </c>
      <c r="S270" s="3" t="s">
        <v>43</v>
      </c>
      <c r="T270" s="6" t="str">
        <f>PROPER(TRIM(SUBSTITUTE(S270,"  "," ")))</f>
        <v>Odisha</v>
      </c>
      <c r="U270" s="3" t="s">
        <v>44</v>
      </c>
      <c r="V270" s="6" t="str">
        <f>PROPER(TRIM(SUBSTITUTE(U270,"  "," ")))</f>
        <v>Bhubaneswar</v>
      </c>
      <c r="W270" s="3" t="s">
        <v>30</v>
      </c>
      <c r="X270" s="6" t="str">
        <f>PROPER(TRIM(SUBSTITUTE(W270,"  "," ")))</f>
        <v>Office Supplies</v>
      </c>
      <c r="Y270" s="3" t="s">
        <v>54</v>
      </c>
      <c r="Z270" s="6" t="str">
        <f>PROPER(TRIM(SUBSTITUTE(Y270,"  "," ")))</f>
        <v>Art</v>
      </c>
      <c r="AA270" s="3" t="s">
        <v>55</v>
      </c>
      <c r="AB270" s="3" t="s">
        <v>56</v>
      </c>
      <c r="AC270" s="6" t="str">
        <f>PROPER(TRIM(SUBSTITUTE(AB270,"  "," ")))</f>
        <v>First Class</v>
      </c>
      <c r="AD270" s="3">
        <v>4</v>
      </c>
      <c r="AE270" s="3">
        <v>1065.43</v>
      </c>
      <c r="AF270" s="3">
        <v>0.55000000000000004</v>
      </c>
      <c r="AG270" s="17">
        <v>0.55000000000000004</v>
      </c>
      <c r="AH270" s="6" t="str">
        <f t="shared" si="35"/>
        <v>Invalid - Above Range</v>
      </c>
      <c r="AI270" s="3">
        <v>4261.72</v>
      </c>
      <c r="AJ270" s="3">
        <v>2465.69</v>
      </c>
      <c r="AK270" s="3">
        <v>1796.03</v>
      </c>
      <c r="AL270" s="3" t="s">
        <v>34</v>
      </c>
      <c r="AM270" s="6" t="str">
        <f>PROPER(TRIM(SUBSTITUTE(AL270,".","")))</f>
        <v>Paid</v>
      </c>
      <c r="AN270" s="3" t="s">
        <v>35</v>
      </c>
      <c r="AO270" s="8" t="str">
        <f>PROPER(TRIM(SUBSTITUTE(AN270,".","")))</f>
        <v>Completed</v>
      </c>
      <c r="AP270" t="str">
        <f>IF(COUNTIF($A$2:$A$933, A270) &gt; 1, "Duplicate ID", "Unique")</f>
        <v>Unique</v>
      </c>
      <c r="AR270">
        <f t="shared" si="36"/>
        <v>1917.7739999999999</v>
      </c>
      <c r="AS270">
        <f t="shared" si="37"/>
        <v>-547.91600000000017</v>
      </c>
      <c r="AT270" s="15">
        <f t="shared" si="38"/>
        <v>-0.28570415492127865</v>
      </c>
      <c r="AU270" t="str">
        <f t="shared" si="39"/>
        <v>Invalid</v>
      </c>
      <c r="AV270" s="8" t="str">
        <f t="shared" si="40"/>
        <v>Active</v>
      </c>
    </row>
    <row r="271" spans="1:48">
      <c r="A271" s="3" t="s">
        <v>314</v>
      </c>
      <c r="B271" s="3" t="s">
        <v>315</v>
      </c>
      <c r="C271" s="9">
        <f>IFERROR(DATEVALUE(TEXT(B271,"DD/MM/YYYY")), IF(ISNUMBER(B271), B271, ""))</f>
        <v>45511</v>
      </c>
      <c r="D271" s="9" t="str">
        <f>IF(B271="","Missing", IF(AND(ISNUMBER(B271)=FALSE, C271=""),"Invalid - Could Not Parse", IF(AND(ISNUMBER(B271)=FALSE, C271&lt;&gt;""),"Text - Converted to Date", IF(ISNUMBER(B271),"Valid","Check"))))</f>
        <v>Text - Converted to Date</v>
      </c>
      <c r="E271" s="5">
        <f t="shared" si="33"/>
        <v>8</v>
      </c>
      <c r="F271" s="5">
        <f t="shared" si="34"/>
        <v>2024</v>
      </c>
      <c r="G271" s="3" t="s">
        <v>316</v>
      </c>
      <c r="H271" s="9">
        <f>IFERROR(DATEVALUE(MID(G271,4,2) &amp; "/" &amp; LEFT(G271,2) &amp; "/" &amp; RIGHT(G271,4)), IF(ISNUMBER(G271), G271, IFERROR(DATEVALUE(G271), "")))</f>
        <v>45487</v>
      </c>
      <c r="I271" s="9" t="str">
        <f>IF(G271="","Missing", IF(AND(ISNUMBER(G271)=FALSE, H271=""),"Invalid - Could Not Parse", IF(AND(ISNUMBER(G271)=FALSE, H271&lt;&gt;""),"Text - Converted to Date", IF(ISNUMBER(G271),"Valid","Check"))))</f>
        <v>Text - Converted to Date</v>
      </c>
      <c r="J271" s="9" t="str">
        <f>IF(OR(C271="", H271=""), "Cannot Check - Date Missing", IF(H271&lt;C271, "Invalid - Ship Before Order", "Valid"))</f>
        <v>Invalid - Ship Before Order</v>
      </c>
      <c r="K271" s="5" t="str">
        <f>IF(OR(C271="", H271=""), "", IF(H271&lt;C271, "", H271-C271))</f>
        <v/>
      </c>
      <c r="L271" s="3" t="s">
        <v>317</v>
      </c>
      <c r="M271" s="3" t="s">
        <v>142</v>
      </c>
      <c r="N271" s="4" t="str">
        <f>TRIM(SUBSTITUTE(M271,"_"," "))</f>
        <v>Priya Menon</v>
      </c>
      <c r="O271" s="3" t="s">
        <v>41</v>
      </c>
      <c r="P271" s="6" t="str">
        <f>PROPER(TRIM(SUBSTITUTE(O271,".","")))</f>
        <v>Small Business</v>
      </c>
      <c r="Q271" s="3" t="s">
        <v>42</v>
      </c>
      <c r="R271" s="7" t="str">
        <f>PROPER(TRIM(SUBSTITUTE(Q271,"  "," ")))</f>
        <v>East</v>
      </c>
      <c r="S271" s="3" t="s">
        <v>43</v>
      </c>
      <c r="T271" s="6" t="str">
        <f>PROPER(TRIM(SUBSTITUTE(S271,"  "," ")))</f>
        <v>Odisha</v>
      </c>
      <c r="U271" s="3" t="s">
        <v>44</v>
      </c>
      <c r="V271" s="6" t="str">
        <f>PROPER(TRIM(SUBSTITUTE(U271,"  "," ")))</f>
        <v>Bhubaneswar</v>
      </c>
      <c r="W271" s="3" t="s">
        <v>45</v>
      </c>
      <c r="X271" s="6" t="str">
        <f>PROPER(TRIM(SUBSTITUTE(W271,"  "," ")))</f>
        <v>Furniture</v>
      </c>
      <c r="Y271" s="3" t="s">
        <v>65</v>
      </c>
      <c r="Z271" s="6" t="str">
        <f>PROPER(TRIM(SUBSTITUTE(Y271,"  "," ")))</f>
        <v>Furnishings</v>
      </c>
      <c r="AA271" s="3" t="s">
        <v>318</v>
      </c>
      <c r="AB271" s="3" t="s">
        <v>48</v>
      </c>
      <c r="AC271" s="6" t="str">
        <f>PROPER(TRIM(SUBSTITUTE(AB271,"  "," ")))</f>
        <v>Same Day</v>
      </c>
      <c r="AD271" s="3">
        <v>3</v>
      </c>
      <c r="AE271" s="3">
        <v>1010.23</v>
      </c>
      <c r="AF271" s="3">
        <v>0</v>
      </c>
      <c r="AG271" s="17">
        <v>0</v>
      </c>
      <c r="AH271" s="6" t="str">
        <f t="shared" si="35"/>
        <v>Valid</v>
      </c>
      <c r="AI271" s="3">
        <v>3030.69</v>
      </c>
      <c r="AJ271" s="3">
        <v>1721.08</v>
      </c>
      <c r="AK271" s="3">
        <v>1309.6099999999999</v>
      </c>
      <c r="AL271" s="3" t="s">
        <v>34</v>
      </c>
      <c r="AM271" s="6" t="str">
        <f>PROPER(TRIM(SUBSTITUTE(AL271,".","")))</f>
        <v>Paid</v>
      </c>
      <c r="AN271" s="3" t="s">
        <v>35</v>
      </c>
      <c r="AO271" s="8" t="str">
        <f>PROPER(TRIM(SUBSTITUTE(AN271,".","")))</f>
        <v>Completed</v>
      </c>
      <c r="AP271" t="str">
        <f>IF(COUNTIF($A$2:$A$933, A271) &gt; 1, "Duplicate ID", "Unique")</f>
        <v>Unique</v>
      </c>
      <c r="AR271">
        <f t="shared" si="36"/>
        <v>3030.69</v>
      </c>
      <c r="AS271">
        <f t="shared" si="37"/>
        <v>1309.6100000000001</v>
      </c>
      <c r="AT271" s="15">
        <f t="shared" si="38"/>
        <v>0.43211611877163292</v>
      </c>
      <c r="AU271" t="str">
        <f t="shared" si="39"/>
        <v>Invalid</v>
      </c>
      <c r="AV271" s="8" t="str">
        <f t="shared" si="40"/>
        <v>Active</v>
      </c>
    </row>
    <row r="272" spans="1:48">
      <c r="A272" s="3" t="s">
        <v>2959</v>
      </c>
      <c r="B272" s="3" t="s">
        <v>2960</v>
      </c>
      <c r="C272" s="9">
        <f>IFERROR(DATEVALUE(TEXT(B272,"DD/MM/YYYY")), IF(ISNUMBER(B272), B272, ""))</f>
        <v>45512</v>
      </c>
      <c r="D272" s="9" t="str">
        <f>IF(B272="","Missing", IF(AND(ISNUMBER(B272)=FALSE, C272=""),"Invalid - Could Not Parse", IF(AND(ISNUMBER(B272)=FALSE, C272&lt;&gt;""),"Text - Converted to Date", IF(ISNUMBER(B272),"Valid","Check"))))</f>
        <v>Text - Converted to Date</v>
      </c>
      <c r="E272" s="5">
        <f t="shared" si="33"/>
        <v>8</v>
      </c>
      <c r="F272" s="5">
        <f t="shared" si="34"/>
        <v>2024</v>
      </c>
      <c r="G272" s="3" t="s">
        <v>2961</v>
      </c>
      <c r="H272" s="9">
        <f>IFERROR(DATEVALUE(TEXT(G272,"DD/MM/YYYY")), IF(ISNUMBER(G272), G272, ""))</f>
        <v>45518</v>
      </c>
      <c r="I272" s="9" t="str">
        <f>IF(G272="","Missing", IF(AND(ISNUMBER(G272)=FALSE, H272=""),"Invalid - Could Not Parse", IF(AND(ISNUMBER(G272)=FALSE, H272&lt;&gt;""),"Text - Converted to Date", IF(ISNUMBER(G272),"Valid","Check"))))</f>
        <v>Text - Converted to Date</v>
      </c>
      <c r="J272" s="9" t="str">
        <f>IF(OR(C272="", H272=""), "Cannot Check - Date Missing", IF(H272&lt;C272, "Invalid - Ship Before Order", "Valid"))</f>
        <v>Valid</v>
      </c>
      <c r="K272" s="5">
        <f>IF(OR(C272="", H272=""), "", IF(H272&lt;C272, "", H272-C272))</f>
        <v>6</v>
      </c>
      <c r="L272" s="3" t="s">
        <v>2962</v>
      </c>
      <c r="M272" s="3" t="s">
        <v>83</v>
      </c>
      <c r="N272" s="4" t="str">
        <f>TRIM(SUBSTITUTE(M272,"_"," "))</f>
        <v>Vikram Iyer</v>
      </c>
      <c r="O272" s="3" t="s">
        <v>115</v>
      </c>
      <c r="P272" s="6" t="str">
        <f>PROPER(TRIM(SUBSTITUTE(O272,".","")))</f>
        <v>Home Office</v>
      </c>
      <c r="Q272" s="3" t="s">
        <v>27</v>
      </c>
      <c r="R272" s="7" t="str">
        <f>PROPER(TRIM(SUBSTITUTE(Q272,"  "," ")))</f>
        <v>North</v>
      </c>
      <c r="S272" s="3" t="s">
        <v>154</v>
      </c>
      <c r="T272" s="6" t="str">
        <f>PROPER(TRIM(SUBSTITUTE(S272,"  "," ")))</f>
        <v>Punjab</v>
      </c>
      <c r="U272" s="3" t="s">
        <v>155</v>
      </c>
      <c r="V272" s="6" t="str">
        <f>PROPER(TRIM(SUBSTITUTE(U272,"  "," ")))</f>
        <v>Ludhiana</v>
      </c>
      <c r="W272" s="3" t="s">
        <v>30</v>
      </c>
      <c r="X272" s="6" t="str">
        <f>PROPER(TRIM(SUBSTITUTE(W272,"  "," ")))</f>
        <v>Office Supplies</v>
      </c>
      <c r="Y272" s="3" t="s">
        <v>156</v>
      </c>
      <c r="Z272" s="6" t="str">
        <f>PROPER(TRIM(SUBSTITUTE(Y272,"  "," ")))</f>
        <v>Storage</v>
      </c>
      <c r="AA272" s="3" t="s">
        <v>2963</v>
      </c>
      <c r="AB272" s="3" t="s">
        <v>33</v>
      </c>
      <c r="AC272" s="6" t="str">
        <f>PROPER(TRIM(SUBSTITUTE(AB272,"  "," ")))</f>
        <v>Second Class</v>
      </c>
      <c r="AD272" s="3">
        <v>8</v>
      </c>
      <c r="AE272" s="3">
        <v>1359.19</v>
      </c>
      <c r="AF272" s="3">
        <v>0.05</v>
      </c>
      <c r="AG272" s="17">
        <v>0.05</v>
      </c>
      <c r="AH272" s="6" t="str">
        <f t="shared" si="35"/>
        <v>Valid</v>
      </c>
      <c r="AI272" s="3">
        <v>10329.84</v>
      </c>
      <c r="AJ272" s="3">
        <v>7512.22</v>
      </c>
      <c r="AK272" s="3">
        <v>2817.62</v>
      </c>
      <c r="AL272" s="3" t="s">
        <v>34</v>
      </c>
      <c r="AM272" s="6" t="str">
        <f>PROPER(TRIM(SUBSTITUTE(AL272,".","")))</f>
        <v>Paid</v>
      </c>
      <c r="AN272" s="3" t="s">
        <v>35</v>
      </c>
      <c r="AO272" s="8" t="str">
        <f>PROPER(TRIM(SUBSTITUTE(AN272,".","")))</f>
        <v>Completed</v>
      </c>
      <c r="AP272" t="str">
        <f>IF(COUNTIF($A$2:$A$933, A272) &gt; 1, "Duplicate ID", "Unique")</f>
        <v>Unique</v>
      </c>
      <c r="AR272">
        <f t="shared" si="36"/>
        <v>10329.843999999999</v>
      </c>
      <c r="AS272">
        <f t="shared" si="37"/>
        <v>2817.6239999999989</v>
      </c>
      <c r="AT272" s="15">
        <f t="shared" si="38"/>
        <v>0.27276539703794161</v>
      </c>
      <c r="AU272" t="str">
        <f t="shared" si="39"/>
        <v>Clean</v>
      </c>
      <c r="AV272" s="8" t="str">
        <f t="shared" si="40"/>
        <v>Active</v>
      </c>
    </row>
    <row r="273" spans="1:48">
      <c r="A273" s="3" t="s">
        <v>502</v>
      </c>
      <c r="B273" s="3" t="s">
        <v>503</v>
      </c>
      <c r="C273" s="9">
        <f>IFERROR(DATEVALUE(TEXT(B273,"DD/MM/YYYY")), IF(ISNUMBER(B273), B273, ""))</f>
        <v>45514</v>
      </c>
      <c r="D273" s="9" t="str">
        <f>IF(B273="","Missing", IF(AND(ISNUMBER(B273)=FALSE, C273=""),"Invalid - Could Not Parse", IF(AND(ISNUMBER(B273)=FALSE, C273&lt;&gt;""),"Text - Converted to Date", IF(ISNUMBER(B273),"Valid","Check"))))</f>
        <v>Text - Converted to Date</v>
      </c>
      <c r="E273" s="5">
        <f t="shared" si="33"/>
        <v>8</v>
      </c>
      <c r="F273" s="5">
        <f t="shared" si="34"/>
        <v>2024</v>
      </c>
      <c r="G273" s="3" t="s">
        <v>504</v>
      </c>
      <c r="H273" s="9">
        <f>IFERROR(DATEVALUE(TEXT(G273,"DD/MM/YYYY")), IF(ISNUMBER(G273), G273, ""))</f>
        <v>45518</v>
      </c>
      <c r="I273" s="9" t="str">
        <f>IF(G273="","Missing", IF(AND(ISNUMBER(G273)=FALSE, H273=""),"Invalid - Could Not Parse", IF(AND(ISNUMBER(G273)=FALSE, H273&lt;&gt;""),"Text - Converted to Date", IF(ISNUMBER(G273),"Valid","Check"))))</f>
        <v>Text - Converted to Date</v>
      </c>
      <c r="J273" s="9" t="str">
        <f>IF(OR(C273="", H273=""), "Cannot Check - Date Missing", IF(H273&lt;C273, "Invalid - Ship Before Order", "Valid"))</f>
        <v>Valid</v>
      </c>
      <c r="K273" s="5">
        <f>IF(OR(C273="", H273=""), "", IF(H273&lt;C273, "", H273-C273))</f>
        <v>4</v>
      </c>
      <c r="L273" s="3" t="s">
        <v>505</v>
      </c>
      <c r="M273" s="3" t="s">
        <v>162</v>
      </c>
      <c r="N273" s="4" t="str">
        <f>TRIM(SUBSTITUTE(M273,"_"," "))</f>
        <v>Aarav Sharma</v>
      </c>
      <c r="O273" s="3" t="s">
        <v>41</v>
      </c>
      <c r="P273" s="6" t="str">
        <f>PROPER(TRIM(SUBSTITUTE(O273,".","")))</f>
        <v>Small Business</v>
      </c>
      <c r="Q273" s="3" t="s">
        <v>27</v>
      </c>
      <c r="R273" s="7" t="str">
        <f>PROPER(TRIM(SUBSTITUTE(Q273,"  "," ")))</f>
        <v>North</v>
      </c>
      <c r="S273" s="3" t="s">
        <v>506</v>
      </c>
      <c r="T273" s="6" t="str">
        <f>PROPER(TRIM(SUBSTITUTE(S273,"  "," ")))</f>
        <v>Delhi</v>
      </c>
      <c r="U273" s="3" t="s">
        <v>507</v>
      </c>
      <c r="V273" s="6" t="str">
        <f>PROPER(TRIM(SUBSTITUTE(U273,"  "," ")))</f>
        <v>New Delhi</v>
      </c>
      <c r="W273" s="3" t="s">
        <v>30</v>
      </c>
      <c r="X273" s="6" t="str">
        <f>PROPER(TRIM(SUBSTITUTE(W273,"  "," ")))</f>
        <v>Office Supplies</v>
      </c>
      <c r="Y273" s="3" t="s">
        <v>156</v>
      </c>
      <c r="Z273" s="6" t="str">
        <f>PROPER(TRIM(SUBSTITUTE(Y273,"  "," ")))</f>
        <v>Storage</v>
      </c>
      <c r="AA273" s="3" t="s">
        <v>508</v>
      </c>
      <c r="AB273" s="3" t="s">
        <v>33</v>
      </c>
      <c r="AC273" s="6" t="str">
        <f>PROPER(TRIM(SUBSTITUTE(AB273,"  "," ")))</f>
        <v>Second Class</v>
      </c>
      <c r="AD273" s="3">
        <v>4</v>
      </c>
      <c r="AE273" s="3">
        <v>1182.32</v>
      </c>
      <c r="AF273" s="3">
        <v>0.1</v>
      </c>
      <c r="AG273" s="17">
        <v>0.1</v>
      </c>
      <c r="AH273" s="6" t="str">
        <f t="shared" si="35"/>
        <v>Valid</v>
      </c>
      <c r="AI273" s="3">
        <v>4256.3500000000004</v>
      </c>
      <c r="AJ273" s="3">
        <v>2495.33</v>
      </c>
      <c r="AK273" s="3">
        <v>1761.02</v>
      </c>
      <c r="AL273" s="3" t="s">
        <v>137</v>
      </c>
      <c r="AM273" s="6" t="str">
        <f>PROPER(TRIM(SUBSTITUTE(AL273,".","")))</f>
        <v>Pending</v>
      </c>
      <c r="AN273" s="3" t="s">
        <v>125</v>
      </c>
      <c r="AO273" s="8" t="str">
        <f>PROPER(TRIM(SUBSTITUTE(AN273,".","")))</f>
        <v>Returned</v>
      </c>
      <c r="AP273" t="str">
        <f>IF(COUNTIF($A$2:$A$933, A273) &gt; 1, "Duplicate ID", "Unique")</f>
        <v>Unique</v>
      </c>
      <c r="AR273">
        <f t="shared" si="36"/>
        <v>4256.3519999999999</v>
      </c>
      <c r="AS273">
        <f t="shared" si="37"/>
        <v>1761.0219999999999</v>
      </c>
      <c r="AT273" s="15">
        <f t="shared" si="38"/>
        <v>0.41373974708858663</v>
      </c>
      <c r="AU273" t="str">
        <f t="shared" si="39"/>
        <v>Clean</v>
      </c>
      <c r="AV273" s="8" t="str">
        <f t="shared" si="40"/>
        <v>Active</v>
      </c>
    </row>
    <row r="274" spans="1:48">
      <c r="A274" s="3" t="s">
        <v>693</v>
      </c>
      <c r="B274" s="3" t="s">
        <v>503</v>
      </c>
      <c r="C274" s="9">
        <f>IFERROR(DATEVALUE(TEXT(B274,"DD/MM/YYYY")), IF(ISNUMBER(B274), B274, ""))</f>
        <v>45514</v>
      </c>
      <c r="D274" s="9" t="str">
        <f>IF(B274="","Missing", IF(AND(ISNUMBER(B274)=FALSE, C274=""),"Invalid - Could Not Parse", IF(AND(ISNUMBER(B274)=FALSE, C274&lt;&gt;""),"Text - Converted to Date", IF(ISNUMBER(B274),"Valid","Check"))))</f>
        <v>Text - Converted to Date</v>
      </c>
      <c r="E274" s="5">
        <f t="shared" si="33"/>
        <v>8</v>
      </c>
      <c r="F274" s="5">
        <f t="shared" si="34"/>
        <v>2024</v>
      </c>
      <c r="G274" s="3" t="s">
        <v>694</v>
      </c>
      <c r="H274" s="9">
        <f>IFERROR(DATEVALUE(TEXT(G274,"DD/MM/YYYY")), IF(ISNUMBER(G274), G274, ""))</f>
        <v>45522</v>
      </c>
      <c r="I274" s="9" t="str">
        <f>IF(G274="","Missing", IF(AND(ISNUMBER(G274)=FALSE, H274=""),"Invalid - Could Not Parse", IF(AND(ISNUMBER(G274)=FALSE, H274&lt;&gt;""),"Text - Converted to Date", IF(ISNUMBER(G274),"Valid","Check"))))</f>
        <v>Text - Converted to Date</v>
      </c>
      <c r="J274" s="9" t="str">
        <f>IF(OR(C274="", H274=""), "Cannot Check - Date Missing", IF(H274&lt;C274, "Invalid - Ship Before Order", "Valid"))</f>
        <v>Valid</v>
      </c>
      <c r="K274" s="5">
        <f>IF(OR(C274="", H274=""), "", IF(H274&lt;C274, "", H274-C274))</f>
        <v>8</v>
      </c>
      <c r="L274" s="3" t="s">
        <v>695</v>
      </c>
      <c r="M274" s="3" t="s">
        <v>168</v>
      </c>
      <c r="N274" s="4" t="str">
        <f>TRIM(SUBSTITUTE(M274,"_"," "))</f>
        <v>Sneha Kapoor</v>
      </c>
      <c r="O274" s="3" t="s">
        <v>41</v>
      </c>
      <c r="P274" s="6" t="str">
        <f>PROPER(TRIM(SUBSTITUTE(O274,".","")))</f>
        <v>Small Business</v>
      </c>
      <c r="Q274" s="3" t="s">
        <v>42</v>
      </c>
      <c r="R274" s="7" t="str">
        <f>PROPER(TRIM(SUBSTITUTE(Q274,"  "," ")))</f>
        <v>East</v>
      </c>
      <c r="S274" s="3" t="s">
        <v>186</v>
      </c>
      <c r="T274" s="6" t="str">
        <f>PROPER(TRIM(SUBSTITUTE(S274,"  "," ")))</f>
        <v>Bihar</v>
      </c>
      <c r="U274" s="3" t="s">
        <v>187</v>
      </c>
      <c r="V274" s="6" t="str">
        <f>PROPER(TRIM(SUBSTITUTE(U274,"  "," ")))</f>
        <v>Patna</v>
      </c>
      <c r="W274" s="3" t="s">
        <v>86</v>
      </c>
      <c r="X274" s="6" t="str">
        <f>PROPER(TRIM(SUBSTITUTE(W274,"  "," ")))</f>
        <v>Technology</v>
      </c>
      <c r="Y274" s="3" t="s">
        <v>223</v>
      </c>
      <c r="Z274" s="6" t="str">
        <f>PROPER(TRIM(SUBSTITUTE(Y274,"  "," ")))</f>
        <v>Phones</v>
      </c>
      <c r="AA274" s="3" t="s">
        <v>696</v>
      </c>
      <c r="AB274" s="3" t="s">
        <v>67</v>
      </c>
      <c r="AC274" s="6" t="str">
        <f>PROPER(TRIM(SUBSTITUTE(AB274,"  "," ")))</f>
        <v>Standard Class</v>
      </c>
      <c r="AD274" s="3">
        <v>1</v>
      </c>
      <c r="AE274" s="3">
        <v>1823.67</v>
      </c>
      <c r="AF274" s="3">
        <v>0.2</v>
      </c>
      <c r="AG274" s="17">
        <v>0.2</v>
      </c>
      <c r="AH274" s="6" t="str">
        <f t="shared" si="35"/>
        <v>Valid</v>
      </c>
      <c r="AI274" s="3">
        <v>1458.94</v>
      </c>
      <c r="AJ274" s="3">
        <v>893.2</v>
      </c>
      <c r="AK274" s="3">
        <v>565.74</v>
      </c>
      <c r="AL274" s="3" t="s">
        <v>34</v>
      </c>
      <c r="AM274" s="6" t="str">
        <f>PROPER(TRIM(SUBSTITUTE(AL274,".","")))</f>
        <v>Paid</v>
      </c>
      <c r="AN274" s="3" t="s">
        <v>125</v>
      </c>
      <c r="AO274" s="8" t="str">
        <f>PROPER(TRIM(SUBSTITUTE(AN274,".","")))</f>
        <v>Returned</v>
      </c>
      <c r="AP274" t="str">
        <f>IF(COUNTIF($A$2:$A$933, A274) &gt; 1, "Duplicate ID", "Unique")</f>
        <v>Unique</v>
      </c>
      <c r="AR274">
        <f t="shared" si="36"/>
        <v>1458.9360000000001</v>
      </c>
      <c r="AS274">
        <f t="shared" si="37"/>
        <v>565.7360000000001</v>
      </c>
      <c r="AT274" s="15">
        <f t="shared" si="38"/>
        <v>0.38777300717783375</v>
      </c>
      <c r="AU274" t="str">
        <f t="shared" si="39"/>
        <v>Clean</v>
      </c>
      <c r="AV274" s="8" t="str">
        <f t="shared" si="40"/>
        <v>Active</v>
      </c>
    </row>
    <row r="275" spans="1:48">
      <c r="A275" s="3" t="s">
        <v>3989</v>
      </c>
      <c r="B275" s="3" t="s">
        <v>3990</v>
      </c>
      <c r="C275" s="9">
        <f>IFERROR(DATEVALUE(TEXT(B275,"DD/MM/YYYY")), IF(ISNUMBER(B275), B275, ""))</f>
        <v>45514</v>
      </c>
      <c r="D275" s="9" t="str">
        <f>IF(B275="","Missing", IF(AND(ISNUMBER(B275)=FALSE, C275=""),"Invalid - Could Not Parse", IF(AND(ISNUMBER(B275)=FALSE, C275&lt;&gt;""),"Text - Converted to Date", IF(ISNUMBER(B275),"Valid","Check"))))</f>
        <v>Text - Converted to Date</v>
      </c>
      <c r="E275" s="5">
        <f t="shared" si="33"/>
        <v>8</v>
      </c>
      <c r="F275" s="5">
        <f t="shared" si="34"/>
        <v>2024</v>
      </c>
      <c r="G275" s="3" t="s">
        <v>3991</v>
      </c>
      <c r="H275" s="9">
        <f>IFERROR(DATEVALUE(TEXT(G275,"DD/MM/YYYY")), IF(ISNUMBER(G275), G275, ""))</f>
        <v>45604</v>
      </c>
      <c r="I275" s="9" t="str">
        <f>IF(G275="","Missing", IF(AND(ISNUMBER(G275)=FALSE, H275=""),"Invalid - Could Not Parse", IF(AND(ISNUMBER(G275)=FALSE, H275&lt;&gt;""),"Text - Converted to Date", IF(ISNUMBER(G275),"Valid","Check"))))</f>
        <v>Text - Converted to Date</v>
      </c>
      <c r="J275" s="9" t="str">
        <f>IF(OR(C275="", H275=""), "Cannot Check - Date Missing", IF(H275&lt;C275, "Invalid - Ship Before Order", "Valid"))</f>
        <v>Valid</v>
      </c>
      <c r="K275" s="5">
        <f>IF(OR(C275="", H275=""), "", IF(H275&lt;C275, "", H275-C275))</f>
        <v>90</v>
      </c>
      <c r="L275" s="3" t="s">
        <v>3992</v>
      </c>
      <c r="M275" s="3" t="s">
        <v>40</v>
      </c>
      <c r="N275" s="4" t="str">
        <f>TRIM(SUBSTITUTE(M275,"_"," "))</f>
        <v>Mira Das</v>
      </c>
      <c r="O275" s="3" t="s">
        <v>108</v>
      </c>
      <c r="P275" s="6" t="str">
        <f>PROPER(TRIM(SUBSTITUTE(O275,".","")))</f>
        <v>Corporate</v>
      </c>
      <c r="Q275" s="3" t="s">
        <v>73</v>
      </c>
      <c r="R275" s="7" t="str">
        <f>PROPER(TRIM(SUBSTITUTE(Q275,"  "," ")))</f>
        <v>West</v>
      </c>
      <c r="S275" s="3" t="s">
        <v>74</v>
      </c>
      <c r="T275" s="6" t="str">
        <f>PROPER(TRIM(SUBSTITUTE(S275,"  "," ")))</f>
        <v>Maharashtra</v>
      </c>
      <c r="U275" s="3" t="s">
        <v>75</v>
      </c>
      <c r="V275" s="6" t="str">
        <f>PROPER(TRIM(SUBSTITUTE(U275,"  "," ")))</f>
        <v>Mumbai</v>
      </c>
      <c r="W275" s="3" t="s">
        <v>86</v>
      </c>
      <c r="X275" s="6" t="str">
        <f>PROPER(TRIM(SUBSTITUTE(W275,"  "," ")))</f>
        <v>Technology</v>
      </c>
      <c r="Y275" s="3" t="s">
        <v>94</v>
      </c>
      <c r="Z275" s="6" t="str">
        <f>PROPER(TRIM(SUBSTITUTE(Y275,"  "," ")))</f>
        <v>Copiers</v>
      </c>
      <c r="AA275" s="3" t="s">
        <v>3993</v>
      </c>
      <c r="AB275" s="3" t="s">
        <v>56</v>
      </c>
      <c r="AC275" s="6" t="str">
        <f>PROPER(TRIM(SUBSTITUTE(AB275,"  "," ")))</f>
        <v>First Class</v>
      </c>
      <c r="AD275" s="3">
        <v>7</v>
      </c>
      <c r="AE275" s="3">
        <v>3852.62</v>
      </c>
      <c r="AF275" s="3">
        <v>0.2</v>
      </c>
      <c r="AG275" s="17">
        <v>0.2</v>
      </c>
      <c r="AH275" s="6" t="str">
        <f t="shared" si="35"/>
        <v>Valid</v>
      </c>
      <c r="AI275" s="3">
        <v>21574.67</v>
      </c>
      <c r="AJ275" s="3">
        <v>14672.83</v>
      </c>
      <c r="AK275" s="3">
        <v>6901.84</v>
      </c>
      <c r="AL275" s="3" t="s">
        <v>34</v>
      </c>
      <c r="AM275" s="6" t="str">
        <f>PROPER(TRIM(SUBSTITUTE(AL275,".","")))</f>
        <v>Paid</v>
      </c>
      <c r="AN275" s="3" t="s">
        <v>35</v>
      </c>
      <c r="AO275" s="8" t="str">
        <f>PROPER(TRIM(SUBSTITUTE(AN275,".","")))</f>
        <v>Completed</v>
      </c>
      <c r="AP275" t="str">
        <f>IF(COUNTIF($A$2:$A$933, A275) &gt; 1, "Duplicate ID", "Unique")</f>
        <v>Unique</v>
      </c>
      <c r="AR275">
        <f t="shared" si="36"/>
        <v>21574.672000000002</v>
      </c>
      <c r="AS275">
        <f t="shared" si="37"/>
        <v>6901.8420000000024</v>
      </c>
      <c r="AT275" s="15">
        <f t="shared" si="38"/>
        <v>0.31990484026825539</v>
      </c>
      <c r="AU275" t="str">
        <f t="shared" si="39"/>
        <v>Clean</v>
      </c>
      <c r="AV275" s="8" t="str">
        <f t="shared" si="40"/>
        <v>Active</v>
      </c>
    </row>
    <row r="276" spans="1:48">
      <c r="A276" s="3" t="s">
        <v>2437</v>
      </c>
      <c r="B276" s="3" t="s">
        <v>2438</v>
      </c>
      <c r="C276" s="9">
        <f>IFERROR(DATEVALUE(TEXT(B276,"DD/MM/YYYY")), IF(ISNUMBER(B276), B276, ""))</f>
        <v>45515</v>
      </c>
      <c r="D276" s="9" t="str">
        <f>IF(B276="","Missing", IF(AND(ISNUMBER(B276)=FALSE, C276=""),"Invalid - Could Not Parse", IF(AND(ISNUMBER(B276)=FALSE, C276&lt;&gt;""),"Text - Converted to Date", IF(ISNUMBER(B276),"Valid","Check"))))</f>
        <v>Text - Converted to Date</v>
      </c>
      <c r="E276" s="5">
        <f t="shared" si="33"/>
        <v>8</v>
      </c>
      <c r="F276" s="5">
        <f t="shared" si="34"/>
        <v>2024</v>
      </c>
      <c r="G276" s="3" t="s">
        <v>2439</v>
      </c>
      <c r="H276" s="9">
        <f>IFERROR(DATEVALUE(MID(G276,4,2) &amp; "/" &amp; LEFT(G276,2) &amp; "/" &amp; RIGHT(G276,4)), IF(ISNUMBER(G276), G276, IFERROR(DATEVALUE(G276), "")))</f>
        <v>45521</v>
      </c>
      <c r="I276" s="9" t="str">
        <f>IF(G276="","Missing", IF(AND(ISNUMBER(G276)=FALSE, H276=""),"Invalid - Could Not Parse", IF(AND(ISNUMBER(G276)=FALSE, H276&lt;&gt;""),"Text - Converted to Date", IF(ISNUMBER(G276),"Valid","Check"))))</f>
        <v>Text - Converted to Date</v>
      </c>
      <c r="J276" s="9" t="str">
        <f>IF(OR(C276="", H276=""), "Cannot Check - Date Missing", IF(H276&lt;C276, "Invalid - Ship Before Order", "Valid"))</f>
        <v>Valid</v>
      </c>
      <c r="K276" s="5">
        <f>IF(OR(C276="", H276=""), "", IF(H276&lt;C276, "", H276-C276))</f>
        <v>6</v>
      </c>
      <c r="L276" s="3" t="s">
        <v>1237</v>
      </c>
      <c r="M276" s="3" t="s">
        <v>93</v>
      </c>
      <c r="N276" s="4" t="str">
        <f>TRIM(SUBSTITUTE(M276,"_"," "))</f>
        <v>Neha Gupta</v>
      </c>
      <c r="O276" s="3" t="s">
        <v>26</v>
      </c>
      <c r="P276" s="6" t="str">
        <f>PROPER(TRIM(SUBSTITUTE(O276,".","")))</f>
        <v>Consumer</v>
      </c>
      <c r="Q276" s="3" t="s">
        <v>42</v>
      </c>
      <c r="R276" s="7" t="str">
        <f>PROPER(TRIM(SUBSTITUTE(Q276,"  "," ")))</f>
        <v>East</v>
      </c>
      <c r="S276" s="3" t="s">
        <v>311</v>
      </c>
      <c r="T276" s="6" t="str">
        <f>PROPER(TRIM(SUBSTITUTE(S276,"  "," ")))</f>
        <v>Jharkhand</v>
      </c>
      <c r="U276" s="3" t="s">
        <v>312</v>
      </c>
      <c r="V276" s="6" t="str">
        <f>PROPER(TRIM(SUBSTITUTE(U276,"  "," ")))</f>
        <v>Ranchi</v>
      </c>
      <c r="W276" s="3" t="s">
        <v>30</v>
      </c>
      <c r="X276" s="6" t="str">
        <f>PROPER(TRIM(SUBSTITUTE(W276,"  "," ")))</f>
        <v>Office Supplies</v>
      </c>
      <c r="Y276" s="3" t="s">
        <v>54</v>
      </c>
      <c r="Z276" s="6" t="str">
        <f>PROPER(TRIM(SUBSTITUTE(Y276,"  "," ")))</f>
        <v>Art</v>
      </c>
      <c r="AA276" s="3" t="s">
        <v>2440</v>
      </c>
      <c r="AB276" s="3" t="s">
        <v>33</v>
      </c>
      <c r="AC276" s="6" t="str">
        <f>PROPER(TRIM(SUBSTITUTE(AB276,"  "," ")))</f>
        <v>Second Class</v>
      </c>
      <c r="AD276" s="3">
        <v>6</v>
      </c>
      <c r="AE276" s="3">
        <v>3497.54</v>
      </c>
      <c r="AF276" s="3">
        <v>0.15</v>
      </c>
      <c r="AG276" s="17">
        <v>0.15</v>
      </c>
      <c r="AH276" s="6" t="str">
        <f t="shared" si="35"/>
        <v>Valid</v>
      </c>
      <c r="AI276" s="3">
        <v>17837.45</v>
      </c>
      <c r="AJ276" s="3">
        <v>13627.02</v>
      </c>
      <c r="AK276" s="3">
        <v>4210.43</v>
      </c>
      <c r="AL276" s="3" t="s">
        <v>34</v>
      </c>
      <c r="AM276" s="6" t="str">
        <f>PROPER(TRIM(SUBSTITUTE(AL276,".","")))</f>
        <v>Paid</v>
      </c>
      <c r="AN276" s="3" t="s">
        <v>35</v>
      </c>
      <c r="AO276" s="8" t="str">
        <f>PROPER(TRIM(SUBSTITUTE(AN276,".","")))</f>
        <v>Completed</v>
      </c>
      <c r="AP276" t="str">
        <f>IF(COUNTIF($A$2:$A$933, A276) &gt; 1, "Duplicate ID", "Unique")</f>
        <v>Unique</v>
      </c>
      <c r="AR276">
        <f t="shared" si="36"/>
        <v>17837.453999999998</v>
      </c>
      <c r="AS276">
        <f t="shared" si="37"/>
        <v>4210.4339999999975</v>
      </c>
      <c r="AT276" s="15">
        <f t="shared" si="38"/>
        <v>0.23604456106796395</v>
      </c>
      <c r="AU276" t="str">
        <f t="shared" si="39"/>
        <v>Clean</v>
      </c>
      <c r="AV276" s="8" t="str">
        <f t="shared" si="40"/>
        <v>Active</v>
      </c>
    </row>
    <row r="277" spans="1:48">
      <c r="A277" s="3" t="s">
        <v>2719</v>
      </c>
      <c r="B277" s="3" t="s">
        <v>2438</v>
      </c>
      <c r="C277" s="9">
        <f>IFERROR(DATEVALUE(TEXT(B277,"DD/MM/YYYY")), IF(ISNUMBER(B277), B277, ""))</f>
        <v>45515</v>
      </c>
      <c r="D277" s="9" t="str">
        <f>IF(B277="","Missing", IF(AND(ISNUMBER(B277)=FALSE, C277=""),"Invalid - Could Not Parse", IF(AND(ISNUMBER(B277)=FALSE, C277&lt;&gt;""),"Text - Converted to Date", IF(ISNUMBER(B277),"Valid","Check"))))</f>
        <v>Text - Converted to Date</v>
      </c>
      <c r="E277" s="5">
        <f t="shared" si="33"/>
        <v>8</v>
      </c>
      <c r="F277" s="5">
        <f t="shared" si="34"/>
        <v>2024</v>
      </c>
      <c r="G277" s="3" t="s">
        <v>2720</v>
      </c>
      <c r="H277" s="9">
        <f>IFERROR(DATEVALUE(TEXT(G277,"DD/MM/YYYY")), IF(ISNUMBER(G277), G277, ""))</f>
        <v>45523</v>
      </c>
      <c r="I277" s="9" t="str">
        <f>IF(G277="","Missing", IF(AND(ISNUMBER(G277)=FALSE, H277=""),"Invalid - Could Not Parse", IF(AND(ISNUMBER(G277)=FALSE, H277&lt;&gt;""),"Text - Converted to Date", IF(ISNUMBER(G277),"Valid","Check"))))</f>
        <v>Text - Converted to Date</v>
      </c>
      <c r="J277" s="9" t="str">
        <f>IF(OR(C277="", H277=""), "Cannot Check - Date Missing", IF(H277&lt;C277, "Invalid - Ship Before Order", "Valid"))</f>
        <v>Valid</v>
      </c>
      <c r="K277" s="5">
        <f>IF(OR(C277="", H277=""), "", IF(H277&lt;C277, "", H277-C277))</f>
        <v>8</v>
      </c>
      <c r="L277" s="3" t="s">
        <v>2721</v>
      </c>
      <c r="M277" s="3" t="s">
        <v>168</v>
      </c>
      <c r="N277" s="4" t="str">
        <f>TRIM(SUBSTITUTE(M277,"_"," "))</f>
        <v>Sneha Kapoor</v>
      </c>
      <c r="O277" s="3" t="s">
        <v>41</v>
      </c>
      <c r="P277" s="6" t="str">
        <f>PROPER(TRIM(SUBSTITUTE(O277,".","")))</f>
        <v>Small Business</v>
      </c>
      <c r="Q277" s="3" t="s">
        <v>73</v>
      </c>
      <c r="R277" s="7" t="str">
        <f>PROPER(TRIM(SUBSTITUTE(Q277,"  "," ")))</f>
        <v>West</v>
      </c>
      <c r="S277" s="3" t="s">
        <v>74</v>
      </c>
      <c r="T277" s="6" t="str">
        <f>PROPER(TRIM(SUBSTITUTE(S277,"  "," ")))</f>
        <v>Maharashtra</v>
      </c>
      <c r="U277" s="3" t="s">
        <v>75</v>
      </c>
      <c r="V277" s="6" t="str">
        <f>PROPER(TRIM(SUBSTITUTE(U277,"  "," ")))</f>
        <v>Mumbai</v>
      </c>
      <c r="W277" s="3" t="s">
        <v>30</v>
      </c>
      <c r="X277" s="6" t="str">
        <f>PROPER(TRIM(SUBSTITUTE(W277,"  "," ")))</f>
        <v>Office Supplies</v>
      </c>
      <c r="Y277" s="3" t="s">
        <v>31</v>
      </c>
      <c r="Z277" s="6" t="str">
        <f>PROPER(TRIM(SUBSTITUTE(Y277,"  "," ")))</f>
        <v>Paper</v>
      </c>
      <c r="AA277" s="3" t="s">
        <v>2722</v>
      </c>
      <c r="AB277" s="3" t="s">
        <v>48</v>
      </c>
      <c r="AC277" s="6" t="str">
        <f>PROPER(TRIM(SUBSTITUTE(AB277,"  "," ")))</f>
        <v>Same Day</v>
      </c>
      <c r="AD277" s="3">
        <v>2</v>
      </c>
      <c r="AE277" s="3">
        <v>2617.89</v>
      </c>
      <c r="AF277" s="3">
        <v>0.1</v>
      </c>
      <c r="AG277" s="17">
        <v>0.1</v>
      </c>
      <c r="AH277" s="6" t="str">
        <f t="shared" si="35"/>
        <v>Valid</v>
      </c>
      <c r="AI277" s="3">
        <v>4712.2</v>
      </c>
      <c r="AJ277" s="3">
        <v>3851.91</v>
      </c>
      <c r="AK277" s="3">
        <v>860.29</v>
      </c>
      <c r="AL277" s="3" t="s">
        <v>200</v>
      </c>
      <c r="AM277" s="6" t="str">
        <f>PROPER(TRIM(SUBSTITUTE(AL277,".","")))</f>
        <v>Failed</v>
      </c>
      <c r="AN277" s="3" t="s">
        <v>125</v>
      </c>
      <c r="AO277" s="8" t="str">
        <f>PROPER(TRIM(SUBSTITUTE(AN277,".","")))</f>
        <v>Returned</v>
      </c>
      <c r="AP277" t="str">
        <f>IF(COUNTIF($A$2:$A$933, A277) &gt; 1, "Duplicate ID", "Unique")</f>
        <v>Unique</v>
      </c>
      <c r="AR277">
        <f t="shared" si="36"/>
        <v>4712.2020000000002</v>
      </c>
      <c r="AS277">
        <f t="shared" si="37"/>
        <v>860.29200000000037</v>
      </c>
      <c r="AT277" s="15">
        <f t="shared" si="38"/>
        <v>0.18256687637754077</v>
      </c>
      <c r="AU277" t="str">
        <f t="shared" si="39"/>
        <v>Clean</v>
      </c>
      <c r="AV277" s="8" t="str">
        <f t="shared" si="40"/>
        <v>Active</v>
      </c>
    </row>
    <row r="278" spans="1:48">
      <c r="A278" s="3" t="s">
        <v>3419</v>
      </c>
      <c r="B278" s="3" t="s">
        <v>3420</v>
      </c>
      <c r="C278" s="9">
        <f>IFERROR(DATEVALUE(TEXT(B278,"DD/MM/YYYY")), IF(ISNUMBER(B278), B278, ""))</f>
        <v>45515</v>
      </c>
      <c r="D278" s="9" t="str">
        <f>IF(B278="","Missing", IF(AND(ISNUMBER(B278)=FALSE, C278=""),"Invalid - Could Not Parse", IF(AND(ISNUMBER(B278)=FALSE, C278&lt;&gt;""),"Text - Converted to Date", IF(ISNUMBER(B278),"Valid","Check"))))</f>
        <v>Text - Converted to Date</v>
      </c>
      <c r="E278" s="5">
        <f t="shared" si="33"/>
        <v>8</v>
      </c>
      <c r="F278" s="5">
        <f t="shared" si="34"/>
        <v>2024</v>
      </c>
      <c r="G278" s="3" t="s">
        <v>2861</v>
      </c>
      <c r="H278" s="9">
        <f>IFERROR(DATEVALUE(TEXT(G278,"DD/MM/YYYY")), IF(ISNUMBER(G278), G278, ""))</f>
        <v>45523</v>
      </c>
      <c r="I278" s="9" t="str">
        <f>IF(G278="","Missing", IF(AND(ISNUMBER(G278)=FALSE, H278=""),"Invalid - Could Not Parse", IF(AND(ISNUMBER(G278)=FALSE, H278&lt;&gt;""),"Text - Converted to Date", IF(ISNUMBER(G278),"Valid","Check"))))</f>
        <v>Text - Converted to Date</v>
      </c>
      <c r="J278" s="9" t="str">
        <f>IF(OR(C278="", H278=""), "Cannot Check - Date Missing", IF(H278&lt;C278, "Invalid - Ship Before Order", "Valid"))</f>
        <v>Valid</v>
      </c>
      <c r="K278" s="5">
        <f>IF(OR(C278="", H278=""), "", IF(H278&lt;C278, "", H278-C278))</f>
        <v>8</v>
      </c>
      <c r="L278" s="3" t="s">
        <v>3421</v>
      </c>
      <c r="M278" s="3" t="s">
        <v>40</v>
      </c>
      <c r="N278" s="4" t="str">
        <f>TRIM(SUBSTITUTE(M278,"_"," "))</f>
        <v>Mira Das</v>
      </c>
      <c r="O278" s="3" t="s">
        <v>26</v>
      </c>
      <c r="P278" s="6" t="str">
        <f>PROPER(TRIM(SUBSTITUTE(O278,".","")))</f>
        <v>Consumer</v>
      </c>
      <c r="Q278" s="3" t="s">
        <v>73</v>
      </c>
      <c r="R278" s="7" t="str">
        <f>PROPER(TRIM(SUBSTITUTE(Q278,"  "," ")))</f>
        <v>West</v>
      </c>
      <c r="S278" s="3" t="s">
        <v>74</v>
      </c>
      <c r="T278" s="6" t="str">
        <f>PROPER(TRIM(SUBSTITUTE(S278,"  "," ")))</f>
        <v>Maharashtra</v>
      </c>
      <c r="U278" s="3" t="s">
        <v>75</v>
      </c>
      <c r="V278" s="6" t="str">
        <f>PROPER(TRIM(SUBSTITUTE(U278,"  "," ")))</f>
        <v>Mumbai</v>
      </c>
      <c r="W278" s="3" t="s">
        <v>45</v>
      </c>
      <c r="X278" s="6" t="str">
        <f>PROPER(TRIM(SUBSTITUTE(W278,"  "," ")))</f>
        <v>Furniture</v>
      </c>
      <c r="Y278" s="3" t="s">
        <v>46</v>
      </c>
      <c r="Z278" s="6" t="str">
        <f>PROPER(TRIM(SUBSTITUTE(Y278,"  "," ")))</f>
        <v>Tables</v>
      </c>
      <c r="AA278" s="3" t="s">
        <v>3422</v>
      </c>
      <c r="AB278" s="3" t="s">
        <v>67</v>
      </c>
      <c r="AC278" s="6" t="str">
        <f>PROPER(TRIM(SUBSTITUTE(AB278,"  "," ")))</f>
        <v>Standard Class</v>
      </c>
      <c r="AD278" s="3">
        <v>6</v>
      </c>
      <c r="AE278" s="3">
        <v>1515.79</v>
      </c>
      <c r="AF278" s="3">
        <v>0.2</v>
      </c>
      <c r="AG278" s="17">
        <v>0.2</v>
      </c>
      <c r="AH278" s="6" t="str">
        <f t="shared" si="35"/>
        <v>Valid</v>
      </c>
      <c r="AI278" s="3">
        <v>7275.79</v>
      </c>
      <c r="AJ278" s="3">
        <v>6152.87</v>
      </c>
      <c r="AK278" s="3">
        <v>1122.92</v>
      </c>
      <c r="AL278" s="3" t="s">
        <v>34</v>
      </c>
      <c r="AM278" s="6" t="str">
        <f>PROPER(TRIM(SUBSTITUTE(AL278,".","")))</f>
        <v>Paid</v>
      </c>
      <c r="AN278" s="3" t="s">
        <v>35</v>
      </c>
      <c r="AO278" s="8" t="str">
        <f>PROPER(TRIM(SUBSTITUTE(AN278,".","")))</f>
        <v>Completed</v>
      </c>
      <c r="AP278" t="str">
        <f>IF(COUNTIF($A$2:$A$933, A278) &gt; 1, "Duplicate ID", "Unique")</f>
        <v>Unique</v>
      </c>
      <c r="AR278">
        <f t="shared" si="36"/>
        <v>7275.7920000000004</v>
      </c>
      <c r="AS278">
        <f t="shared" si="37"/>
        <v>1122.9220000000005</v>
      </c>
      <c r="AT278" s="15">
        <f t="shared" si="38"/>
        <v>0.15433673749881804</v>
      </c>
      <c r="AU278" t="str">
        <f t="shared" si="39"/>
        <v>Clean</v>
      </c>
      <c r="AV278" s="8" t="str">
        <f t="shared" si="40"/>
        <v>Active</v>
      </c>
    </row>
    <row r="279" spans="1:48">
      <c r="A279" s="3" t="s">
        <v>3494</v>
      </c>
      <c r="B279" s="3" t="s">
        <v>2438</v>
      </c>
      <c r="C279" s="9">
        <f>IFERROR(DATEVALUE(TEXT(B279,"DD/MM/YYYY")), IF(ISNUMBER(B279), B279, ""))</f>
        <v>45515</v>
      </c>
      <c r="D279" s="9" t="str">
        <f>IF(B279="","Missing", IF(AND(ISNUMBER(B279)=FALSE, C279=""),"Invalid - Could Not Parse", IF(AND(ISNUMBER(B279)=FALSE, C279&lt;&gt;""),"Text - Converted to Date", IF(ISNUMBER(B279),"Valid","Check"))))</f>
        <v>Text - Converted to Date</v>
      </c>
      <c r="E279" s="5">
        <f t="shared" si="33"/>
        <v>8</v>
      </c>
      <c r="F279" s="5">
        <f t="shared" si="34"/>
        <v>2024</v>
      </c>
      <c r="G279" s="3" t="s">
        <v>2798</v>
      </c>
      <c r="H279" s="9">
        <f>IFERROR(DATEVALUE(TEXT(G279,"DD/MM/YYYY")), IF(ISNUMBER(G279), G279, ""))</f>
        <v>45514</v>
      </c>
      <c r="I279" s="9" t="str">
        <f>IF(G279="","Missing", IF(AND(ISNUMBER(G279)=FALSE, H279=""),"Invalid - Could Not Parse", IF(AND(ISNUMBER(G279)=FALSE, H279&lt;&gt;""),"Text - Converted to Date", IF(ISNUMBER(G279),"Valid","Check"))))</f>
        <v>Text - Converted to Date</v>
      </c>
      <c r="J279" s="9" t="str">
        <f>IF(OR(C279="", H279=""), "Cannot Check - Date Missing", IF(H279&lt;C279, "Invalid - Ship Before Order", "Valid"))</f>
        <v>Invalid - Ship Before Order</v>
      </c>
      <c r="K279" s="5" t="str">
        <f>IF(OR(C279="", H279=""), "", IF(H279&lt;C279, "", H279-C279))</f>
        <v/>
      </c>
      <c r="L279" s="3" t="s">
        <v>3495</v>
      </c>
      <c r="M279" s="3" t="s">
        <v>107</v>
      </c>
      <c r="N279" s="4" t="str">
        <f>TRIM(SUBSTITUTE(M279,"_"," "))</f>
        <v>Aditi Sen</v>
      </c>
      <c r="O279" s="3" t="s">
        <v>108</v>
      </c>
      <c r="P279" s="6" t="str">
        <f>PROPER(TRIM(SUBSTITUTE(O279,".","")))</f>
        <v>Corporate</v>
      </c>
      <c r="Q279" s="3" t="s">
        <v>27</v>
      </c>
      <c r="R279" s="7" t="str">
        <f>PROPER(TRIM(SUBSTITUTE(Q279,"  "," ")))</f>
        <v>North</v>
      </c>
      <c r="S279" s="3" t="s">
        <v>506</v>
      </c>
      <c r="T279" s="6" t="str">
        <f>PROPER(TRIM(SUBSTITUTE(S279,"  "," ")))</f>
        <v>Delhi</v>
      </c>
      <c r="U279" s="3" t="s">
        <v>507</v>
      </c>
      <c r="V279" s="6" t="str">
        <f>PROPER(TRIM(SUBSTITUTE(U279,"  "," ")))</f>
        <v>New Delhi</v>
      </c>
      <c r="W279" s="3" t="s">
        <v>45</v>
      </c>
      <c r="X279" s="6" t="str">
        <f>PROPER(TRIM(SUBSTITUTE(W279,"  "," ")))</f>
        <v>Furniture</v>
      </c>
      <c r="Y279" s="3" t="s">
        <v>65</v>
      </c>
      <c r="Z279" s="6" t="str">
        <f>PROPER(TRIM(SUBSTITUTE(Y279,"  "," ")))</f>
        <v>Furnishings</v>
      </c>
      <c r="AA279" s="3" t="s">
        <v>3496</v>
      </c>
      <c r="AB279" s="3" t="s">
        <v>33</v>
      </c>
      <c r="AC279" s="6" t="str">
        <f>PROPER(TRIM(SUBSTITUTE(AB279,"  "," ")))</f>
        <v>Second Class</v>
      </c>
      <c r="AD279" s="3">
        <v>3</v>
      </c>
      <c r="AE279" s="3">
        <v>1017.22</v>
      </c>
      <c r="AF279" s="3">
        <v>0.15</v>
      </c>
      <c r="AG279" s="17">
        <v>0.15</v>
      </c>
      <c r="AH279" s="6" t="str">
        <f t="shared" si="35"/>
        <v>Valid</v>
      </c>
      <c r="AI279" s="3">
        <v>2593.91</v>
      </c>
      <c r="AJ279" s="3">
        <v>1848.48</v>
      </c>
      <c r="AK279" s="3">
        <v>745.43</v>
      </c>
      <c r="AL279" s="3" t="s">
        <v>200</v>
      </c>
      <c r="AM279" s="6" t="str">
        <f>PROPER(TRIM(SUBSTITUTE(AL279,".","")))</f>
        <v>Failed</v>
      </c>
      <c r="AN279" s="3" t="s">
        <v>125</v>
      </c>
      <c r="AO279" s="8" t="str">
        <f>PROPER(TRIM(SUBSTITUTE(AN279,".","")))</f>
        <v>Returned</v>
      </c>
      <c r="AP279" t="str">
        <f>IF(COUNTIF($A$2:$A$933, A279) &gt; 1, "Duplicate ID", "Unique")</f>
        <v>Unique</v>
      </c>
      <c r="AR279">
        <f t="shared" si="36"/>
        <v>2593.9109999999996</v>
      </c>
      <c r="AS279">
        <f t="shared" si="37"/>
        <v>745.43099999999959</v>
      </c>
      <c r="AT279" s="15">
        <f t="shared" si="38"/>
        <v>0.28737724617382776</v>
      </c>
      <c r="AU279" t="str">
        <f t="shared" si="39"/>
        <v>Invalid</v>
      </c>
      <c r="AV279" s="8" t="str">
        <f t="shared" si="40"/>
        <v>Active</v>
      </c>
    </row>
    <row r="280" spans="1:48">
      <c r="A280" s="3" t="s">
        <v>335</v>
      </c>
      <c r="B280" s="3" t="s">
        <v>336</v>
      </c>
      <c r="C280" s="9">
        <f>IFERROR(DATEVALUE(TEXT(B280,"DD/MM/YYYY")), IF(ISNUMBER(B280), B280, ""))</f>
        <v>45516</v>
      </c>
      <c r="D280" s="9" t="str">
        <f>IF(B280="","Missing", IF(AND(ISNUMBER(B280)=FALSE, C280=""),"Invalid - Could Not Parse", IF(AND(ISNUMBER(B280)=FALSE, C280&lt;&gt;""),"Text - Converted to Date", IF(ISNUMBER(B280),"Valid","Check"))))</f>
        <v>Text - Converted to Date</v>
      </c>
      <c r="E280" s="5">
        <f t="shared" si="33"/>
        <v>8</v>
      </c>
      <c r="F280" s="5">
        <f t="shared" si="34"/>
        <v>2024</v>
      </c>
      <c r="G280" s="3" t="s">
        <v>337</v>
      </c>
      <c r="H280" s="9">
        <f>IFERROR(DATEVALUE(TEXT(G280,"DD/MM/YYYY")), IF(ISNUMBER(G280), G280, ""))</f>
        <v>45516</v>
      </c>
      <c r="I280" s="9" t="str">
        <f>IF(G280="","Missing", IF(AND(ISNUMBER(G280)=FALSE, H280=""),"Invalid - Could Not Parse", IF(AND(ISNUMBER(G280)=FALSE, H280&lt;&gt;""),"Text - Converted to Date", IF(ISNUMBER(G280),"Valid","Check"))))</f>
        <v>Text - Converted to Date</v>
      </c>
      <c r="J280" s="9" t="str">
        <f>IF(OR(C280="", H280=""), "Cannot Check - Date Missing", IF(H280&lt;C280, "Invalid - Ship Before Order", "Valid"))</f>
        <v>Valid</v>
      </c>
      <c r="K280" s="5">
        <f>IF(OR(C280="", H280=""), "", IF(H280&lt;C280, "", H280-C280))</f>
        <v>0</v>
      </c>
      <c r="L280" s="3" t="s">
        <v>338</v>
      </c>
      <c r="M280" s="3" t="s">
        <v>148</v>
      </c>
      <c r="N280" s="4" t="str">
        <f>TRIM(SUBSTITUTE(M280,"_"," "))</f>
        <v>Rahul Verma</v>
      </c>
      <c r="O280" s="3" t="s">
        <v>108</v>
      </c>
      <c r="P280" s="6" t="str">
        <f>PROPER(TRIM(SUBSTITUTE(O280,".","")))</f>
        <v>Corporate</v>
      </c>
      <c r="Q280" s="3" t="s">
        <v>62</v>
      </c>
      <c r="R280" s="7" t="str">
        <f>PROPER(TRIM(SUBSTITUTE(Q280,"  "," ")))</f>
        <v>South</v>
      </c>
      <c r="S280" s="3" t="s">
        <v>339</v>
      </c>
      <c r="T280" s="6" t="str">
        <f>PROPER(TRIM(SUBSTITUTE(S280,"  "," ")))</f>
        <v>Tamil Nadu</v>
      </c>
      <c r="U280" s="3" t="s">
        <v>340</v>
      </c>
      <c r="V280" s="6" t="str">
        <f>PROPER(TRIM(SUBSTITUTE(U280,"  "," ")))</f>
        <v>Chennai</v>
      </c>
      <c r="W280" s="3" t="s">
        <v>30</v>
      </c>
      <c r="X280" s="6" t="str">
        <f>PROPER(TRIM(SUBSTITUTE(W280,"  "," ")))</f>
        <v>Office Supplies</v>
      </c>
      <c r="Y280" s="3" t="s">
        <v>156</v>
      </c>
      <c r="Z280" s="6" t="str">
        <f>PROPER(TRIM(SUBSTITUTE(Y280,"  "," ")))</f>
        <v>Storage</v>
      </c>
      <c r="AA280" s="3" t="s">
        <v>341</v>
      </c>
      <c r="AB280" s="3" t="s">
        <v>67</v>
      </c>
      <c r="AC280" s="6" t="str">
        <f>PROPER(TRIM(SUBSTITUTE(AB280,"  "," ")))</f>
        <v>Standard Class</v>
      </c>
      <c r="AD280" s="3">
        <v>8</v>
      </c>
      <c r="AE280" s="3">
        <v>2445.31</v>
      </c>
      <c r="AF280" s="3">
        <v>0.1</v>
      </c>
      <c r="AG280" s="17">
        <v>0.1</v>
      </c>
      <c r="AH280" s="6" t="str">
        <f t="shared" si="35"/>
        <v>Valid</v>
      </c>
      <c r="AI280" s="3">
        <v>17606.23</v>
      </c>
      <c r="AJ280" s="3">
        <v>12438.96</v>
      </c>
      <c r="AK280" s="3">
        <v>5167.2700000000004</v>
      </c>
      <c r="AL280" s="3" t="s">
        <v>34</v>
      </c>
      <c r="AM280" s="6" t="str">
        <f>PROPER(TRIM(SUBSTITUTE(AL280,".","")))</f>
        <v>Paid</v>
      </c>
      <c r="AN280" s="3" t="s">
        <v>35</v>
      </c>
      <c r="AO280" s="8" t="str">
        <f>PROPER(TRIM(SUBSTITUTE(AN280,".","")))</f>
        <v>Completed</v>
      </c>
      <c r="AP280" t="str">
        <f>IF(COUNTIF($A$2:$A$933, A280) &gt; 1, "Duplicate ID", "Unique")</f>
        <v>Unique</v>
      </c>
      <c r="AR280">
        <f t="shared" si="36"/>
        <v>17606.232</v>
      </c>
      <c r="AS280">
        <f t="shared" si="37"/>
        <v>5167.2720000000008</v>
      </c>
      <c r="AT280" s="15">
        <f t="shared" si="38"/>
        <v>0.29349107747756592</v>
      </c>
      <c r="AU280" t="str">
        <f t="shared" si="39"/>
        <v>Clean</v>
      </c>
      <c r="AV280" s="8" t="str">
        <f t="shared" si="40"/>
        <v>Active</v>
      </c>
    </row>
    <row r="281" spans="1:48">
      <c r="A281" s="3" t="s">
        <v>1463</v>
      </c>
      <c r="B281" s="3" t="s">
        <v>1464</v>
      </c>
      <c r="C281" s="9">
        <f>IFERROR(DATEVALUE(TEXT(B281,"DD/MM/YYYY")), IF(ISNUMBER(B281), B281, ""))</f>
        <v>45516</v>
      </c>
      <c r="D281" s="9" t="str">
        <f>IF(B281="","Missing", IF(AND(ISNUMBER(B281)=FALSE, C281=""),"Invalid - Could Not Parse", IF(AND(ISNUMBER(B281)=FALSE, C281&lt;&gt;""),"Text - Converted to Date", IF(ISNUMBER(B281),"Valid","Check"))))</f>
        <v>Text - Converted to Date</v>
      </c>
      <c r="E281" s="5">
        <f t="shared" si="33"/>
        <v>8</v>
      </c>
      <c r="F281" s="5">
        <f t="shared" si="34"/>
        <v>2024</v>
      </c>
      <c r="G281" s="3" t="s">
        <v>1465</v>
      </c>
      <c r="H281" s="9">
        <f>IFERROR(DATEVALUE(MID(G281,4,2) &amp; "/" &amp; LEFT(G281,2) &amp; "/" &amp; RIGHT(G281,4)), IF(ISNUMBER(G281), G281, IFERROR(DATEVALUE(G281), "")))</f>
        <v>45640</v>
      </c>
      <c r="I281" s="9" t="str">
        <f>IF(G281="","Missing", IF(AND(ISNUMBER(G281)=FALSE, H281=""),"Invalid - Could Not Parse", IF(AND(ISNUMBER(G281)=FALSE, H281&lt;&gt;""),"Text - Converted to Date", IF(ISNUMBER(G281),"Valid","Check"))))</f>
        <v>Text - Converted to Date</v>
      </c>
      <c r="J281" s="9" t="str">
        <f>IF(OR(C281="", H281=""), "Cannot Check - Date Missing", IF(H281&lt;C281, "Invalid - Ship Before Order", "Valid"))</f>
        <v>Valid</v>
      </c>
      <c r="K281" s="5">
        <f>IF(OR(C281="", H281=""), "", IF(H281&lt;C281, "", H281-C281))</f>
        <v>124</v>
      </c>
      <c r="L281" s="3" t="s">
        <v>1466</v>
      </c>
      <c r="M281" s="3" t="s">
        <v>25</v>
      </c>
      <c r="N281" s="4" t="str">
        <f>TRIM(SUBSTITUTE(M281,"_"," "))</f>
        <v>Karan Malhotra</v>
      </c>
      <c r="O281" s="3" t="s">
        <v>26</v>
      </c>
      <c r="P281" s="6" t="str">
        <f>PROPER(TRIM(SUBSTITUTE(O281,".","")))</f>
        <v>Consumer</v>
      </c>
      <c r="Q281" s="3" t="s">
        <v>42</v>
      </c>
      <c r="R281" s="7" t="str">
        <f>PROPER(TRIM(SUBSTITUTE(Q281,"  "," ")))</f>
        <v>East</v>
      </c>
      <c r="S281" s="3" t="s">
        <v>43</v>
      </c>
      <c r="T281" s="6" t="str">
        <f>PROPER(TRIM(SUBSTITUTE(S281,"  "," ")))</f>
        <v>Odisha</v>
      </c>
      <c r="U281" s="3" t="s">
        <v>44</v>
      </c>
      <c r="V281" s="6" t="str">
        <f>PROPER(TRIM(SUBSTITUTE(U281,"  "," ")))</f>
        <v>Bhubaneswar</v>
      </c>
      <c r="W281" s="3" t="s">
        <v>45</v>
      </c>
      <c r="X281" s="6" t="str">
        <f>PROPER(TRIM(SUBSTITUTE(W281,"  "," ")))</f>
        <v>Furniture</v>
      </c>
      <c r="Y281" s="3" t="s">
        <v>46</v>
      </c>
      <c r="Z281" s="6" t="str">
        <f>PROPER(TRIM(SUBSTITUTE(Y281,"  "," ")))</f>
        <v>Tables</v>
      </c>
      <c r="AA281" s="3" t="s">
        <v>1467</v>
      </c>
      <c r="AB281" s="3" t="s">
        <v>48</v>
      </c>
      <c r="AC281" s="6" t="str">
        <f>PROPER(TRIM(SUBSTITUTE(AB281,"  "," ")))</f>
        <v>Same Day</v>
      </c>
      <c r="AD281" s="3">
        <v>3</v>
      </c>
      <c r="AE281" s="3">
        <v>1576.92</v>
      </c>
      <c r="AF281" s="3">
        <v>0</v>
      </c>
      <c r="AG281" s="17">
        <v>0</v>
      </c>
      <c r="AH281" s="6" t="str">
        <f t="shared" si="35"/>
        <v>Valid</v>
      </c>
      <c r="AI281" s="3">
        <v>4730.76</v>
      </c>
      <c r="AJ281" s="3">
        <v>3139.73</v>
      </c>
      <c r="AK281" s="3">
        <v>1591.03</v>
      </c>
      <c r="AL281" s="3" t="s">
        <v>34</v>
      </c>
      <c r="AM281" s="6" t="str">
        <f>PROPER(TRIM(SUBSTITUTE(AL281,".","")))</f>
        <v>Paid</v>
      </c>
      <c r="AN281" s="3" t="s">
        <v>125</v>
      </c>
      <c r="AO281" s="8" t="str">
        <f>PROPER(TRIM(SUBSTITUTE(AN281,".","")))</f>
        <v>Returned</v>
      </c>
      <c r="AP281" t="str">
        <f>IF(COUNTIF($A$2:$A$933, A281) &gt; 1, "Duplicate ID", "Unique")</f>
        <v>Unique</v>
      </c>
      <c r="AR281">
        <f t="shared" si="36"/>
        <v>4730.76</v>
      </c>
      <c r="AS281">
        <f t="shared" si="37"/>
        <v>1591.0300000000002</v>
      </c>
      <c r="AT281" s="15">
        <f t="shared" si="38"/>
        <v>0.33631594077907145</v>
      </c>
      <c r="AU281" t="str">
        <f t="shared" si="39"/>
        <v>Clean</v>
      </c>
      <c r="AV281" s="8" t="str">
        <f t="shared" si="40"/>
        <v>Active</v>
      </c>
    </row>
    <row r="282" spans="1:48">
      <c r="A282" s="3" t="s">
        <v>1705</v>
      </c>
      <c r="B282" s="3" t="s">
        <v>1706</v>
      </c>
      <c r="C282" s="9">
        <f>IFERROR(DATEVALUE(TEXT(B282,"DD/MM/YYYY")), IF(ISNUMBER(B282), B282, ""))</f>
        <v>45516</v>
      </c>
      <c r="D282" s="9" t="str">
        <f>IF(B282="","Missing", IF(AND(ISNUMBER(B282)=FALSE, C282=""),"Invalid - Could Not Parse", IF(AND(ISNUMBER(B282)=FALSE, C282&lt;&gt;""),"Text - Converted to Date", IF(ISNUMBER(B282),"Valid","Check"))))</f>
        <v>Text - Converted to Date</v>
      </c>
      <c r="E282" s="5">
        <f t="shared" si="33"/>
        <v>8</v>
      </c>
      <c r="F282" s="5">
        <f t="shared" si="34"/>
        <v>2024</v>
      </c>
      <c r="G282" s="3" t="s">
        <v>1707</v>
      </c>
      <c r="H282" s="9">
        <f>IFERROR(DATEVALUE(TEXT(G282,"DD/MM/YYYY")), IF(ISNUMBER(G282), G282, ""))</f>
        <v>45522</v>
      </c>
      <c r="I282" s="9" t="str">
        <f>IF(G282="","Missing", IF(AND(ISNUMBER(G282)=FALSE, H282=""),"Invalid - Could Not Parse", IF(AND(ISNUMBER(G282)=FALSE, H282&lt;&gt;""),"Text - Converted to Date", IF(ISNUMBER(G282),"Valid","Check"))))</f>
        <v>Text - Converted to Date</v>
      </c>
      <c r="J282" s="9" t="str">
        <f>IF(OR(C282="", H282=""), "Cannot Check - Date Missing", IF(H282&lt;C282, "Invalid - Ship Before Order", "Valid"))</f>
        <v>Valid</v>
      </c>
      <c r="K282" s="5">
        <f>IF(OR(C282="", H282=""), "", IF(H282&lt;C282, "", H282-C282))</f>
        <v>6</v>
      </c>
      <c r="L282" s="3" t="s">
        <v>1708</v>
      </c>
      <c r="M282" s="3" t="s">
        <v>72</v>
      </c>
      <c r="N282" s="4" t="str">
        <f>TRIM(SUBSTITUTE(M282,"_"," "))</f>
        <v>Ananya Rao</v>
      </c>
      <c r="O282" s="3" t="s">
        <v>26</v>
      </c>
      <c r="P282" s="6" t="str">
        <f>PROPER(TRIM(SUBSTITUTE(O282,".","")))</f>
        <v>Consumer</v>
      </c>
      <c r="Q282" s="3" t="s">
        <v>42</v>
      </c>
      <c r="R282" s="7" t="str">
        <f>PROPER(TRIM(SUBSTITUTE(Q282,"  "," ")))</f>
        <v>East</v>
      </c>
      <c r="S282" s="3" t="s">
        <v>216</v>
      </c>
      <c r="T282" s="6" t="str">
        <f>PROPER(TRIM(SUBSTITUTE(S282,"  "," ")))</f>
        <v>Assam</v>
      </c>
      <c r="U282" s="3" t="s">
        <v>217</v>
      </c>
      <c r="V282" s="6" t="str">
        <f>PROPER(TRIM(SUBSTITUTE(U282,"  "," ")))</f>
        <v>Guwahati</v>
      </c>
      <c r="W282" s="3" t="s">
        <v>30</v>
      </c>
      <c r="X282" s="6" t="str">
        <f>PROPER(TRIM(SUBSTITUTE(W282,"  "," ")))</f>
        <v>Office Supplies</v>
      </c>
      <c r="Y282" s="3" t="s">
        <v>109</v>
      </c>
      <c r="Z282" s="6" t="str">
        <f>PROPER(TRIM(SUBSTITUTE(Y282,"  "," ")))</f>
        <v>Labels</v>
      </c>
      <c r="AA282" s="3" t="s">
        <v>1709</v>
      </c>
      <c r="AB282" s="3" t="s">
        <v>48</v>
      </c>
      <c r="AC282" s="6" t="str">
        <f>PROPER(TRIM(SUBSTITUTE(AB282,"  "," ")))</f>
        <v>Same Day</v>
      </c>
      <c r="AD282" s="3">
        <v>6</v>
      </c>
      <c r="AE282" s="3">
        <v>1181.74</v>
      </c>
      <c r="AF282" s="3">
        <v>0</v>
      </c>
      <c r="AG282" s="17">
        <v>0</v>
      </c>
      <c r="AH282" s="6" t="str">
        <f t="shared" si="35"/>
        <v>Valid</v>
      </c>
      <c r="AI282" s="3">
        <v>7090.44</v>
      </c>
      <c r="AJ282" s="3">
        <v>5672.27</v>
      </c>
      <c r="AK282" s="3">
        <v>1262.8699999999999</v>
      </c>
      <c r="AL282" s="3" t="s">
        <v>34</v>
      </c>
      <c r="AM282" s="6" t="str">
        <f>PROPER(TRIM(SUBSTITUTE(AL282,".","")))</f>
        <v>Paid</v>
      </c>
      <c r="AN282" s="3" t="s">
        <v>35</v>
      </c>
      <c r="AO282" s="8" t="str">
        <f>PROPER(TRIM(SUBSTITUTE(AN282,".","")))</f>
        <v>Completed</v>
      </c>
      <c r="AP282" t="str">
        <f>IF(COUNTIF($A$2:$A$933, A282) &gt; 1, "Duplicate ID", "Unique")</f>
        <v>Unique</v>
      </c>
      <c r="AR282">
        <f t="shared" si="36"/>
        <v>7090.4400000000005</v>
      </c>
      <c r="AS282">
        <f t="shared" si="37"/>
        <v>1418.17</v>
      </c>
      <c r="AT282" s="15">
        <f t="shared" si="38"/>
        <v>0.20001156486762456</v>
      </c>
      <c r="AU282" t="str">
        <f t="shared" si="39"/>
        <v>Clean</v>
      </c>
      <c r="AV282" s="8" t="str">
        <f t="shared" si="40"/>
        <v>Active</v>
      </c>
    </row>
    <row r="283" spans="1:48">
      <c r="A283" s="3" t="s">
        <v>634</v>
      </c>
      <c r="B283" s="3" t="s">
        <v>635</v>
      </c>
      <c r="C283" s="9">
        <f>IFERROR(DATEVALUE(TEXT(B283,"DD/MM/YYYY")), IF(ISNUMBER(B283), B283, ""))</f>
        <v>45519</v>
      </c>
      <c r="D283" s="9" t="str">
        <f>IF(B283="","Missing", IF(AND(ISNUMBER(B283)=FALSE, C283=""),"Invalid - Could Not Parse", IF(AND(ISNUMBER(B283)=FALSE, C283&lt;&gt;""),"Text - Converted to Date", IF(ISNUMBER(B283),"Valid","Check"))))</f>
        <v>Text - Converted to Date</v>
      </c>
      <c r="E283" s="5">
        <f t="shared" si="33"/>
        <v>8</v>
      </c>
      <c r="F283" s="5">
        <f t="shared" si="34"/>
        <v>2024</v>
      </c>
      <c r="G283" s="3" t="s">
        <v>636</v>
      </c>
      <c r="H283" s="9">
        <f>IFERROR(DATEVALUE(MID(G283,4,2) &amp; "/" &amp; LEFT(G283,2) &amp; "/" &amp; RIGHT(G283,4)), IF(ISNUMBER(G283), G283, IFERROR(DATEVALUE(G283), "")))</f>
        <v>45527</v>
      </c>
      <c r="I283" s="9" t="str">
        <f>IF(G283="","Missing", IF(AND(ISNUMBER(G283)=FALSE, H283=""),"Invalid - Could Not Parse", IF(AND(ISNUMBER(G283)=FALSE, H283&lt;&gt;""),"Text - Converted to Date", IF(ISNUMBER(G283),"Valid","Check"))))</f>
        <v>Text - Converted to Date</v>
      </c>
      <c r="J283" s="9" t="str">
        <f>IF(OR(C283="", H283=""), "Cannot Check - Date Missing", IF(H283&lt;C283, "Invalid - Ship Before Order", "Valid"))</f>
        <v>Valid</v>
      </c>
      <c r="K283" s="5">
        <f>IF(OR(C283="", H283=""), "", IF(H283&lt;C283, "", H283-C283))</f>
        <v>8</v>
      </c>
      <c r="L283" s="3" t="s">
        <v>637</v>
      </c>
      <c r="M283" s="3" t="s">
        <v>107</v>
      </c>
      <c r="N283" s="4" t="str">
        <f>TRIM(SUBSTITUTE(M283,"_"," "))</f>
        <v>Aditi Sen</v>
      </c>
      <c r="O283" s="3" t="s">
        <v>41</v>
      </c>
      <c r="P283" s="6" t="str">
        <f>PROPER(TRIM(SUBSTITUTE(O283,".","")))</f>
        <v>Small Business</v>
      </c>
      <c r="Q283" s="3" t="s">
        <v>42</v>
      </c>
      <c r="R283" s="7" t="str">
        <f>PROPER(TRIM(SUBSTITUTE(Q283,"  "," ")))</f>
        <v>East</v>
      </c>
      <c r="S283" s="3" t="s">
        <v>43</v>
      </c>
      <c r="T283" s="6" t="str">
        <f>PROPER(TRIM(SUBSTITUTE(S283,"  "," ")))</f>
        <v>Odisha</v>
      </c>
      <c r="U283" s="3" t="s">
        <v>44</v>
      </c>
      <c r="V283" s="6" t="str">
        <f>PROPER(TRIM(SUBSTITUTE(U283,"  "," ")))</f>
        <v>Bhubaneswar</v>
      </c>
      <c r="W283" s="3" t="s">
        <v>45</v>
      </c>
      <c r="X283" s="6" t="str">
        <f>PROPER(TRIM(SUBSTITUTE(W283,"  "," ")))</f>
        <v>Furniture</v>
      </c>
      <c r="Y283" s="3" t="s">
        <v>204</v>
      </c>
      <c r="Z283" s="6" t="str">
        <f>PROPER(TRIM(SUBSTITUTE(Y283,"  "," ")))</f>
        <v>Bookcases</v>
      </c>
      <c r="AA283" s="3" t="s">
        <v>638</v>
      </c>
      <c r="AB283" s="3" t="s">
        <v>48</v>
      </c>
      <c r="AC283" s="6" t="str">
        <f>PROPER(TRIM(SUBSTITUTE(AB283,"  "," ")))</f>
        <v>Same Day</v>
      </c>
      <c r="AD283" s="3">
        <v>2</v>
      </c>
      <c r="AE283" s="3">
        <v>537.54</v>
      </c>
      <c r="AF283" s="3">
        <v>0.25</v>
      </c>
      <c r="AG283" s="17">
        <v>0.25</v>
      </c>
      <c r="AH283" s="6" t="str">
        <f t="shared" si="35"/>
        <v>Valid</v>
      </c>
      <c r="AI283" s="3">
        <v>806.31</v>
      </c>
      <c r="AJ283" s="3">
        <v>498.5</v>
      </c>
      <c r="AK283" s="3">
        <v>307.81</v>
      </c>
      <c r="AL283" s="3" t="s">
        <v>34</v>
      </c>
      <c r="AM283" s="6" t="str">
        <f>PROPER(TRIM(SUBSTITUTE(AL283,".","")))</f>
        <v>Paid</v>
      </c>
      <c r="AN283" s="3" t="s">
        <v>35</v>
      </c>
      <c r="AO283" s="8" t="str">
        <f>PROPER(TRIM(SUBSTITUTE(AN283,".","")))</f>
        <v>Completed</v>
      </c>
      <c r="AP283" t="str">
        <f>IF(COUNTIF($A$2:$A$933, A283) &gt; 1, "Duplicate ID", "Unique")</f>
        <v>Unique</v>
      </c>
      <c r="AR283">
        <f t="shared" si="36"/>
        <v>806.31</v>
      </c>
      <c r="AS283">
        <f t="shared" si="37"/>
        <v>307.80999999999995</v>
      </c>
      <c r="AT283" s="15">
        <f t="shared" si="38"/>
        <v>0.38175143555208291</v>
      </c>
      <c r="AU283" t="str">
        <f t="shared" si="39"/>
        <v>Clean</v>
      </c>
      <c r="AV283" s="8" t="str">
        <f t="shared" si="40"/>
        <v>Active</v>
      </c>
    </row>
    <row r="284" spans="1:48">
      <c r="A284" s="3" t="s">
        <v>2929</v>
      </c>
      <c r="B284" s="3" t="s">
        <v>2930</v>
      </c>
      <c r="C284" s="9">
        <f>IFERROR(DATEVALUE(TEXT(B284,"DD/MM/YYYY")), IF(ISNUMBER(B284), B284, ""))</f>
        <v>45520</v>
      </c>
      <c r="D284" s="9" t="str">
        <f>IF(B284="","Missing", IF(AND(ISNUMBER(B284)=FALSE, C284=""),"Invalid - Could Not Parse", IF(AND(ISNUMBER(B284)=FALSE, C284&lt;&gt;""),"Text - Converted to Date", IF(ISNUMBER(B284),"Valid","Check"))))</f>
        <v>Text - Converted to Date</v>
      </c>
      <c r="E284" s="5">
        <f t="shared" si="33"/>
        <v>8</v>
      </c>
      <c r="F284" s="5">
        <f t="shared" si="34"/>
        <v>2024</v>
      </c>
      <c r="G284" s="3" t="s">
        <v>2861</v>
      </c>
      <c r="H284" s="9">
        <f>IFERROR(DATEVALUE(TEXT(G284,"DD/MM/YYYY")), IF(ISNUMBER(G284), G284, ""))</f>
        <v>45523</v>
      </c>
      <c r="I284" s="9" t="str">
        <f>IF(G284="","Missing", IF(AND(ISNUMBER(G284)=FALSE, H284=""),"Invalid - Could Not Parse", IF(AND(ISNUMBER(G284)=FALSE, H284&lt;&gt;""),"Text - Converted to Date", IF(ISNUMBER(G284),"Valid","Check"))))</f>
        <v>Text - Converted to Date</v>
      </c>
      <c r="J284" s="9" t="str">
        <f>IF(OR(C284="", H284=""), "Cannot Check - Date Missing", IF(H284&lt;C284, "Invalid - Ship Before Order", "Valid"))</f>
        <v>Valid</v>
      </c>
      <c r="K284" s="5">
        <f>IF(OR(C284="", H284=""), "", IF(H284&lt;C284, "", H284-C284))</f>
        <v>3</v>
      </c>
      <c r="L284" s="3" t="s">
        <v>2931</v>
      </c>
      <c r="M284" s="3" t="s">
        <v>366</v>
      </c>
      <c r="N284" s="4" t="str">
        <f>TRIM(SUBSTITUTE(M284,"_"," "))</f>
        <v>Kabir Singh</v>
      </c>
      <c r="O284" s="3" t="s">
        <v>26</v>
      </c>
      <c r="P284" s="6" t="str">
        <f>PROPER(TRIM(SUBSTITUTE(O284,".","")))</f>
        <v>Consumer</v>
      </c>
      <c r="Q284" s="3" t="s">
        <v>62</v>
      </c>
      <c r="R284" s="7" t="str">
        <f>PROPER(TRIM(SUBSTITUTE(Q284,"  "," ")))</f>
        <v>South</v>
      </c>
      <c r="S284" s="3" t="s">
        <v>63</v>
      </c>
      <c r="T284" s="6" t="str">
        <f>PROPER(TRIM(SUBSTITUTE(S284,"  "," ")))</f>
        <v>Telangana</v>
      </c>
      <c r="U284" s="3" t="s">
        <v>64</v>
      </c>
      <c r="V284" s="6" t="str">
        <f>PROPER(TRIM(SUBSTITUTE(U284,"  "," ")))</f>
        <v>Hyderabad</v>
      </c>
      <c r="W284" s="3" t="s">
        <v>30</v>
      </c>
      <c r="X284" s="6" t="str">
        <f>PROPER(TRIM(SUBSTITUTE(W284,"  "," ")))</f>
        <v>Office Supplies</v>
      </c>
      <c r="Y284" s="3" t="s">
        <v>31</v>
      </c>
      <c r="Z284" s="6" t="str">
        <f>PROPER(TRIM(SUBSTITUTE(Y284,"  "," ")))</f>
        <v>Paper</v>
      </c>
      <c r="AA284" s="3" t="s">
        <v>2932</v>
      </c>
      <c r="AB284" s="3" t="s">
        <v>67</v>
      </c>
      <c r="AC284" s="6" t="str">
        <f>PROPER(TRIM(SUBSTITUTE(AB284,"  "," ")))</f>
        <v>Standard Class</v>
      </c>
      <c r="AD284" s="3">
        <v>6</v>
      </c>
      <c r="AE284" s="3">
        <v>3925.55</v>
      </c>
      <c r="AF284" s="3">
        <v>0.2</v>
      </c>
      <c r="AG284" s="17">
        <v>0.2</v>
      </c>
      <c r="AH284" s="6" t="str">
        <f t="shared" si="35"/>
        <v>Valid</v>
      </c>
      <c r="AI284" s="3">
        <v>18842.64</v>
      </c>
      <c r="AJ284" s="3">
        <v>11840.58</v>
      </c>
      <c r="AK284" s="3">
        <v>7002.06</v>
      </c>
      <c r="AL284" s="3" t="s">
        <v>34</v>
      </c>
      <c r="AM284" s="6" t="str">
        <f>PROPER(TRIM(SUBSTITUTE(AL284,".","")))</f>
        <v>Paid</v>
      </c>
      <c r="AN284" s="3" t="s">
        <v>35</v>
      </c>
      <c r="AO284" s="8" t="str">
        <f>PROPER(TRIM(SUBSTITUTE(AN284,".","")))</f>
        <v>Completed</v>
      </c>
      <c r="AP284" t="str">
        <f>IF(COUNTIF($A$2:$A$933, A284) &gt; 1, "Duplicate ID", "Unique")</f>
        <v>Unique</v>
      </c>
      <c r="AR284">
        <f t="shared" si="36"/>
        <v>18842.640000000003</v>
      </c>
      <c r="AS284">
        <f t="shared" si="37"/>
        <v>7002.0600000000031</v>
      </c>
      <c r="AT284" s="15">
        <f t="shared" si="38"/>
        <v>0.37160716332743193</v>
      </c>
      <c r="AU284" t="str">
        <f t="shared" si="39"/>
        <v>Clean</v>
      </c>
      <c r="AV284" s="8" t="str">
        <f t="shared" si="40"/>
        <v>Active</v>
      </c>
    </row>
    <row r="285" spans="1:48">
      <c r="A285" s="3" t="s">
        <v>2945</v>
      </c>
      <c r="B285" s="3" t="s">
        <v>2946</v>
      </c>
      <c r="C285" s="9">
        <f>IFERROR(DATEVALUE(TEXT(B285,"DD/MM/YYYY")), IF(ISNUMBER(B285), B285, ""))</f>
        <v>45522</v>
      </c>
      <c r="D285" s="9" t="str">
        <f>IF(B285="","Missing", IF(AND(ISNUMBER(B285)=FALSE, C285=""),"Invalid - Could Not Parse", IF(AND(ISNUMBER(B285)=FALSE, C285&lt;&gt;""),"Text - Converted to Date", IF(ISNUMBER(B285),"Valid","Check"))))</f>
        <v>Text - Converted to Date</v>
      </c>
      <c r="E285" s="5">
        <f t="shared" si="33"/>
        <v>8</v>
      </c>
      <c r="F285" s="5">
        <f t="shared" si="34"/>
        <v>2024</v>
      </c>
      <c r="G285" s="3" t="s">
        <v>2947</v>
      </c>
      <c r="H285" s="9">
        <f>IFERROR(DATEVALUE(MID(G285,4,2) &amp; "/" &amp; LEFT(G285,2) &amp; "/" &amp; RIGHT(G285,4)), IF(ISNUMBER(G285), G285, IFERROR(DATEVALUE(G285), "")))</f>
        <v>45525</v>
      </c>
      <c r="I285" s="9" t="str">
        <f>IF(G285="","Missing", IF(AND(ISNUMBER(G285)=FALSE, H285=""),"Invalid - Could Not Parse", IF(AND(ISNUMBER(G285)=FALSE, H285&lt;&gt;""),"Text - Converted to Date", IF(ISNUMBER(G285),"Valid","Check"))))</f>
        <v>Text - Converted to Date</v>
      </c>
      <c r="J285" s="9" t="str">
        <f>IF(OR(C285="", H285=""), "Cannot Check - Date Missing", IF(H285&lt;C285, "Invalid - Ship Before Order", "Valid"))</f>
        <v>Valid</v>
      </c>
      <c r="K285" s="5">
        <f>IF(OR(C285="", H285=""), "", IF(H285&lt;C285, "", H285-C285))</f>
        <v>3</v>
      </c>
      <c r="L285" s="3" t="s">
        <v>2948</v>
      </c>
      <c r="M285" s="3" t="s">
        <v>83</v>
      </c>
      <c r="N285" s="4" t="str">
        <f>TRIM(SUBSTITUTE(M285,"_"," "))</f>
        <v>Vikram Iyer</v>
      </c>
      <c r="O285" s="3" t="s">
        <v>26</v>
      </c>
      <c r="P285" s="6" t="str">
        <f>PROPER(TRIM(SUBSTITUTE(O285,".","")))</f>
        <v>Consumer</v>
      </c>
      <c r="Q285" s="3" t="s">
        <v>27</v>
      </c>
      <c r="R285" s="7" t="str">
        <f>PROPER(TRIM(SUBSTITUTE(Q285,"  "," ")))</f>
        <v>North</v>
      </c>
      <c r="S285" s="3" t="s">
        <v>174</v>
      </c>
      <c r="T285" s="6" t="str">
        <f>PROPER(TRIM(SUBSTITUTE(S285,"  "," ")))</f>
        <v>Uttar Pradesh</v>
      </c>
      <c r="U285" s="3" t="s">
        <v>175</v>
      </c>
      <c r="V285" s="6" t="str">
        <f>PROPER(TRIM(SUBSTITUTE(U285,"  "," ")))</f>
        <v>Noida</v>
      </c>
      <c r="W285" s="3" t="s">
        <v>86</v>
      </c>
      <c r="X285" s="6" t="str">
        <f>PROPER(TRIM(SUBSTITUTE(W285,"  "," ")))</f>
        <v>Technology</v>
      </c>
      <c r="Y285" s="3" t="s">
        <v>382</v>
      </c>
      <c r="Z285" s="6" t="str">
        <f>PROPER(TRIM(SUBSTITUTE(Y285,"  "," ")))</f>
        <v>Machines</v>
      </c>
      <c r="AA285" s="3" t="s">
        <v>2949</v>
      </c>
      <c r="AB285" s="3" t="s">
        <v>67</v>
      </c>
      <c r="AC285" s="6" t="str">
        <f>PROPER(TRIM(SUBSTITUTE(AB285,"  "," ")))</f>
        <v>Standard Class</v>
      </c>
      <c r="AD285" s="3">
        <v>9</v>
      </c>
      <c r="AE285" s="3">
        <v>734.34</v>
      </c>
      <c r="AF285" s="3">
        <v>0</v>
      </c>
      <c r="AG285" s="17">
        <v>0</v>
      </c>
      <c r="AH285" s="6" t="str">
        <f t="shared" si="35"/>
        <v>Valid</v>
      </c>
      <c r="AI285" s="3">
        <v>6609.06</v>
      </c>
      <c r="AJ285" s="3">
        <v>4946.78</v>
      </c>
      <c r="AK285" s="3">
        <v>1662.28</v>
      </c>
      <c r="AL285" s="3" t="s">
        <v>34</v>
      </c>
      <c r="AM285" s="6" t="str">
        <f>PROPER(TRIM(SUBSTITUTE(AL285,".","")))</f>
        <v>Paid</v>
      </c>
      <c r="AN285" s="3" t="s">
        <v>35</v>
      </c>
      <c r="AO285" s="8" t="str">
        <f>PROPER(TRIM(SUBSTITUTE(AN285,".","")))</f>
        <v>Completed</v>
      </c>
      <c r="AP285" t="str">
        <f>IF(COUNTIF($A$2:$A$933, A285) &gt; 1, "Duplicate ID", "Unique")</f>
        <v>Unique</v>
      </c>
      <c r="AR285">
        <f t="shared" si="36"/>
        <v>6609.06</v>
      </c>
      <c r="AS285">
        <f t="shared" si="37"/>
        <v>1662.2800000000007</v>
      </c>
      <c r="AT285" s="15">
        <f t="shared" si="38"/>
        <v>0.25151534408826681</v>
      </c>
      <c r="AU285" t="str">
        <f t="shared" si="39"/>
        <v>Clean</v>
      </c>
      <c r="AV285" s="8" t="str">
        <f t="shared" si="40"/>
        <v>Active</v>
      </c>
    </row>
    <row r="286" spans="1:48">
      <c r="A286" s="3" t="s">
        <v>2860</v>
      </c>
      <c r="B286" s="3" t="s">
        <v>2861</v>
      </c>
      <c r="C286" s="9">
        <f>IFERROR(DATEVALUE(TEXT(B286,"DD/MM/YYYY")), IF(ISNUMBER(B286), B286, ""))</f>
        <v>45523</v>
      </c>
      <c r="D286" s="9" t="str">
        <f>IF(B286="","Missing", IF(AND(ISNUMBER(B286)=FALSE, C286=""),"Invalid - Could Not Parse", IF(AND(ISNUMBER(B286)=FALSE, C286&lt;&gt;""),"Text - Converted to Date", IF(ISNUMBER(B286),"Valid","Check"))))</f>
        <v>Text - Converted to Date</v>
      </c>
      <c r="E286" s="5">
        <f t="shared" si="33"/>
        <v>8</v>
      </c>
      <c r="F286" s="5">
        <f t="shared" si="34"/>
        <v>2024</v>
      </c>
      <c r="G286" s="3" t="s">
        <v>1626</v>
      </c>
      <c r="H286" s="9">
        <f>IFERROR(DATEVALUE(TEXT(G286,"DD/MM/YYYY")), IF(ISNUMBER(G286), G286, ""))</f>
        <v>45525</v>
      </c>
      <c r="I286" s="9" t="str">
        <f>IF(G286="","Missing", IF(AND(ISNUMBER(G286)=FALSE, H286=""),"Invalid - Could Not Parse", IF(AND(ISNUMBER(G286)=FALSE, H286&lt;&gt;""),"Text - Converted to Date", IF(ISNUMBER(G286),"Valid","Check"))))</f>
        <v>Text - Converted to Date</v>
      </c>
      <c r="J286" s="9" t="str">
        <f>IF(OR(C286="", H286=""), "Cannot Check - Date Missing", IF(H286&lt;C286, "Invalid - Ship Before Order", "Valid"))</f>
        <v>Valid</v>
      </c>
      <c r="K286" s="5">
        <f>IF(OR(C286="", H286=""), "", IF(H286&lt;C286, "", H286-C286))</f>
        <v>2</v>
      </c>
      <c r="L286" s="3" t="s">
        <v>2862</v>
      </c>
      <c r="M286" s="3" t="s">
        <v>61</v>
      </c>
      <c r="N286" s="4" t="str">
        <f>TRIM(SUBSTITUTE(M286,"_"," "))</f>
        <v>Arjun Bose</v>
      </c>
      <c r="O286" s="3" t="s">
        <v>26</v>
      </c>
      <c r="P286" s="6" t="str">
        <f>PROPER(TRIM(SUBSTITUTE(O286,".","")))</f>
        <v>Consumer</v>
      </c>
      <c r="Q286" s="3" t="s">
        <v>27</v>
      </c>
      <c r="R286" s="7" t="str">
        <f>PROPER(TRIM(SUBSTITUTE(Q286,"  "," ")))</f>
        <v>North</v>
      </c>
      <c r="S286" s="3" t="s">
        <v>154</v>
      </c>
      <c r="T286" s="6" t="str">
        <f>PROPER(TRIM(SUBSTITUTE(S286,"  "," ")))</f>
        <v>Punjab</v>
      </c>
      <c r="U286" s="3" t="s">
        <v>155</v>
      </c>
      <c r="V286" s="6" t="str">
        <f>PROPER(TRIM(SUBSTITUTE(U286,"  "," ")))</f>
        <v>Ludhiana</v>
      </c>
      <c r="W286" s="3" t="s">
        <v>86</v>
      </c>
      <c r="X286" s="6" t="str">
        <f>PROPER(TRIM(SUBSTITUTE(W286,"  "," ")))</f>
        <v>Technology</v>
      </c>
      <c r="Y286" s="3" t="s">
        <v>223</v>
      </c>
      <c r="Z286" s="6" t="str">
        <f>PROPER(TRIM(SUBSTITUTE(Y286,"  "," ")))</f>
        <v>Phones</v>
      </c>
      <c r="AA286" s="3" t="s">
        <v>2863</v>
      </c>
      <c r="AB286" s="3" t="s">
        <v>56</v>
      </c>
      <c r="AC286" s="6" t="str">
        <f>PROPER(TRIM(SUBSTITUTE(AB286,"  "," ")))</f>
        <v>First Class</v>
      </c>
      <c r="AD286" s="3">
        <v>3</v>
      </c>
      <c r="AE286" s="3">
        <v>1103.54</v>
      </c>
      <c r="AF286" s="3">
        <v>0.25</v>
      </c>
      <c r="AG286" s="17">
        <v>0.25</v>
      </c>
      <c r="AH286" s="6" t="str">
        <f t="shared" si="35"/>
        <v>Valid</v>
      </c>
      <c r="AI286" s="3">
        <v>2482.9699999999998</v>
      </c>
      <c r="AJ286" s="3">
        <v>1621.72</v>
      </c>
      <c r="AK286" s="3">
        <v>861.25</v>
      </c>
      <c r="AL286" s="3" t="s">
        <v>34</v>
      </c>
      <c r="AM286" s="6" t="str">
        <f>PROPER(TRIM(SUBSTITUTE(AL286,".","")))</f>
        <v>Paid</v>
      </c>
      <c r="AN286" s="3" t="s">
        <v>35</v>
      </c>
      <c r="AO286" s="8" t="str">
        <f>PROPER(TRIM(SUBSTITUTE(AN286,".","")))</f>
        <v>Completed</v>
      </c>
      <c r="AP286" t="str">
        <f>IF(COUNTIF($A$2:$A$933, A286) &gt; 1, "Duplicate ID", "Unique")</f>
        <v>Unique</v>
      </c>
      <c r="AR286">
        <f t="shared" si="36"/>
        <v>2482.9650000000001</v>
      </c>
      <c r="AS286">
        <f t="shared" si="37"/>
        <v>861.24500000000012</v>
      </c>
      <c r="AT286" s="15">
        <f t="shared" si="38"/>
        <v>0.34686151435884116</v>
      </c>
      <c r="AU286" t="str">
        <f t="shared" si="39"/>
        <v>Clean</v>
      </c>
      <c r="AV286" s="8" t="str">
        <f t="shared" si="40"/>
        <v>Active</v>
      </c>
    </row>
    <row r="287" spans="1:48">
      <c r="A287" s="3" t="s">
        <v>2288</v>
      </c>
      <c r="B287" s="3" t="s">
        <v>2289</v>
      </c>
      <c r="C287" s="9">
        <f>IFERROR(DATEVALUE(TEXT(B287,"DD/MM/YYYY")), IF(ISNUMBER(B287), B287, ""))</f>
        <v>45524</v>
      </c>
      <c r="D287" s="9" t="str">
        <f>IF(B287="","Missing", IF(AND(ISNUMBER(B287)=FALSE, C287=""),"Invalid - Could Not Parse", IF(AND(ISNUMBER(B287)=FALSE, C287&lt;&gt;""),"Text - Converted to Date", IF(ISNUMBER(B287),"Valid","Check"))))</f>
        <v>Text - Converted to Date</v>
      </c>
      <c r="E287" s="5">
        <f t="shared" si="33"/>
        <v>8</v>
      </c>
      <c r="F287" s="5">
        <f t="shared" si="34"/>
        <v>2024</v>
      </c>
      <c r="G287" s="3" t="s">
        <v>1626</v>
      </c>
      <c r="H287" s="9">
        <f>IFERROR(DATEVALUE(TEXT(G287,"DD/MM/YYYY")), IF(ISNUMBER(G287), G287, ""))</f>
        <v>45525</v>
      </c>
      <c r="I287" s="9" t="str">
        <f>IF(G287="","Missing", IF(AND(ISNUMBER(G287)=FALSE, H287=""),"Invalid - Could Not Parse", IF(AND(ISNUMBER(G287)=FALSE, H287&lt;&gt;""),"Text - Converted to Date", IF(ISNUMBER(G287),"Valid","Check"))))</f>
        <v>Text - Converted to Date</v>
      </c>
      <c r="J287" s="9" t="str">
        <f>IF(OR(C287="", H287=""), "Cannot Check - Date Missing", IF(H287&lt;C287, "Invalid - Ship Before Order", "Valid"))</f>
        <v>Valid</v>
      </c>
      <c r="K287" s="5">
        <f>IF(OR(C287="", H287=""), "", IF(H287&lt;C287, "", H287-C287))</f>
        <v>1</v>
      </c>
      <c r="L287" s="3" t="s">
        <v>2290</v>
      </c>
      <c r="M287" s="3" t="s">
        <v>107</v>
      </c>
      <c r="N287" s="4" t="str">
        <f>TRIM(SUBSTITUTE(M287,"_"," "))</f>
        <v>Aditi Sen</v>
      </c>
      <c r="O287" s="3" t="s">
        <v>108</v>
      </c>
      <c r="P287" s="6" t="str">
        <f>PROPER(TRIM(SUBSTITUTE(O287,".","")))</f>
        <v>Corporate</v>
      </c>
      <c r="Q287" s="3" t="s">
        <v>42</v>
      </c>
      <c r="R287" s="7" t="str">
        <f>PROPER(TRIM(SUBSTITUTE(Q287,"  "," ")))</f>
        <v>East</v>
      </c>
      <c r="S287" s="3" t="s">
        <v>43</v>
      </c>
      <c r="T287" s="6" t="str">
        <f>PROPER(TRIM(SUBSTITUTE(S287,"  "," ")))</f>
        <v>Odisha</v>
      </c>
      <c r="U287" s="3" t="s">
        <v>44</v>
      </c>
      <c r="V287" s="6" t="str">
        <f>PROPER(TRIM(SUBSTITUTE(U287,"  "," ")))</f>
        <v>Bhubaneswar</v>
      </c>
      <c r="W287" s="3" t="s">
        <v>86</v>
      </c>
      <c r="X287" s="6" t="str">
        <f>PROPER(TRIM(SUBSTITUTE(W287,"  "," ")))</f>
        <v>Technology</v>
      </c>
      <c r="Y287" s="3" t="s">
        <v>94</v>
      </c>
      <c r="Z287" s="6" t="str">
        <f>PROPER(TRIM(SUBSTITUTE(Y287,"  "," ")))</f>
        <v>Copiers</v>
      </c>
      <c r="AA287" s="3" t="s">
        <v>2291</v>
      </c>
      <c r="AB287" s="3" t="s">
        <v>56</v>
      </c>
      <c r="AC287" s="6" t="str">
        <f>PROPER(TRIM(SUBSTITUTE(AB287,"  "," ")))</f>
        <v>First Class</v>
      </c>
      <c r="AD287" s="3">
        <v>5</v>
      </c>
      <c r="AE287" s="3">
        <v>4288.33</v>
      </c>
      <c r="AF287" s="3">
        <v>0.1</v>
      </c>
      <c r="AG287" s="17">
        <v>0.1</v>
      </c>
      <c r="AH287" s="6" t="str">
        <f t="shared" si="35"/>
        <v>Valid</v>
      </c>
      <c r="AI287" s="3">
        <v>19297.490000000002</v>
      </c>
      <c r="AJ287" s="3">
        <v>15451.66</v>
      </c>
      <c r="AK287" s="3">
        <v>3845.83</v>
      </c>
      <c r="AL287" s="3" t="s">
        <v>124</v>
      </c>
      <c r="AM287" s="6" t="str">
        <f>PROPER(TRIM(SUBSTITUTE(AL287,".","")))</f>
        <v>Refunded</v>
      </c>
      <c r="AN287" s="3" t="s">
        <v>78</v>
      </c>
      <c r="AO287" s="8" t="str">
        <f>PROPER(TRIM(SUBSTITUTE(AN287,".","")))</f>
        <v>Cancelled</v>
      </c>
      <c r="AP287" t="str">
        <f>IF(COUNTIF($A$2:$A$933, A287) &gt; 1, "Duplicate ID", "Unique")</f>
        <v>Unique</v>
      </c>
      <c r="AR287">
        <f t="shared" si="36"/>
        <v>19297.485000000001</v>
      </c>
      <c r="AS287">
        <f t="shared" si="37"/>
        <v>3845.8250000000007</v>
      </c>
      <c r="AT287" s="15">
        <f t="shared" si="38"/>
        <v>0.1992915138941681</v>
      </c>
      <c r="AU287" t="str">
        <f t="shared" si="39"/>
        <v>Clean</v>
      </c>
      <c r="AV287" s="8" t="str">
        <f t="shared" si="40"/>
        <v>Refund</v>
      </c>
    </row>
    <row r="288" spans="1:48">
      <c r="A288" s="3" t="s">
        <v>1625</v>
      </c>
      <c r="B288" s="3" t="s">
        <v>1626</v>
      </c>
      <c r="C288" s="9">
        <f>IFERROR(DATEVALUE(TEXT(B288,"DD/MM/YYYY")), IF(ISNUMBER(B288), B288, ""))</f>
        <v>45525</v>
      </c>
      <c r="D288" s="9" t="str">
        <f>IF(B288="","Missing", IF(AND(ISNUMBER(B288)=FALSE, C288=""),"Invalid - Could Not Parse", IF(AND(ISNUMBER(B288)=FALSE, C288&lt;&gt;""),"Text - Converted to Date", IF(ISNUMBER(B288),"Valid","Check"))))</f>
        <v>Text - Converted to Date</v>
      </c>
      <c r="E288" s="5">
        <f t="shared" si="33"/>
        <v>8</v>
      </c>
      <c r="F288" s="5">
        <f t="shared" si="34"/>
        <v>2024</v>
      </c>
      <c r="G288" s="3" t="s">
        <v>1627</v>
      </c>
      <c r="H288" s="9">
        <f>IFERROR(DATEVALUE(MID(G288,4,2) &amp; "/" &amp; LEFT(G288,2) &amp; "/" &amp; RIGHT(G288,4)), IF(ISNUMBER(G288), G288, IFERROR(DATEVALUE(G288), "")))</f>
        <v>45529</v>
      </c>
      <c r="I288" s="9" t="str">
        <f>IF(G288="","Missing", IF(AND(ISNUMBER(G288)=FALSE, H288=""),"Invalid - Could Not Parse", IF(AND(ISNUMBER(G288)=FALSE, H288&lt;&gt;""),"Text - Converted to Date", IF(ISNUMBER(G288),"Valid","Check"))))</f>
        <v>Text - Converted to Date</v>
      </c>
      <c r="J288" s="9" t="str">
        <f>IF(OR(C288="", H288=""), "Cannot Check - Date Missing", IF(H288&lt;C288, "Invalid - Ship Before Order", "Valid"))</f>
        <v>Valid</v>
      </c>
      <c r="K288" s="5">
        <f>IF(OR(C288="", H288=""), "", IF(H288&lt;C288, "", H288-C288))</f>
        <v>4</v>
      </c>
      <c r="L288" s="3" t="s">
        <v>1628</v>
      </c>
      <c r="M288" s="3" t="s">
        <v>210</v>
      </c>
      <c r="N288" s="4" t="str">
        <f>TRIM(SUBSTITUTE(M288,"_"," "))</f>
        <v>Diya Patel</v>
      </c>
      <c r="O288" s="3" t="s">
        <v>26</v>
      </c>
      <c r="P288" s="6" t="str">
        <f>PROPER(TRIM(SUBSTITUTE(O288,".","")))</f>
        <v>Consumer</v>
      </c>
      <c r="Q288" s="3" t="s">
        <v>73</v>
      </c>
      <c r="R288" s="7" t="str">
        <f>PROPER(TRIM(SUBSTITUTE(Q288,"  "," ")))</f>
        <v>West</v>
      </c>
      <c r="S288" s="3" t="s">
        <v>235</v>
      </c>
      <c r="T288" s="6" t="str">
        <f>PROPER(TRIM(SUBSTITUTE(S288,"  "," ")))</f>
        <v>Gujarat</v>
      </c>
      <c r="U288" s="3" t="s">
        <v>236</v>
      </c>
      <c r="V288" s="6" t="str">
        <f>PROPER(TRIM(SUBSTITUTE(U288,"  "," ")))</f>
        <v>Ahmedabad</v>
      </c>
      <c r="W288" s="3" t="s">
        <v>30</v>
      </c>
      <c r="X288" s="6" t="str">
        <f>PROPER(TRIM(SUBSTITUTE(W288,"  "," ")))</f>
        <v>Office Supplies</v>
      </c>
      <c r="Y288" s="3" t="s">
        <v>198</v>
      </c>
      <c r="Z288" s="6" t="str">
        <f>PROPER(TRIM(SUBSTITUTE(Y288,"  "," ")))</f>
        <v>Binders</v>
      </c>
      <c r="AA288" s="3" t="s">
        <v>1629</v>
      </c>
      <c r="AB288" s="3" t="s">
        <v>56</v>
      </c>
      <c r="AC288" s="6" t="str">
        <f>PROPER(TRIM(SUBSTITUTE(AB288,"  "," ")))</f>
        <v>First Class</v>
      </c>
      <c r="AD288" s="3">
        <v>1</v>
      </c>
      <c r="AE288" s="3">
        <v>270.27999999999997</v>
      </c>
      <c r="AF288" s="3">
        <v>0</v>
      </c>
      <c r="AG288" s="17">
        <v>0</v>
      </c>
      <c r="AH288" s="6" t="str">
        <f t="shared" si="35"/>
        <v>Valid</v>
      </c>
      <c r="AI288" s="3">
        <v>270.27999999999997</v>
      </c>
      <c r="AJ288" s="3">
        <v>156.34</v>
      </c>
      <c r="AK288" s="3">
        <v>113.94</v>
      </c>
      <c r="AL288" s="3" t="s">
        <v>34</v>
      </c>
      <c r="AM288" s="6" t="str">
        <f>PROPER(TRIM(SUBSTITUTE(AL288,".","")))</f>
        <v>Paid</v>
      </c>
      <c r="AN288" s="3" t="s">
        <v>35</v>
      </c>
      <c r="AO288" s="8" t="str">
        <f>PROPER(TRIM(SUBSTITUTE(AN288,".","")))</f>
        <v>Completed</v>
      </c>
      <c r="AP288" t="str">
        <f>IF(COUNTIF($A$2:$A$933, A288) &gt; 1, "Duplicate ID", "Unique")</f>
        <v>Unique</v>
      </c>
      <c r="AR288">
        <f t="shared" si="36"/>
        <v>270.27999999999997</v>
      </c>
      <c r="AS288">
        <f t="shared" si="37"/>
        <v>113.93999999999997</v>
      </c>
      <c r="AT288" s="15">
        <f t="shared" si="38"/>
        <v>0.42156282373834536</v>
      </c>
      <c r="AU288" t="str">
        <f t="shared" si="39"/>
        <v>Clean</v>
      </c>
      <c r="AV288" s="8" t="str">
        <f t="shared" si="40"/>
        <v>Active</v>
      </c>
    </row>
    <row r="289" spans="1:48">
      <c r="A289" s="3" t="s">
        <v>1802</v>
      </c>
      <c r="B289" s="3" t="s">
        <v>1626</v>
      </c>
      <c r="C289" s="9">
        <f>IFERROR(DATEVALUE(TEXT(B289,"DD/MM/YYYY")), IF(ISNUMBER(B289), B289, ""))</f>
        <v>45525</v>
      </c>
      <c r="D289" s="9" t="str">
        <f>IF(B289="","Missing", IF(AND(ISNUMBER(B289)=FALSE, C289=""),"Invalid - Could Not Parse", IF(AND(ISNUMBER(B289)=FALSE, C289&lt;&gt;""),"Text - Converted to Date", IF(ISNUMBER(B289),"Valid","Check"))))</f>
        <v>Text - Converted to Date</v>
      </c>
      <c r="E289" s="5">
        <f t="shared" si="33"/>
        <v>8</v>
      </c>
      <c r="F289" s="5">
        <f t="shared" si="34"/>
        <v>2024</v>
      </c>
      <c r="G289" s="3" t="s">
        <v>1803</v>
      </c>
      <c r="H289" s="9">
        <f>IFERROR(DATEVALUE(TEXT(G289,"DD/MM/YYYY")), IF(ISNUMBER(G289), G289, ""))</f>
        <v>45526</v>
      </c>
      <c r="I289" s="9" t="str">
        <f>IF(G289="","Missing", IF(AND(ISNUMBER(G289)=FALSE, H289=""),"Invalid - Could Not Parse", IF(AND(ISNUMBER(G289)=FALSE, H289&lt;&gt;""),"Text - Converted to Date", IF(ISNUMBER(G289),"Valid","Check"))))</f>
        <v>Text - Converted to Date</v>
      </c>
      <c r="J289" s="9" t="str">
        <f>IF(OR(C289="", H289=""), "Cannot Check - Date Missing", IF(H289&lt;C289, "Invalid - Ship Before Order", "Valid"))</f>
        <v>Valid</v>
      </c>
      <c r="K289" s="5">
        <f>IF(OR(C289="", H289=""), "", IF(H289&lt;C289, "", H289-C289))</f>
        <v>1</v>
      </c>
      <c r="L289" s="3" t="s">
        <v>1804</v>
      </c>
      <c r="M289" s="3" t="s">
        <v>53</v>
      </c>
      <c r="N289" s="4" t="str">
        <f>TRIM(SUBSTITUTE(M289,"_"," "))</f>
        <v>Isha Nair</v>
      </c>
      <c r="O289" s="3" t="s">
        <v>26</v>
      </c>
      <c r="P289" s="6" t="str">
        <f>PROPER(TRIM(SUBSTITUTE(O289,".","")))</f>
        <v>Consumer</v>
      </c>
      <c r="Q289" s="3" t="s">
        <v>62</v>
      </c>
      <c r="R289" s="7" t="str">
        <f>PROPER(TRIM(SUBSTITUTE(Q289,"  "," ")))</f>
        <v>South</v>
      </c>
      <c r="S289" s="3" t="s">
        <v>339</v>
      </c>
      <c r="T289" s="6" t="str">
        <f>PROPER(TRIM(SUBSTITUTE(S289,"  "," ")))</f>
        <v>Tamil Nadu</v>
      </c>
      <c r="U289" s="3" t="s">
        <v>340</v>
      </c>
      <c r="V289" s="6" t="str">
        <f>PROPER(TRIM(SUBSTITUTE(U289,"  "," ")))</f>
        <v>Chennai</v>
      </c>
      <c r="W289" s="3" t="s">
        <v>86</v>
      </c>
      <c r="X289" s="6" t="str">
        <f>PROPER(TRIM(SUBSTITUTE(W289,"  "," ")))</f>
        <v>Technology</v>
      </c>
      <c r="Y289" s="3" t="s">
        <v>223</v>
      </c>
      <c r="Z289" s="6" t="str">
        <f>PROPER(TRIM(SUBSTITUTE(Y289,"  "," ")))</f>
        <v>Phones</v>
      </c>
      <c r="AA289" s="3" t="s">
        <v>1805</v>
      </c>
      <c r="AB289" s="3" t="s">
        <v>48</v>
      </c>
      <c r="AC289" s="6" t="str">
        <f>PROPER(TRIM(SUBSTITUTE(AB289,"  "," ")))</f>
        <v>Same Day</v>
      </c>
      <c r="AD289" s="3">
        <v>9</v>
      </c>
      <c r="AE289" s="3">
        <v>616.96</v>
      </c>
      <c r="AF289" s="3">
        <v>0.1</v>
      </c>
      <c r="AG289" s="17">
        <v>0.1</v>
      </c>
      <c r="AH289" s="6" t="str">
        <f t="shared" si="35"/>
        <v>Valid</v>
      </c>
      <c r="AI289" s="3">
        <v>4997.38</v>
      </c>
      <c r="AJ289" s="3">
        <v>2971.39</v>
      </c>
      <c r="AK289" s="3">
        <v>2025.99</v>
      </c>
      <c r="AL289" s="3" t="s">
        <v>34</v>
      </c>
      <c r="AM289" s="6" t="str">
        <f>PROPER(TRIM(SUBSTITUTE(AL289,".","")))</f>
        <v>Paid</v>
      </c>
      <c r="AN289" s="3" t="s">
        <v>35</v>
      </c>
      <c r="AO289" s="8" t="str">
        <f>PROPER(TRIM(SUBSTITUTE(AN289,".","")))</f>
        <v>Completed</v>
      </c>
      <c r="AP289" t="str">
        <f>IF(COUNTIF($A$2:$A$933, A289) &gt; 1, "Duplicate ID", "Unique")</f>
        <v>Unique</v>
      </c>
      <c r="AR289">
        <f t="shared" si="36"/>
        <v>4997.3760000000002</v>
      </c>
      <c r="AS289">
        <f t="shared" si="37"/>
        <v>2025.9860000000003</v>
      </c>
      <c r="AT289" s="15">
        <f t="shared" si="38"/>
        <v>0.40540995914656014</v>
      </c>
      <c r="AU289" t="str">
        <f t="shared" si="39"/>
        <v>Clean</v>
      </c>
      <c r="AV289" s="8" t="str">
        <f t="shared" si="40"/>
        <v>Active</v>
      </c>
    </row>
    <row r="290" spans="1:48">
      <c r="A290" s="3" t="s">
        <v>1815</v>
      </c>
      <c r="B290" s="3" t="s">
        <v>1816</v>
      </c>
      <c r="C290" s="9">
        <f>IFERROR(DATEVALUE(TEXT(B290,"DD/MM/YYYY")), IF(ISNUMBER(B290), B290, ""))</f>
        <v>45527</v>
      </c>
      <c r="D290" s="9" t="str">
        <f>IF(B290="","Missing", IF(AND(ISNUMBER(B290)=FALSE, C290=""),"Invalid - Could Not Parse", IF(AND(ISNUMBER(B290)=FALSE, C290&lt;&gt;""),"Text - Converted to Date", IF(ISNUMBER(B290),"Valid","Check"))))</f>
        <v>Text - Converted to Date</v>
      </c>
      <c r="E290" s="5">
        <f t="shared" si="33"/>
        <v>8</v>
      </c>
      <c r="F290" s="5">
        <f t="shared" si="34"/>
        <v>2024</v>
      </c>
      <c r="G290" s="3" t="s">
        <v>1817</v>
      </c>
      <c r="H290" s="9">
        <f>IFERROR(DATEVALUE(TEXT(G290,"DD/MM/YYYY")), IF(ISNUMBER(G290), G290, ""))</f>
        <v>45529</v>
      </c>
      <c r="I290" s="9" t="str">
        <f>IF(G290="","Missing", IF(AND(ISNUMBER(G290)=FALSE, H290=""),"Invalid - Could Not Parse", IF(AND(ISNUMBER(G290)=FALSE, H290&lt;&gt;""),"Text - Converted to Date", IF(ISNUMBER(G290),"Valid","Check"))))</f>
        <v>Text - Converted to Date</v>
      </c>
      <c r="J290" s="9" t="str">
        <f>IF(OR(C290="", H290=""), "Cannot Check - Date Missing", IF(H290&lt;C290, "Invalid - Ship Before Order", "Valid"))</f>
        <v>Valid</v>
      </c>
      <c r="K290" s="5">
        <f>IF(OR(C290="", H290=""), "", IF(H290&lt;C290, "", H290-C290))</f>
        <v>2</v>
      </c>
      <c r="L290" s="3" t="s">
        <v>1818</v>
      </c>
      <c r="M290" s="3" t="s">
        <v>83</v>
      </c>
      <c r="N290" s="4" t="str">
        <f>TRIM(SUBSTITUTE(M290,"_"," "))</f>
        <v>Vikram Iyer</v>
      </c>
      <c r="O290" s="3" t="s">
        <v>26</v>
      </c>
      <c r="P290" s="6" t="str">
        <f>PROPER(TRIM(SUBSTITUTE(O290,".","")))</f>
        <v>Consumer</v>
      </c>
      <c r="Q290" s="3" t="s">
        <v>73</v>
      </c>
      <c r="R290" s="7" t="str">
        <f>PROPER(TRIM(SUBSTITUTE(Q290,"  "," ")))</f>
        <v>West</v>
      </c>
      <c r="S290" s="3" t="s">
        <v>249</v>
      </c>
      <c r="T290" s="6" t="str">
        <f>PROPER(TRIM(SUBSTITUTE(S290,"  "," ")))</f>
        <v>Goa</v>
      </c>
      <c r="U290" s="3" t="s">
        <v>250</v>
      </c>
      <c r="V290" s="6" t="str">
        <f>PROPER(TRIM(SUBSTITUTE(U290,"  "," ")))</f>
        <v>Panaji</v>
      </c>
      <c r="W290" s="3" t="s">
        <v>86</v>
      </c>
      <c r="X290" s="6" t="str">
        <f>PROPER(TRIM(SUBSTITUTE(W290,"  "," ")))</f>
        <v>Technology</v>
      </c>
      <c r="Y290" s="3" t="s">
        <v>382</v>
      </c>
      <c r="Z290" s="6" t="str">
        <f>PROPER(TRIM(SUBSTITUTE(Y290,"  "," ")))</f>
        <v>Machines</v>
      </c>
      <c r="AA290" s="3" t="s">
        <v>1819</v>
      </c>
      <c r="AB290" s="3" t="s">
        <v>48</v>
      </c>
      <c r="AC290" s="6" t="str">
        <f>PROPER(TRIM(SUBSTITUTE(AB290,"  "," ")))</f>
        <v>Same Day</v>
      </c>
      <c r="AD290" s="3">
        <v>4</v>
      </c>
      <c r="AE290" s="3">
        <v>491.16</v>
      </c>
      <c r="AF290" s="3">
        <v>0.05</v>
      </c>
      <c r="AG290" s="17">
        <v>0.05</v>
      </c>
      <c r="AH290" s="6" t="str">
        <f t="shared" si="35"/>
        <v>Valid</v>
      </c>
      <c r="AI290" s="3">
        <v>1866.41</v>
      </c>
      <c r="AJ290" s="3">
        <v>1576.49</v>
      </c>
      <c r="AK290" s="3">
        <v>289.92</v>
      </c>
      <c r="AL290" s="3" t="s">
        <v>34</v>
      </c>
      <c r="AM290" s="6" t="str">
        <f>PROPER(TRIM(SUBSTITUTE(AL290,".","")))</f>
        <v>Paid</v>
      </c>
      <c r="AN290" s="3" t="s">
        <v>35</v>
      </c>
      <c r="AO290" s="8" t="str">
        <f>PROPER(TRIM(SUBSTITUTE(AN290,".","")))</f>
        <v>Completed</v>
      </c>
      <c r="AP290" t="str">
        <f>IF(COUNTIF($A$2:$A$933, A290) &gt; 1, "Duplicate ID", "Unique")</f>
        <v>Unique</v>
      </c>
      <c r="AR290">
        <f t="shared" si="36"/>
        <v>1866.4079999999999</v>
      </c>
      <c r="AS290">
        <f t="shared" si="37"/>
        <v>289.91799999999989</v>
      </c>
      <c r="AT290" s="15">
        <f t="shared" si="38"/>
        <v>0.15533473924243782</v>
      </c>
      <c r="AU290" t="str">
        <f t="shared" si="39"/>
        <v>Clean</v>
      </c>
      <c r="AV290" s="8" t="str">
        <f t="shared" si="40"/>
        <v>Active</v>
      </c>
    </row>
    <row r="291" spans="1:48">
      <c r="A291" s="3" t="s">
        <v>1948</v>
      </c>
      <c r="B291" s="3" t="s">
        <v>1949</v>
      </c>
      <c r="C291" s="9">
        <f>IFERROR(DATEVALUE(TEXT(B291,"DD/MM/YYYY")), IF(ISNUMBER(B291), B291, ""))</f>
        <v>45527</v>
      </c>
      <c r="D291" s="9" t="str">
        <f>IF(B291="","Missing", IF(AND(ISNUMBER(B291)=FALSE, C291=""),"Invalid - Could Not Parse", IF(AND(ISNUMBER(B291)=FALSE, C291&lt;&gt;""),"Text - Converted to Date", IF(ISNUMBER(B291),"Valid","Check"))))</f>
        <v>Text - Converted to Date</v>
      </c>
      <c r="E291" s="5">
        <f t="shared" si="33"/>
        <v>8</v>
      </c>
      <c r="F291" s="5">
        <f t="shared" si="34"/>
        <v>2024</v>
      </c>
      <c r="G291" s="3" t="s">
        <v>1950</v>
      </c>
      <c r="H291" s="9">
        <f>IFERROR(DATEVALUE(MID(G291,4,2) &amp; "/" &amp; LEFT(G291,2) &amp; "/" &amp; RIGHT(G291,4)), IF(ISNUMBER(G291), G291, IFERROR(DATEVALUE(G291), "")))</f>
        <v>45533</v>
      </c>
      <c r="I291" s="9" t="str">
        <f>IF(G291="","Missing", IF(AND(ISNUMBER(G291)=FALSE, H291=""),"Invalid - Could Not Parse", IF(AND(ISNUMBER(G291)=FALSE, H291&lt;&gt;""),"Text - Converted to Date", IF(ISNUMBER(G291),"Valid","Check"))))</f>
        <v>Text - Converted to Date</v>
      </c>
      <c r="J291" s="9" t="str">
        <f>IF(OR(C291="", H291=""), "Cannot Check - Date Missing", IF(H291&lt;C291, "Invalid - Ship Before Order", "Valid"))</f>
        <v>Valid</v>
      </c>
      <c r="K291" s="5">
        <f>IF(OR(C291="", H291=""), "", IF(H291&lt;C291, "", H291-C291))</f>
        <v>6</v>
      </c>
      <c r="L291" s="3" t="s">
        <v>1951</v>
      </c>
      <c r="M291" s="3" t="s">
        <v>40</v>
      </c>
      <c r="N291" s="4" t="str">
        <f>TRIM(SUBSTITUTE(M291,"_"," "))</f>
        <v>Mira Das</v>
      </c>
      <c r="O291" s="3" t="s">
        <v>108</v>
      </c>
      <c r="P291" s="6" t="str">
        <f>PROPER(TRIM(SUBSTITUTE(O291,".","")))</f>
        <v>Corporate</v>
      </c>
      <c r="Q291" s="3" t="s">
        <v>27</v>
      </c>
      <c r="R291" s="7" t="str">
        <f>PROPER(TRIM(SUBSTITUTE(Q291,"  "," ")))</f>
        <v>North</v>
      </c>
      <c r="S291" s="3" t="s">
        <v>174</v>
      </c>
      <c r="T291" s="6" t="str">
        <f>PROPER(TRIM(SUBSTITUTE(S291,"  "," ")))</f>
        <v>Uttar Pradesh</v>
      </c>
      <c r="U291" s="3" t="s">
        <v>175</v>
      </c>
      <c r="V291" s="6" t="str">
        <f>PROPER(TRIM(SUBSTITUTE(U291,"  "," ")))</f>
        <v>Noida</v>
      </c>
      <c r="W291" s="3" t="s">
        <v>30</v>
      </c>
      <c r="X291" s="6" t="str">
        <f>PROPER(TRIM(SUBSTITUTE(W291,"  "," ")))</f>
        <v>Office Supplies</v>
      </c>
      <c r="Y291" s="3" t="s">
        <v>109</v>
      </c>
      <c r="Z291" s="6" t="str">
        <f>PROPER(TRIM(SUBSTITUTE(Y291,"  "," ")))</f>
        <v>Labels</v>
      </c>
      <c r="AA291" s="3" t="s">
        <v>1952</v>
      </c>
      <c r="AB291" s="3" t="s">
        <v>48</v>
      </c>
      <c r="AC291" s="6" t="str">
        <f>PROPER(TRIM(SUBSTITUTE(AB291,"  "," ")))</f>
        <v>Same Day</v>
      </c>
      <c r="AD291" s="3">
        <v>2</v>
      </c>
      <c r="AE291" s="3">
        <v>1936.91</v>
      </c>
      <c r="AF291" s="3">
        <v>0.05</v>
      </c>
      <c r="AG291" s="17">
        <v>0.05</v>
      </c>
      <c r="AH291" s="6" t="str">
        <f t="shared" si="35"/>
        <v>Valid</v>
      </c>
      <c r="AI291" s="3">
        <v>3680.13</v>
      </c>
      <c r="AJ291" s="3">
        <v>2967.46</v>
      </c>
      <c r="AK291" s="3">
        <v>712.67</v>
      </c>
      <c r="AL291" s="3" t="s">
        <v>34</v>
      </c>
      <c r="AM291" s="6" t="str">
        <f>PROPER(TRIM(SUBSTITUTE(AL291,".","")))</f>
        <v>Paid</v>
      </c>
      <c r="AN291" s="3" t="s">
        <v>35</v>
      </c>
      <c r="AO291" s="8" t="str">
        <f>PROPER(TRIM(SUBSTITUTE(AN291,".","")))</f>
        <v>Completed</v>
      </c>
      <c r="AP291" t="str">
        <f>IF(COUNTIF($A$2:$A$933, A291) &gt; 1, "Duplicate ID", "Unique")</f>
        <v>Unique</v>
      </c>
      <c r="AR291">
        <f t="shared" si="36"/>
        <v>3680.1289999999999</v>
      </c>
      <c r="AS291">
        <f t="shared" si="37"/>
        <v>712.66899999999987</v>
      </c>
      <c r="AT291" s="15">
        <f t="shared" si="38"/>
        <v>0.19365326595888346</v>
      </c>
      <c r="AU291" t="str">
        <f t="shared" si="39"/>
        <v>Clean</v>
      </c>
      <c r="AV291" s="8" t="str">
        <f t="shared" si="40"/>
        <v>Active</v>
      </c>
    </row>
    <row r="292" spans="1:48">
      <c r="A292" s="3" t="s">
        <v>3415</v>
      </c>
      <c r="B292" s="3" t="s">
        <v>3416</v>
      </c>
      <c r="C292" s="9">
        <f>IFERROR(DATEVALUE(TEXT(B292,"DD/MM/YYYY")), IF(ISNUMBER(B292), B292, ""))</f>
        <v>45528</v>
      </c>
      <c r="D292" s="9" t="str">
        <f>IF(B292="","Missing", IF(AND(ISNUMBER(B292)=FALSE, C292=""),"Invalid - Could Not Parse", IF(AND(ISNUMBER(B292)=FALSE, C292&lt;&gt;""),"Text - Converted to Date", IF(ISNUMBER(B292),"Valid","Check"))))</f>
        <v>Text - Converted to Date</v>
      </c>
      <c r="E292" s="5">
        <f t="shared" si="33"/>
        <v>8</v>
      </c>
      <c r="F292" s="5">
        <f t="shared" si="34"/>
        <v>2024</v>
      </c>
      <c r="G292" s="3" t="s">
        <v>3416</v>
      </c>
      <c r="H292" s="9">
        <f>IFERROR(DATEVALUE(TEXT(G292,"DD/MM/YYYY")), IF(ISNUMBER(G292), G292, ""))</f>
        <v>45528</v>
      </c>
      <c r="I292" s="9" t="str">
        <f>IF(G292="","Missing", IF(AND(ISNUMBER(G292)=FALSE, H292=""),"Invalid - Could Not Parse", IF(AND(ISNUMBER(G292)=FALSE, H292&lt;&gt;""),"Text - Converted to Date", IF(ISNUMBER(G292),"Valid","Check"))))</f>
        <v>Text - Converted to Date</v>
      </c>
      <c r="J292" s="9" t="str">
        <f>IF(OR(C292="", H292=""), "Cannot Check - Date Missing", IF(H292&lt;C292, "Invalid - Ship Before Order", "Valid"))</f>
        <v>Valid</v>
      </c>
      <c r="K292" s="5">
        <f>IF(OR(C292="", H292=""), "", IF(H292&lt;C292, "", H292-C292))</f>
        <v>0</v>
      </c>
      <c r="L292" s="3" t="s">
        <v>3417</v>
      </c>
      <c r="M292" s="3" t="s">
        <v>72</v>
      </c>
      <c r="N292" s="4" t="str">
        <f>TRIM(SUBSTITUTE(M292,"_"," "))</f>
        <v>Ananya Rao</v>
      </c>
      <c r="O292" s="3" t="s">
        <v>41</v>
      </c>
      <c r="P292" s="6" t="str">
        <f>PROPER(TRIM(SUBSTITUTE(O292,".","")))</f>
        <v>Small Business</v>
      </c>
      <c r="Q292" s="3" t="s">
        <v>27</v>
      </c>
      <c r="R292" s="7" t="str">
        <f>PROPER(TRIM(SUBSTITUTE(Q292,"  "," ")))</f>
        <v>North</v>
      </c>
      <c r="S292" s="3" t="s">
        <v>28</v>
      </c>
      <c r="T292" s="6" t="str">
        <f>PROPER(TRIM(SUBSTITUTE(S292,"  "," ")))</f>
        <v>Rajasthan</v>
      </c>
      <c r="U292" s="3" t="s">
        <v>29</v>
      </c>
      <c r="V292" s="6" t="str">
        <f>PROPER(TRIM(SUBSTITUTE(U292,"  "," ")))</f>
        <v>Jaipur</v>
      </c>
      <c r="W292" s="3" t="s">
        <v>86</v>
      </c>
      <c r="X292" s="6" t="str">
        <f>PROPER(TRIM(SUBSTITUTE(W292,"  "," ")))</f>
        <v>Technology</v>
      </c>
      <c r="Y292" s="3" t="s">
        <v>87</v>
      </c>
      <c r="Z292" s="6" t="str">
        <f>PROPER(TRIM(SUBSTITUTE(Y292,"  "," ")))</f>
        <v>Accessories</v>
      </c>
      <c r="AA292" s="3" t="s">
        <v>3418</v>
      </c>
      <c r="AB292" s="3" t="s">
        <v>56</v>
      </c>
      <c r="AC292" s="6" t="str">
        <f>PROPER(TRIM(SUBSTITUTE(AB292,"  "," ")))</f>
        <v>First Class</v>
      </c>
      <c r="AD292" s="3">
        <v>4</v>
      </c>
      <c r="AE292" s="3">
        <v>2761.86</v>
      </c>
      <c r="AF292" s="3">
        <v>0.2</v>
      </c>
      <c r="AG292" s="17">
        <v>0.2</v>
      </c>
      <c r="AH292" s="6" t="str">
        <f t="shared" si="35"/>
        <v>Valid</v>
      </c>
      <c r="AI292" s="3">
        <v>8837.9500000000007</v>
      </c>
      <c r="AJ292" s="3">
        <v>6157.27</v>
      </c>
      <c r="AK292" s="3">
        <v>2680.68</v>
      </c>
      <c r="AL292" s="3" t="s">
        <v>34</v>
      </c>
      <c r="AM292" s="6" t="str">
        <f>PROPER(TRIM(SUBSTITUTE(AL292,".","")))</f>
        <v>Paid</v>
      </c>
      <c r="AN292" s="3" t="s">
        <v>35</v>
      </c>
      <c r="AO292" s="8" t="str">
        <f>PROPER(TRIM(SUBSTITUTE(AN292,".","")))</f>
        <v>Completed</v>
      </c>
      <c r="AP292" t="str">
        <f>IF(COUNTIF($A$2:$A$933, A292) &gt; 1, "Duplicate ID", "Unique")</f>
        <v>Unique</v>
      </c>
      <c r="AR292">
        <f t="shared" si="36"/>
        <v>8837.9520000000011</v>
      </c>
      <c r="AS292">
        <f t="shared" si="37"/>
        <v>2680.6820000000007</v>
      </c>
      <c r="AT292" s="15">
        <f t="shared" si="38"/>
        <v>0.30331484036120587</v>
      </c>
      <c r="AU292" t="str">
        <f t="shared" si="39"/>
        <v>Clean</v>
      </c>
      <c r="AV292" s="8" t="str">
        <f t="shared" si="40"/>
        <v>Active</v>
      </c>
    </row>
    <row r="293" spans="1:48">
      <c r="A293" s="3" t="s">
        <v>2576</v>
      </c>
      <c r="B293" s="3" t="s">
        <v>2577</v>
      </c>
      <c r="C293" s="9">
        <f>IFERROR(DATEVALUE(TEXT(B293,"DD/MM/YYYY")), IF(ISNUMBER(B293), B293, ""))</f>
        <v>45529</v>
      </c>
      <c r="D293" s="9" t="str">
        <f>IF(B293="","Missing", IF(AND(ISNUMBER(B293)=FALSE, C293=""),"Invalid - Could Not Parse", IF(AND(ISNUMBER(B293)=FALSE, C293&lt;&gt;""),"Text - Converted to Date", IF(ISNUMBER(B293),"Valid","Check"))))</f>
        <v>Text - Converted to Date</v>
      </c>
      <c r="E293" s="5">
        <f t="shared" si="33"/>
        <v>8</v>
      </c>
      <c r="F293" s="5">
        <f t="shared" si="34"/>
        <v>2024</v>
      </c>
      <c r="G293" s="3" t="s">
        <v>395</v>
      </c>
      <c r="H293" s="9">
        <f>IFERROR(DATEVALUE(TEXT(G293,"DD/MM/YYYY")), IF(ISNUMBER(G293), G293, ""))</f>
        <v>45536</v>
      </c>
      <c r="I293" s="9" t="str">
        <f>IF(G293="","Missing", IF(AND(ISNUMBER(G293)=FALSE, H293=""),"Invalid - Could Not Parse", IF(AND(ISNUMBER(G293)=FALSE, H293&lt;&gt;""),"Text - Converted to Date", IF(ISNUMBER(G293),"Valid","Check"))))</f>
        <v>Text - Converted to Date</v>
      </c>
      <c r="J293" s="9" t="str">
        <f>IF(OR(C293="", H293=""), "Cannot Check - Date Missing", IF(H293&lt;C293, "Invalid - Ship Before Order", "Valid"))</f>
        <v>Valid</v>
      </c>
      <c r="K293" s="5">
        <f>IF(OR(C293="", H293=""), "", IF(H293&lt;C293, "", H293-C293))</f>
        <v>7</v>
      </c>
      <c r="L293" s="3" t="s">
        <v>2578</v>
      </c>
      <c r="M293" s="3" t="s">
        <v>53</v>
      </c>
      <c r="N293" s="4" t="str">
        <f>TRIM(SUBSTITUTE(M293,"_"," "))</f>
        <v>Isha Nair</v>
      </c>
      <c r="O293" s="3" t="s">
        <v>115</v>
      </c>
      <c r="P293" s="6" t="str">
        <f>PROPER(TRIM(SUBSTITUTE(O293,".","")))</f>
        <v>Home Office</v>
      </c>
      <c r="Q293" s="3" t="s">
        <v>27</v>
      </c>
      <c r="R293" s="7" t="str">
        <f>PROPER(TRIM(SUBSTITUTE(Q293,"  "," ")))</f>
        <v>North</v>
      </c>
      <c r="S293" s="3" t="s">
        <v>28</v>
      </c>
      <c r="T293" s="6" t="str">
        <f>PROPER(TRIM(SUBSTITUTE(S293,"  "," ")))</f>
        <v>Rajasthan</v>
      </c>
      <c r="U293" s="3" t="s">
        <v>29</v>
      </c>
      <c r="V293" s="6" t="str">
        <f>PROPER(TRIM(SUBSTITUTE(U293,"  "," ")))</f>
        <v>Jaipur</v>
      </c>
      <c r="W293" s="3" t="s">
        <v>45</v>
      </c>
      <c r="X293" s="6" t="str">
        <f>PROPER(TRIM(SUBSTITUTE(W293,"  "," ")))</f>
        <v>Furniture</v>
      </c>
      <c r="Y293" s="3" t="s">
        <v>46</v>
      </c>
      <c r="Z293" s="6" t="str">
        <f>PROPER(TRIM(SUBSTITUTE(Y293,"  "," ")))</f>
        <v>Tables</v>
      </c>
      <c r="AA293" s="3" t="s">
        <v>2579</v>
      </c>
      <c r="AB293" s="3" t="s">
        <v>48</v>
      </c>
      <c r="AC293" s="6" t="str">
        <f>PROPER(TRIM(SUBSTITUTE(AB293,"  "," ")))</f>
        <v>Same Day</v>
      </c>
      <c r="AD293" s="3">
        <v>6</v>
      </c>
      <c r="AE293" s="3">
        <v>481.3</v>
      </c>
      <c r="AF293" s="3">
        <v>0.25</v>
      </c>
      <c r="AG293" s="17">
        <v>0.25</v>
      </c>
      <c r="AH293" s="6" t="str">
        <f t="shared" si="35"/>
        <v>Valid</v>
      </c>
      <c r="AI293" s="3">
        <v>2165.85</v>
      </c>
      <c r="AJ293" s="3">
        <v>2124.48</v>
      </c>
      <c r="AK293" s="3">
        <v>430.45</v>
      </c>
      <c r="AL293" s="3" t="s">
        <v>34</v>
      </c>
      <c r="AM293" s="6" t="str">
        <f>PROPER(TRIM(SUBSTITUTE(AL293,".","")))</f>
        <v>Paid</v>
      </c>
      <c r="AN293" s="3" t="s">
        <v>35</v>
      </c>
      <c r="AO293" s="8" t="str">
        <f>PROPER(TRIM(SUBSTITUTE(AN293,".","")))</f>
        <v>Completed</v>
      </c>
      <c r="AP293" t="str">
        <f>IF(COUNTIF($A$2:$A$933, A293) &gt; 1, "Duplicate ID", "Unique")</f>
        <v>Unique</v>
      </c>
      <c r="AR293">
        <f t="shared" si="36"/>
        <v>2165.8500000000004</v>
      </c>
      <c r="AS293">
        <f t="shared" si="37"/>
        <v>41.370000000000346</v>
      </c>
      <c r="AT293" s="15">
        <f t="shared" si="38"/>
        <v>1.91010457787937E-2</v>
      </c>
      <c r="AU293" t="str">
        <f t="shared" si="39"/>
        <v>Clean</v>
      </c>
      <c r="AV293" s="8" t="str">
        <f t="shared" si="40"/>
        <v>Active</v>
      </c>
    </row>
    <row r="294" spans="1:48">
      <c r="A294" s="3" t="s">
        <v>982</v>
      </c>
      <c r="B294" s="3" t="s">
        <v>983</v>
      </c>
      <c r="C294" s="9">
        <f>IFERROR(DATEVALUE(TEXT(B294,"DD/MM/YYYY")), IF(ISNUMBER(B294), B294, ""))</f>
        <v>45530</v>
      </c>
      <c r="D294" s="9" t="str">
        <f>IF(B294="","Missing", IF(AND(ISNUMBER(B294)=FALSE, C294=""),"Invalid - Could Not Parse", IF(AND(ISNUMBER(B294)=FALSE, C294&lt;&gt;""),"Text - Converted to Date", IF(ISNUMBER(B294),"Valid","Check"))))</f>
        <v>Text - Converted to Date</v>
      </c>
      <c r="E294" s="5">
        <f t="shared" si="33"/>
        <v>8</v>
      </c>
      <c r="F294" s="5">
        <f t="shared" si="34"/>
        <v>2024</v>
      </c>
      <c r="G294" s="3" t="s">
        <v>984</v>
      </c>
      <c r="H294" s="9">
        <f>IFERROR(DATEVALUE(TEXT(G294,"DD/MM/YYYY")), IF(ISNUMBER(G294), G294, ""))</f>
        <v>45530</v>
      </c>
      <c r="I294" s="9" t="str">
        <f>IF(G294="","Missing", IF(AND(ISNUMBER(G294)=FALSE, H294=""),"Invalid - Could Not Parse", IF(AND(ISNUMBER(G294)=FALSE, H294&lt;&gt;""),"Text - Converted to Date", IF(ISNUMBER(G294),"Valid","Check"))))</f>
        <v>Text - Converted to Date</v>
      </c>
      <c r="J294" s="9" t="str">
        <f>IF(OR(C294="", H294=""), "Cannot Check - Date Missing", IF(H294&lt;C294, "Invalid - Ship Before Order", "Valid"))</f>
        <v>Valid</v>
      </c>
      <c r="K294" s="5">
        <f>IF(OR(C294="", H294=""), "", IF(H294&lt;C294, "", H294-C294))</f>
        <v>0</v>
      </c>
      <c r="L294" s="3" t="s">
        <v>985</v>
      </c>
      <c r="M294" s="3" t="s">
        <v>40</v>
      </c>
      <c r="N294" s="4" t="str">
        <f>TRIM(SUBSTITUTE(M294,"_"," "))</f>
        <v>Mira Das</v>
      </c>
      <c r="O294" s="3" t="s">
        <v>115</v>
      </c>
      <c r="P294" s="6" t="str">
        <f>PROPER(TRIM(SUBSTITUTE(O294,".","")))</f>
        <v>Home Office</v>
      </c>
      <c r="Q294" s="3" t="s">
        <v>27</v>
      </c>
      <c r="R294" s="7" t="str">
        <f>PROPER(TRIM(SUBSTITUTE(Q294,"  "," ")))</f>
        <v>North</v>
      </c>
      <c r="S294" s="3" t="s">
        <v>174</v>
      </c>
      <c r="T294" s="6" t="str">
        <f>PROPER(TRIM(SUBSTITUTE(S294,"  "," ")))</f>
        <v>Uttar Pradesh</v>
      </c>
      <c r="U294" s="3" t="s">
        <v>175</v>
      </c>
      <c r="V294" s="6" t="str">
        <f>PROPER(TRIM(SUBSTITUTE(U294,"  "," ")))</f>
        <v>Noida</v>
      </c>
      <c r="W294" s="3" t="s">
        <v>918</v>
      </c>
      <c r="X294" s="6" t="str">
        <f>PROPER(TRIM(SUBSTITUTE(W294,"  "," ")))</f>
        <v>Office Supplies</v>
      </c>
      <c r="Y294" s="3" t="s">
        <v>198</v>
      </c>
      <c r="Z294" s="6" t="str">
        <f>PROPER(TRIM(SUBSTITUTE(Y294,"  "," ")))</f>
        <v>Binders</v>
      </c>
      <c r="AA294" s="3" t="s">
        <v>986</v>
      </c>
      <c r="AB294" s="3" t="s">
        <v>56</v>
      </c>
      <c r="AC294" s="6" t="str">
        <f>PROPER(TRIM(SUBSTITUTE(AB294,"  "," ")))</f>
        <v>First Class</v>
      </c>
      <c r="AD294" s="3">
        <v>7</v>
      </c>
      <c r="AE294" s="3">
        <v>844.59</v>
      </c>
      <c r="AF294" s="3">
        <v>0.1</v>
      </c>
      <c r="AG294" s="17">
        <v>0.1</v>
      </c>
      <c r="AH294" s="6" t="str">
        <f t="shared" si="35"/>
        <v>Valid</v>
      </c>
      <c r="AI294" s="3">
        <v>5320.92</v>
      </c>
      <c r="AJ294" s="3">
        <v>3041.5</v>
      </c>
      <c r="AK294" s="3">
        <v>2279.42</v>
      </c>
      <c r="AL294" s="3" t="s">
        <v>34</v>
      </c>
      <c r="AM294" s="6" t="str">
        <f>PROPER(TRIM(SUBSTITUTE(AL294,".","")))</f>
        <v>Paid</v>
      </c>
      <c r="AN294" s="3" t="s">
        <v>35</v>
      </c>
      <c r="AO294" s="8" t="str">
        <f>PROPER(TRIM(SUBSTITUTE(AN294,".","")))</f>
        <v>Completed</v>
      </c>
      <c r="AP294" t="str">
        <f>IF(COUNTIF($A$2:$A$933, A294) &gt; 1, "Duplicate ID", "Unique")</f>
        <v>Unique</v>
      </c>
      <c r="AR294">
        <f t="shared" si="36"/>
        <v>5320.9170000000004</v>
      </c>
      <c r="AS294">
        <f t="shared" si="37"/>
        <v>2279.4170000000004</v>
      </c>
      <c r="AT294" s="15">
        <f t="shared" si="38"/>
        <v>0.42838800154183954</v>
      </c>
      <c r="AU294" t="str">
        <f t="shared" si="39"/>
        <v>Clean</v>
      </c>
      <c r="AV294" s="8" t="str">
        <f t="shared" si="40"/>
        <v>Active</v>
      </c>
    </row>
    <row r="295" spans="1:48">
      <c r="A295" s="3" t="s">
        <v>1253</v>
      </c>
      <c r="B295" s="3" t="s">
        <v>1254</v>
      </c>
      <c r="C295" s="9">
        <f>IFERROR(DATEVALUE(TEXT(B295,"DD/MM/YYYY")), IF(ISNUMBER(B295), B295, ""))</f>
        <v>45531</v>
      </c>
      <c r="D295" s="9" t="str">
        <f>IF(B295="","Missing", IF(AND(ISNUMBER(B295)=FALSE, C295=""),"Invalid - Could Not Parse", IF(AND(ISNUMBER(B295)=FALSE, C295&lt;&gt;""),"Text - Converted to Date", IF(ISNUMBER(B295),"Valid","Check"))))</f>
        <v>Text - Converted to Date</v>
      </c>
      <c r="E295" s="5">
        <f t="shared" si="33"/>
        <v>8</v>
      </c>
      <c r="F295" s="5">
        <f t="shared" si="34"/>
        <v>2024</v>
      </c>
      <c r="G295" s="3" t="s">
        <v>1254</v>
      </c>
      <c r="H295" s="9">
        <f>IFERROR(DATEVALUE(TEXT(G295,"DD/MM/YYYY")), IF(ISNUMBER(G295), G295, ""))</f>
        <v>45531</v>
      </c>
      <c r="I295" s="9" t="str">
        <f>IF(G295="","Missing", IF(AND(ISNUMBER(G295)=FALSE, H295=""),"Invalid - Could Not Parse", IF(AND(ISNUMBER(G295)=FALSE, H295&lt;&gt;""),"Text - Converted to Date", IF(ISNUMBER(G295),"Valid","Check"))))</f>
        <v>Text - Converted to Date</v>
      </c>
      <c r="J295" s="9" t="str">
        <f>IF(OR(C295="", H295=""), "Cannot Check - Date Missing", IF(H295&lt;C295, "Invalid - Ship Before Order", "Valid"))</f>
        <v>Valid</v>
      </c>
      <c r="K295" s="5">
        <f>IF(OR(C295="", H295=""), "", IF(H295&lt;C295, "", H295-C295))</f>
        <v>0</v>
      </c>
      <c r="L295" s="3" t="s">
        <v>1255</v>
      </c>
      <c r="M295" s="3" t="s">
        <v>40</v>
      </c>
      <c r="N295" s="4" t="str">
        <f>TRIM(SUBSTITUTE(M295,"_"," "))</f>
        <v>Mira Das</v>
      </c>
      <c r="O295" s="3" t="s">
        <v>26</v>
      </c>
      <c r="P295" s="6" t="str">
        <f>PROPER(TRIM(SUBSTITUTE(O295,".","")))</f>
        <v>Consumer</v>
      </c>
      <c r="Q295" s="3" t="s">
        <v>27</v>
      </c>
      <c r="R295" s="7" t="str">
        <f>PROPER(TRIM(SUBSTITUTE(Q295,"  "," ")))</f>
        <v>North</v>
      </c>
      <c r="S295" s="3" t="s">
        <v>323</v>
      </c>
      <c r="T295" s="6" t="str">
        <f>PROPER(TRIM(SUBSTITUTE(S295,"  "," ")))</f>
        <v>Haryana</v>
      </c>
      <c r="U295" s="3" t="s">
        <v>324</v>
      </c>
      <c r="V295" s="6" t="str">
        <f>PROPER(TRIM(SUBSTITUTE(U295,"  "," ")))</f>
        <v>Gurugram</v>
      </c>
      <c r="W295" s="3" t="s">
        <v>86</v>
      </c>
      <c r="X295" s="6" t="str">
        <f>PROPER(TRIM(SUBSTITUTE(W295,"  "," ")))</f>
        <v>Technology</v>
      </c>
      <c r="Y295" s="3" t="s">
        <v>94</v>
      </c>
      <c r="Z295" s="6" t="str">
        <f>PROPER(TRIM(SUBSTITUTE(Y295,"  "," ")))</f>
        <v>Copiers</v>
      </c>
      <c r="AA295" s="3" t="s">
        <v>1256</v>
      </c>
      <c r="AB295" s="3" t="s">
        <v>67</v>
      </c>
      <c r="AC295" s="6" t="str">
        <f>PROPER(TRIM(SUBSTITUTE(AB295,"  "," ")))</f>
        <v>Standard Class</v>
      </c>
      <c r="AD295" s="3">
        <v>9</v>
      </c>
      <c r="AE295" s="3">
        <v>2330.3000000000002</v>
      </c>
      <c r="AF295" s="3">
        <v>0</v>
      </c>
      <c r="AG295" s="17">
        <v>0</v>
      </c>
      <c r="AH295" s="6" t="str">
        <f t="shared" si="35"/>
        <v>Valid</v>
      </c>
      <c r="AI295" s="3">
        <v>20972.7</v>
      </c>
      <c r="AJ295" s="3">
        <v>13504.88</v>
      </c>
      <c r="AK295" s="3">
        <v>7467.82</v>
      </c>
      <c r="AL295" s="3" t="s">
        <v>34</v>
      </c>
      <c r="AM295" s="6" t="str">
        <f>PROPER(TRIM(SUBSTITUTE(AL295,".","")))</f>
        <v>Paid</v>
      </c>
      <c r="AN295" s="3" t="s">
        <v>35</v>
      </c>
      <c r="AO295" s="8" t="str">
        <f>PROPER(TRIM(SUBSTITUTE(AN295,".","")))</f>
        <v>Completed</v>
      </c>
      <c r="AP295" t="str">
        <f>IF(COUNTIF($A$2:$A$933, A295) &gt; 1, "Duplicate ID", "Unique")</f>
        <v>Unique</v>
      </c>
      <c r="AR295">
        <f t="shared" si="36"/>
        <v>20972.7</v>
      </c>
      <c r="AS295">
        <f t="shared" si="37"/>
        <v>7467.8200000000015</v>
      </c>
      <c r="AT295" s="15">
        <f t="shared" si="38"/>
        <v>0.35607337157352181</v>
      </c>
      <c r="AU295" t="str">
        <f t="shared" si="39"/>
        <v>Clean</v>
      </c>
      <c r="AV295" s="8" t="str">
        <f t="shared" si="40"/>
        <v>Active</v>
      </c>
    </row>
    <row r="296" spans="1:48">
      <c r="A296" s="3" t="s">
        <v>3522</v>
      </c>
      <c r="B296" s="3" t="s">
        <v>3523</v>
      </c>
      <c r="C296" s="9">
        <f>IFERROR(DATEVALUE(TEXT(B296,"DD/MM/YYYY")), IF(ISNUMBER(B296), B296, ""))</f>
        <v>45532</v>
      </c>
      <c r="D296" s="9" t="str">
        <f>IF(B296="","Missing", IF(AND(ISNUMBER(B296)=FALSE, C296=""),"Invalid - Could Not Parse", IF(AND(ISNUMBER(B296)=FALSE, C296&lt;&gt;""),"Text - Converted to Date", IF(ISNUMBER(B296),"Valid","Check"))))</f>
        <v>Text - Converted to Date</v>
      </c>
      <c r="E296" s="5">
        <f t="shared" si="33"/>
        <v>8</v>
      </c>
      <c r="F296" s="5">
        <f t="shared" si="34"/>
        <v>2024</v>
      </c>
      <c r="G296" s="3" t="s">
        <v>1195</v>
      </c>
      <c r="H296" s="9">
        <f>IFERROR(DATEVALUE(TEXT(G296,"DD/MM/YYYY")), IF(ISNUMBER(G296), G296, ""))</f>
        <v>45537</v>
      </c>
      <c r="I296" s="9" t="str">
        <f>IF(G296="","Missing", IF(AND(ISNUMBER(G296)=FALSE, H296=""),"Invalid - Could Not Parse", IF(AND(ISNUMBER(G296)=FALSE, H296&lt;&gt;""),"Text - Converted to Date", IF(ISNUMBER(G296),"Valid","Check"))))</f>
        <v>Text - Converted to Date</v>
      </c>
      <c r="J296" s="9" t="str">
        <f>IF(OR(C296="", H296=""), "Cannot Check - Date Missing", IF(H296&lt;C296, "Invalid - Ship Before Order", "Valid"))</f>
        <v>Valid</v>
      </c>
      <c r="K296" s="5">
        <f>IF(OR(C296="", H296=""), "", IF(H296&lt;C296, "", H296-C296))</f>
        <v>5</v>
      </c>
      <c r="L296" s="3" t="s">
        <v>3524</v>
      </c>
      <c r="M296" s="3" t="s">
        <v>107</v>
      </c>
      <c r="N296" s="4" t="str">
        <f>TRIM(SUBSTITUTE(M296,"_"," "))</f>
        <v>Aditi Sen</v>
      </c>
      <c r="O296" s="3" t="s">
        <v>115</v>
      </c>
      <c r="P296" s="6" t="str">
        <f>PROPER(TRIM(SUBSTITUTE(O296,".","")))</f>
        <v>Home Office</v>
      </c>
      <c r="Q296" s="3" t="s">
        <v>42</v>
      </c>
      <c r="R296" s="7" t="str">
        <f>PROPER(TRIM(SUBSTITUTE(Q296,"  "," ")))</f>
        <v>East</v>
      </c>
      <c r="S296" s="3" t="s">
        <v>216</v>
      </c>
      <c r="T296" s="6" t="str">
        <f>PROPER(TRIM(SUBSTITUTE(S296,"  "," ")))</f>
        <v>Assam</v>
      </c>
      <c r="U296" s="3" t="s">
        <v>217</v>
      </c>
      <c r="V296" s="6" t="str">
        <f>PROPER(TRIM(SUBSTITUTE(U296,"  "," ")))</f>
        <v>Guwahati</v>
      </c>
      <c r="W296" s="3" t="s">
        <v>30</v>
      </c>
      <c r="X296" s="6" t="str">
        <f>PROPER(TRIM(SUBSTITUTE(W296,"  "," ")))</f>
        <v>Office Supplies</v>
      </c>
      <c r="Y296" s="3" t="s">
        <v>54</v>
      </c>
      <c r="Z296" s="6" t="str">
        <f>PROPER(TRIM(SUBSTITUTE(Y296,"  "," ")))</f>
        <v>Art</v>
      </c>
      <c r="AA296" s="3" t="s">
        <v>3525</v>
      </c>
      <c r="AB296" s="3" t="s">
        <v>33</v>
      </c>
      <c r="AC296" s="6" t="str">
        <f>PROPER(TRIM(SUBSTITUTE(AB296,"  "," ")))</f>
        <v>Second Class</v>
      </c>
      <c r="AD296" s="3">
        <v>4</v>
      </c>
      <c r="AE296" s="3">
        <v>3365.53</v>
      </c>
      <c r="AF296" s="3">
        <v>0</v>
      </c>
      <c r="AG296" s="17">
        <v>0</v>
      </c>
      <c r="AH296" s="6" t="str">
        <f t="shared" si="35"/>
        <v>Valid</v>
      </c>
      <c r="AI296" s="3">
        <v>13462.12</v>
      </c>
      <c r="AJ296" s="3">
        <v>7600.63</v>
      </c>
      <c r="AK296" s="3">
        <v>5861.49</v>
      </c>
      <c r="AL296" s="3" t="s">
        <v>137</v>
      </c>
      <c r="AM296" s="6" t="str">
        <f>PROPER(TRIM(SUBSTITUTE(AL296,".","")))</f>
        <v>Pending</v>
      </c>
      <c r="AN296" s="3" t="s">
        <v>125</v>
      </c>
      <c r="AO296" s="8" t="str">
        <f>PROPER(TRIM(SUBSTITUTE(AN296,".","")))</f>
        <v>Returned</v>
      </c>
      <c r="AP296" t="str">
        <f>IF(COUNTIF($A$2:$A$933, A296) &gt; 1, "Duplicate ID", "Unique")</f>
        <v>Unique</v>
      </c>
      <c r="AR296">
        <f t="shared" si="36"/>
        <v>13462.12</v>
      </c>
      <c r="AS296">
        <f t="shared" si="37"/>
        <v>5861.4900000000007</v>
      </c>
      <c r="AT296" s="15">
        <f t="shared" si="38"/>
        <v>0.43540616188237813</v>
      </c>
      <c r="AU296" t="str">
        <f t="shared" si="39"/>
        <v>Clean</v>
      </c>
      <c r="AV296" s="8" t="str">
        <f t="shared" si="40"/>
        <v>Active</v>
      </c>
    </row>
    <row r="297" spans="1:48">
      <c r="A297" s="3" t="s">
        <v>2045</v>
      </c>
      <c r="B297" s="3" t="s">
        <v>2046</v>
      </c>
      <c r="C297" s="9">
        <f>IFERROR(DATEVALUE(TEXT(B297,"DD/MM/YYYY")), IF(ISNUMBER(B297), B297, ""))</f>
        <v>45533</v>
      </c>
      <c r="D297" s="9" t="str">
        <f>IF(B297="","Missing", IF(AND(ISNUMBER(B297)=FALSE, C297=""),"Invalid - Could Not Parse", IF(AND(ISNUMBER(B297)=FALSE, C297&lt;&gt;""),"Text - Converted to Date", IF(ISNUMBER(B297),"Valid","Check"))))</f>
        <v>Text - Converted to Date</v>
      </c>
      <c r="E297" s="5">
        <f t="shared" si="33"/>
        <v>8</v>
      </c>
      <c r="F297" s="5">
        <f t="shared" si="34"/>
        <v>2024</v>
      </c>
      <c r="G297" s="3" t="s">
        <v>2047</v>
      </c>
      <c r="H297" s="9">
        <f>IFERROR(DATEVALUE(MID(G297,4,2) &amp; "/" &amp; LEFT(G297,2) &amp; "/" &amp; RIGHT(G297,4)), IF(ISNUMBER(G297), G297, IFERROR(DATEVALUE(G297), "")))</f>
        <v>45534</v>
      </c>
      <c r="I297" s="9" t="str">
        <f>IF(G297="","Missing", IF(AND(ISNUMBER(G297)=FALSE, H297=""),"Invalid - Could Not Parse", IF(AND(ISNUMBER(G297)=FALSE, H297&lt;&gt;""),"Text - Converted to Date", IF(ISNUMBER(G297),"Valid","Check"))))</f>
        <v>Text - Converted to Date</v>
      </c>
      <c r="J297" s="9" t="str">
        <f>IF(OR(C297="", H297=""), "Cannot Check - Date Missing", IF(H297&lt;C297, "Invalid - Ship Before Order", "Valid"))</f>
        <v>Valid</v>
      </c>
      <c r="K297" s="5">
        <f>IF(OR(C297="", H297=""), "", IF(H297&lt;C297, "", H297-C297))</f>
        <v>1</v>
      </c>
      <c r="L297" s="3" t="s">
        <v>2048</v>
      </c>
      <c r="M297" s="3" t="s">
        <v>61</v>
      </c>
      <c r="N297" s="4" t="str">
        <f>TRIM(SUBSTITUTE(M297,"_"," "))</f>
        <v>Arjun Bose</v>
      </c>
      <c r="O297" s="3" t="s">
        <v>115</v>
      </c>
      <c r="P297" s="6" t="str">
        <f>PROPER(TRIM(SUBSTITUTE(O297,".","")))</f>
        <v>Home Office</v>
      </c>
      <c r="Q297" s="3" t="s">
        <v>42</v>
      </c>
      <c r="R297" s="7" t="str">
        <f>PROPER(TRIM(SUBSTITUTE(Q297,"  "," ")))</f>
        <v>East</v>
      </c>
      <c r="S297" s="3" t="s">
        <v>216</v>
      </c>
      <c r="T297" s="6" t="str">
        <f>PROPER(TRIM(SUBSTITUTE(S297,"  "," ")))</f>
        <v>Assam</v>
      </c>
      <c r="U297" s="3" t="s">
        <v>217</v>
      </c>
      <c r="V297" s="6" t="str">
        <f>PROPER(TRIM(SUBSTITUTE(U297,"  "," ")))</f>
        <v>Guwahati</v>
      </c>
      <c r="W297" s="3" t="s">
        <v>30</v>
      </c>
      <c r="X297" s="6" t="str">
        <f>PROPER(TRIM(SUBSTITUTE(W297,"  "," ")))</f>
        <v>Office Supplies</v>
      </c>
      <c r="Y297" s="3" t="s">
        <v>156</v>
      </c>
      <c r="Z297" s="6" t="str">
        <f>PROPER(TRIM(SUBSTITUTE(Y297,"  "," ")))</f>
        <v>Storage</v>
      </c>
      <c r="AA297" s="3" t="s">
        <v>2049</v>
      </c>
      <c r="AB297" s="3" t="s">
        <v>56</v>
      </c>
      <c r="AC297" s="6" t="str">
        <f>PROPER(TRIM(SUBSTITUTE(AB297,"  "," ")))</f>
        <v>First Class</v>
      </c>
      <c r="AD297" s="3">
        <v>4</v>
      </c>
      <c r="AE297" s="3">
        <v>2484.08</v>
      </c>
      <c r="AF297" s="3">
        <v>0.05</v>
      </c>
      <c r="AG297" s="17">
        <v>0.05</v>
      </c>
      <c r="AH297" s="6" t="str">
        <f t="shared" si="35"/>
        <v>Valid</v>
      </c>
      <c r="AI297" s="3">
        <v>9439.5</v>
      </c>
      <c r="AJ297" s="3">
        <v>5519.39</v>
      </c>
      <c r="AK297" s="3">
        <v>3920.11</v>
      </c>
      <c r="AL297" s="3" t="s">
        <v>34</v>
      </c>
      <c r="AM297" s="6" t="str">
        <f>PROPER(TRIM(SUBSTITUTE(AL297,".","")))</f>
        <v>Paid</v>
      </c>
      <c r="AN297" s="3" t="s">
        <v>35</v>
      </c>
      <c r="AO297" s="8" t="str">
        <f>PROPER(TRIM(SUBSTITUTE(AN297,".","")))</f>
        <v>Completed</v>
      </c>
      <c r="AP297" t="str">
        <f>IF(COUNTIF($A$2:$A$933, A297) &gt; 1, "Duplicate ID", "Unique")</f>
        <v>Unique</v>
      </c>
      <c r="AR297">
        <f t="shared" si="36"/>
        <v>9439.503999999999</v>
      </c>
      <c r="AS297">
        <f t="shared" si="37"/>
        <v>3920.1139999999987</v>
      </c>
      <c r="AT297" s="15">
        <f t="shared" si="38"/>
        <v>0.41528813378330037</v>
      </c>
      <c r="AU297" t="str">
        <f t="shared" si="39"/>
        <v>Clean</v>
      </c>
      <c r="AV297" s="8" t="str">
        <f t="shared" si="40"/>
        <v>Active</v>
      </c>
    </row>
    <row r="298" spans="1:48">
      <c r="A298" s="3" t="s">
        <v>2419</v>
      </c>
      <c r="B298" s="3" t="s">
        <v>2420</v>
      </c>
      <c r="C298" s="9">
        <f>IFERROR(DATEVALUE(TEXT(B298,"DD/MM/YYYY")), IF(ISNUMBER(B298), B298, ""))</f>
        <v>45533</v>
      </c>
      <c r="D298" s="9" t="str">
        <f>IF(B298="","Missing", IF(AND(ISNUMBER(B298)=FALSE, C298=""),"Invalid - Could Not Parse", IF(AND(ISNUMBER(B298)=FALSE, C298&lt;&gt;""),"Text - Converted to Date", IF(ISNUMBER(B298),"Valid","Check"))))</f>
        <v>Text - Converted to Date</v>
      </c>
      <c r="E298" s="5">
        <f t="shared" si="33"/>
        <v>8</v>
      </c>
      <c r="F298" s="5">
        <f t="shared" si="34"/>
        <v>2024</v>
      </c>
      <c r="G298" s="3" t="s">
        <v>2420</v>
      </c>
      <c r="H298" s="9">
        <f>IFERROR(DATEVALUE(TEXT(G298,"DD/MM/YYYY")), IF(ISNUMBER(G298), G298, ""))</f>
        <v>45533</v>
      </c>
      <c r="I298" s="9" t="str">
        <f>IF(G298="","Missing", IF(AND(ISNUMBER(G298)=FALSE, H298=""),"Invalid - Could Not Parse", IF(AND(ISNUMBER(G298)=FALSE, H298&lt;&gt;""),"Text - Converted to Date", IF(ISNUMBER(G298),"Valid","Check"))))</f>
        <v>Text - Converted to Date</v>
      </c>
      <c r="J298" s="9" t="str">
        <f>IF(OR(C298="", H298=""), "Cannot Check - Date Missing", IF(H298&lt;C298, "Invalid - Ship Before Order", "Valid"))</f>
        <v>Valid</v>
      </c>
      <c r="K298" s="5">
        <f>IF(OR(C298="", H298=""), "", IF(H298&lt;C298, "", H298-C298))</f>
        <v>0</v>
      </c>
      <c r="L298" s="3" t="s">
        <v>2421</v>
      </c>
      <c r="M298" s="3" t="s">
        <v>168</v>
      </c>
      <c r="N298" s="4" t="str">
        <f>TRIM(SUBSTITUTE(M298,"_"," "))</f>
        <v>Sneha Kapoor</v>
      </c>
      <c r="O298" s="3" t="s">
        <v>41</v>
      </c>
      <c r="P298" s="6" t="str">
        <f>PROPER(TRIM(SUBSTITUTE(O298,".","")))</f>
        <v>Small Business</v>
      </c>
      <c r="Q298" s="3" t="s">
        <v>712</v>
      </c>
      <c r="R298" s="7" t="str">
        <f>PROPER(TRIM(SUBSTITUTE(Q298,"  "," ")))</f>
        <v>North</v>
      </c>
      <c r="S298" s="3" t="s">
        <v>174</v>
      </c>
      <c r="T298" s="6" t="str">
        <f>PROPER(TRIM(SUBSTITUTE(S298,"  "," ")))</f>
        <v>Uttar Pradesh</v>
      </c>
      <c r="U298" s="3" t="s">
        <v>175</v>
      </c>
      <c r="V298" s="6" t="str">
        <f>PROPER(TRIM(SUBSTITUTE(U298,"  "," ")))</f>
        <v>Noida</v>
      </c>
      <c r="W298" s="3" t="s">
        <v>86</v>
      </c>
      <c r="X298" s="6" t="str">
        <f>PROPER(TRIM(SUBSTITUTE(W298,"  "," ")))</f>
        <v>Technology</v>
      </c>
      <c r="Y298" s="3" t="s">
        <v>87</v>
      </c>
      <c r="Z298" s="6" t="str">
        <f>PROPER(TRIM(SUBSTITUTE(Y298,"  "," ")))</f>
        <v>Accessories</v>
      </c>
      <c r="AA298" s="3" t="s">
        <v>2422</v>
      </c>
      <c r="AB298" s="3" t="s">
        <v>33</v>
      </c>
      <c r="AC298" s="6" t="str">
        <f>PROPER(TRIM(SUBSTITUTE(AB298,"  "," ")))</f>
        <v>Second Class</v>
      </c>
      <c r="AD298" s="3">
        <v>1</v>
      </c>
      <c r="AE298" s="3">
        <v>3106.88</v>
      </c>
      <c r="AF298" s="3">
        <v>0.2</v>
      </c>
      <c r="AG298" s="17">
        <v>0.2</v>
      </c>
      <c r="AH298" s="6" t="str">
        <f t="shared" si="35"/>
        <v>Valid</v>
      </c>
      <c r="AI298" s="3">
        <v>2485.5</v>
      </c>
      <c r="AJ298" s="3">
        <v>2028.43</v>
      </c>
      <c r="AK298" s="3">
        <v>457.07</v>
      </c>
      <c r="AL298" s="3" t="s">
        <v>34</v>
      </c>
      <c r="AM298" s="6" t="str">
        <f>PROPER(TRIM(SUBSTITUTE(AL298,".","")))</f>
        <v>Paid</v>
      </c>
      <c r="AN298" s="3" t="s">
        <v>78</v>
      </c>
      <c r="AO298" s="8" t="str">
        <f>PROPER(TRIM(SUBSTITUTE(AN298,".","")))</f>
        <v>Cancelled</v>
      </c>
      <c r="AP298" t="str">
        <f>IF(COUNTIF($A$2:$A$933, A298) &gt; 1, "Duplicate ID", "Unique")</f>
        <v>Unique</v>
      </c>
      <c r="AR298">
        <f t="shared" si="36"/>
        <v>2485.5040000000004</v>
      </c>
      <c r="AS298">
        <f t="shared" si="37"/>
        <v>457.0740000000003</v>
      </c>
      <c r="AT298" s="15">
        <f t="shared" si="38"/>
        <v>0.18389590199814615</v>
      </c>
      <c r="AU298" t="str">
        <f t="shared" si="39"/>
        <v>Clean</v>
      </c>
      <c r="AV298" s="8" t="str">
        <f t="shared" si="40"/>
        <v>Cancelled</v>
      </c>
    </row>
    <row r="299" spans="1:48">
      <c r="A299" s="3" t="s">
        <v>2123</v>
      </c>
      <c r="B299" s="3" t="s">
        <v>2124</v>
      </c>
      <c r="C299" s="9">
        <f>IFERROR(DATEVALUE(TEXT(B299,"DD/MM/YYYY")), IF(ISNUMBER(B299), B299, ""))</f>
        <v>45534</v>
      </c>
      <c r="D299" s="9" t="str">
        <f>IF(B299="","Missing", IF(AND(ISNUMBER(B299)=FALSE, C299=""),"Invalid - Could Not Parse", IF(AND(ISNUMBER(B299)=FALSE, C299&lt;&gt;""),"Text - Converted to Date", IF(ISNUMBER(B299),"Valid","Check"))))</f>
        <v>Text - Converted to Date</v>
      </c>
      <c r="E299" s="5">
        <f t="shared" si="33"/>
        <v>8</v>
      </c>
      <c r="F299" s="5">
        <f t="shared" si="34"/>
        <v>2024</v>
      </c>
      <c r="G299" s="3" t="s">
        <v>2125</v>
      </c>
      <c r="H299" s="9">
        <f>IFERROR(DATEVALUE(TEXT(G299,"DD/MM/YYYY")), IF(ISNUMBER(G299), G299, ""))</f>
        <v>45537</v>
      </c>
      <c r="I299" s="9" t="str">
        <f>IF(G299="","Missing", IF(AND(ISNUMBER(G299)=FALSE, H299=""),"Invalid - Could Not Parse", IF(AND(ISNUMBER(G299)=FALSE, H299&lt;&gt;""),"Text - Converted to Date", IF(ISNUMBER(G299),"Valid","Check"))))</f>
        <v>Text - Converted to Date</v>
      </c>
      <c r="J299" s="9" t="str">
        <f>IF(OR(C299="", H299=""), "Cannot Check - Date Missing", IF(H299&lt;C299, "Invalid - Ship Before Order", "Valid"))</f>
        <v>Valid</v>
      </c>
      <c r="K299" s="5">
        <f>IF(OR(C299="", H299=""), "", IF(H299&lt;C299, "", H299-C299))</f>
        <v>3</v>
      </c>
      <c r="L299" s="3" t="s">
        <v>2126</v>
      </c>
      <c r="M299" s="3" t="s">
        <v>93</v>
      </c>
      <c r="N299" s="4" t="str">
        <f>TRIM(SUBSTITUTE(M299,"_"," "))</f>
        <v>Neha Gupta</v>
      </c>
      <c r="O299" s="3" t="s">
        <v>41</v>
      </c>
      <c r="P299" s="6" t="str">
        <f>PROPER(TRIM(SUBSTITUTE(O299,".","")))</f>
        <v>Small Business</v>
      </c>
      <c r="Q299" s="3" t="s">
        <v>27</v>
      </c>
      <c r="R299" s="7" t="str">
        <f>PROPER(TRIM(SUBSTITUTE(Q299,"  "," ")))</f>
        <v>North</v>
      </c>
      <c r="S299" s="3" t="s">
        <v>323</v>
      </c>
      <c r="T299" s="6" t="str">
        <f>PROPER(TRIM(SUBSTITUTE(S299,"  "," ")))</f>
        <v>Haryana</v>
      </c>
      <c r="U299" s="3" t="s">
        <v>324</v>
      </c>
      <c r="V299" s="6" t="str">
        <f>PROPER(TRIM(SUBSTITUTE(U299,"  "," ")))</f>
        <v>Gurugram</v>
      </c>
      <c r="W299" s="3" t="s">
        <v>30</v>
      </c>
      <c r="X299" s="6" t="str">
        <f>PROPER(TRIM(SUBSTITUTE(W299,"  "," ")))</f>
        <v>Office Supplies</v>
      </c>
      <c r="Y299" s="3" t="s">
        <v>31</v>
      </c>
      <c r="Z299" s="6" t="str">
        <f>PROPER(TRIM(SUBSTITUTE(Y299,"  "," ")))</f>
        <v>Paper</v>
      </c>
      <c r="AA299" s="3" t="s">
        <v>2127</v>
      </c>
      <c r="AB299" s="3" t="s">
        <v>33</v>
      </c>
      <c r="AC299" s="6" t="str">
        <f>PROPER(TRIM(SUBSTITUTE(AB299,"  "," ")))</f>
        <v>Second Class</v>
      </c>
      <c r="AD299" s="3">
        <v>1</v>
      </c>
      <c r="AE299" s="3">
        <v>4320.84</v>
      </c>
      <c r="AF299" s="3">
        <v>0.15</v>
      </c>
      <c r="AG299" s="17">
        <v>0.15</v>
      </c>
      <c r="AH299" s="6" t="str">
        <f t="shared" si="35"/>
        <v>Valid</v>
      </c>
      <c r="AI299" s="3">
        <v>3672.71</v>
      </c>
      <c r="AJ299" s="3">
        <v>2714.23</v>
      </c>
      <c r="AK299" s="3">
        <v>763.38</v>
      </c>
      <c r="AL299" s="3" t="s">
        <v>34</v>
      </c>
      <c r="AM299" s="6" t="str">
        <f>PROPER(TRIM(SUBSTITUTE(AL299,".","")))</f>
        <v>Paid</v>
      </c>
      <c r="AN299" s="3" t="s">
        <v>35</v>
      </c>
      <c r="AO299" s="8" t="str">
        <f>PROPER(TRIM(SUBSTITUTE(AN299,".","")))</f>
        <v>Completed</v>
      </c>
      <c r="AP299" t="str">
        <f>IF(COUNTIF($A$2:$A$933, A299) &gt; 1, "Duplicate ID", "Unique")</f>
        <v>Unique</v>
      </c>
      <c r="AR299">
        <f t="shared" si="36"/>
        <v>3672.7139999999999</v>
      </c>
      <c r="AS299">
        <f t="shared" si="37"/>
        <v>958.48399999999992</v>
      </c>
      <c r="AT299" s="15">
        <f t="shared" si="38"/>
        <v>0.26097430946161337</v>
      </c>
      <c r="AU299" t="str">
        <f t="shared" si="39"/>
        <v>Clean</v>
      </c>
      <c r="AV299" s="8" t="str">
        <f t="shared" si="40"/>
        <v>Active</v>
      </c>
    </row>
    <row r="300" spans="1:48">
      <c r="A300" s="3" t="s">
        <v>36</v>
      </c>
      <c r="B300" s="3" t="s">
        <v>37</v>
      </c>
      <c r="C300" s="9">
        <v>45535</v>
      </c>
      <c r="D300" s="9" t="str">
        <f>IF(B300="","Missing", IF(AND(ISNUMBER(B300)=FALSE, C300=""),"Invalid - Could Not Parse", IF(AND(ISNUMBER(B300)=FALSE, C300&lt;&gt;""),"Text - Converted to Date", IF(ISNUMBER(B300),"Valid","Check"))))</f>
        <v>Text - Converted to Date</v>
      </c>
      <c r="E300" s="5">
        <f t="shared" si="33"/>
        <v>8</v>
      </c>
      <c r="F300" s="5">
        <f t="shared" si="34"/>
        <v>2024</v>
      </c>
      <c r="G300" s="3" t="s">
        <v>38</v>
      </c>
      <c r="H300" s="9">
        <f>IFERROR(DATEVALUE(TEXT(G300,"DD/MM/YYYY")), IF(ISNUMBER(G300), G300, ""))</f>
        <v>45540</v>
      </c>
      <c r="I300" s="9" t="str">
        <f>IF(G300="","Missing", IF(AND(ISNUMBER(G300)=FALSE, H300=""),"Invalid - Could Not Parse", IF(AND(ISNUMBER(G300)=FALSE, H300&lt;&gt;""),"Text - Converted to Date", IF(ISNUMBER(G300),"Valid","Check"))))</f>
        <v>Text - Converted to Date</v>
      </c>
      <c r="J300" s="9" t="str">
        <f>IF(OR(C300="", H300=""), "Cannot Check - Date Missing", IF(H300&lt;C300, "Invalid - Ship Before Order", "Valid"))</f>
        <v>Valid</v>
      </c>
      <c r="K300" s="5">
        <f>IF(OR(C300="", H300=""), "", IF(H300&lt;C300, "", H300-C300))</f>
        <v>5</v>
      </c>
      <c r="L300" s="3" t="s">
        <v>39</v>
      </c>
      <c r="M300" s="3" t="s">
        <v>40</v>
      </c>
      <c r="N300" s="4" t="str">
        <f>TRIM(SUBSTITUTE(M300,"_"," "))</f>
        <v>Mira Das</v>
      </c>
      <c r="O300" s="3" t="s">
        <v>41</v>
      </c>
      <c r="P300" s="6" t="str">
        <f>PROPER(TRIM(SUBSTITUTE(O300,".","")))</f>
        <v>Small Business</v>
      </c>
      <c r="Q300" s="3" t="s">
        <v>42</v>
      </c>
      <c r="R300" s="7" t="str">
        <f>PROPER(TRIM(SUBSTITUTE(Q300,"  "," ")))</f>
        <v>East</v>
      </c>
      <c r="S300" s="3" t="s">
        <v>43</v>
      </c>
      <c r="T300" s="6" t="str">
        <f>PROPER(TRIM(SUBSTITUTE(S300,"  "," ")))</f>
        <v>Odisha</v>
      </c>
      <c r="U300" s="3" t="s">
        <v>44</v>
      </c>
      <c r="V300" s="6" t="str">
        <f>PROPER(TRIM(SUBSTITUTE(U300,"  "," ")))</f>
        <v>Bhubaneswar</v>
      </c>
      <c r="W300" s="3" t="s">
        <v>45</v>
      </c>
      <c r="X300" s="6" t="str">
        <f>PROPER(TRIM(SUBSTITUTE(W300,"  "," ")))</f>
        <v>Furniture</v>
      </c>
      <c r="Y300" s="3" t="s">
        <v>46</v>
      </c>
      <c r="Z300" s="6" t="str">
        <f>PROPER(TRIM(SUBSTITUTE(Y300,"  "," ")))</f>
        <v>Tables</v>
      </c>
      <c r="AA300" s="3" t="s">
        <v>47</v>
      </c>
      <c r="AB300" s="3" t="s">
        <v>48</v>
      </c>
      <c r="AC300" s="6" t="str">
        <f>PROPER(TRIM(SUBSTITUTE(AB300,"  "," ")))</f>
        <v>Same Day</v>
      </c>
      <c r="AD300" s="3">
        <v>3</v>
      </c>
      <c r="AE300" s="3">
        <v>2437.5</v>
      </c>
      <c r="AF300" s="3">
        <v>0</v>
      </c>
      <c r="AG300" s="17">
        <v>0</v>
      </c>
      <c r="AH300" s="6" t="str">
        <f t="shared" si="35"/>
        <v>Valid</v>
      </c>
      <c r="AI300" s="3">
        <v>7312.5</v>
      </c>
      <c r="AJ300" s="3">
        <v>4904.7299999999996</v>
      </c>
      <c r="AK300" s="3">
        <v>2407.77</v>
      </c>
      <c r="AL300" s="3" t="s">
        <v>34</v>
      </c>
      <c r="AM300" s="6" t="str">
        <f>PROPER(TRIM(SUBSTITUTE(AL300,".","")))</f>
        <v>Paid</v>
      </c>
      <c r="AN300" s="3" t="s">
        <v>35</v>
      </c>
      <c r="AO300" s="8" t="str">
        <f>PROPER(TRIM(SUBSTITUTE(AN300,".","")))</f>
        <v>Completed</v>
      </c>
      <c r="AP300" t="str">
        <f>IF(COUNTIF($A$2:$A$933, A300) &gt; 1, "Duplicate ID", "Unique")</f>
        <v>Unique</v>
      </c>
      <c r="AR300">
        <f t="shared" si="36"/>
        <v>7312.5</v>
      </c>
      <c r="AS300">
        <f t="shared" si="37"/>
        <v>2407.7700000000004</v>
      </c>
      <c r="AT300" s="15">
        <f t="shared" si="38"/>
        <v>0.32926769230769237</v>
      </c>
      <c r="AU300" t="str">
        <f t="shared" si="39"/>
        <v>Clean</v>
      </c>
      <c r="AV300" s="8" t="str">
        <f t="shared" si="40"/>
        <v>Active</v>
      </c>
    </row>
    <row r="301" spans="1:48">
      <c r="A301" s="3" t="s">
        <v>394</v>
      </c>
      <c r="B301" s="3" t="s">
        <v>395</v>
      </c>
      <c r="C301" s="9">
        <f>IFERROR(DATEVALUE(TEXT(B301,"DD/MM/YYYY")), IF(ISNUMBER(B301), B301, ""))</f>
        <v>45536</v>
      </c>
      <c r="D301" s="9" t="str">
        <f>IF(B301="","Missing", IF(AND(ISNUMBER(B301)=FALSE, C301=""),"Invalid - Could Not Parse", IF(AND(ISNUMBER(B301)=FALSE, C301&lt;&gt;""),"Text - Converted to Date", IF(ISNUMBER(B301),"Valid","Check"))))</f>
        <v>Text - Converted to Date</v>
      </c>
      <c r="E301" s="5">
        <f t="shared" si="33"/>
        <v>9</v>
      </c>
      <c r="F301" s="5">
        <f t="shared" si="34"/>
        <v>2024</v>
      </c>
      <c r="G301" s="3" t="s">
        <v>396</v>
      </c>
      <c r="H301" s="9">
        <f>IFERROR(DATEVALUE(TEXT(G301,"DD/MM/YYYY")), IF(ISNUMBER(G301), G301, ""))</f>
        <v>45542</v>
      </c>
      <c r="I301" s="9" t="str">
        <f>IF(G301="","Missing", IF(AND(ISNUMBER(G301)=FALSE, H301=""),"Invalid - Could Not Parse", IF(AND(ISNUMBER(G301)=FALSE, H301&lt;&gt;""),"Text - Converted to Date", IF(ISNUMBER(G301),"Valid","Check"))))</f>
        <v>Text - Converted to Date</v>
      </c>
      <c r="J301" s="9" t="str">
        <f>IF(OR(C301="", H301=""), "Cannot Check - Date Missing", IF(H301&lt;C301, "Invalid - Ship Before Order", "Valid"))</f>
        <v>Valid</v>
      </c>
      <c r="K301" s="5">
        <f>IF(OR(C301="", H301=""), "", IF(H301&lt;C301, "", H301-C301))</f>
        <v>6</v>
      </c>
      <c r="L301" s="3" t="s">
        <v>397</v>
      </c>
      <c r="M301" s="3" t="s">
        <v>53</v>
      </c>
      <c r="N301" s="4" t="str">
        <f>TRIM(SUBSTITUTE(M301,"_"," "))</f>
        <v>Isha Nair</v>
      </c>
      <c r="O301" s="3" t="s">
        <v>115</v>
      </c>
      <c r="P301" s="6" t="str">
        <f>PROPER(TRIM(SUBSTITUTE(O301,".","")))</f>
        <v>Home Office</v>
      </c>
      <c r="Q301" s="3" t="s">
        <v>27</v>
      </c>
      <c r="R301" s="7" t="str">
        <f>PROPER(TRIM(SUBSTITUTE(Q301,"  "," ")))</f>
        <v>North</v>
      </c>
      <c r="S301" s="3" t="s">
        <v>28</v>
      </c>
      <c r="T301" s="6" t="str">
        <f>PROPER(TRIM(SUBSTITUTE(S301,"  "," ")))</f>
        <v>Rajasthan</v>
      </c>
      <c r="U301" s="3" t="s">
        <v>29</v>
      </c>
      <c r="V301" s="6" t="str">
        <f>PROPER(TRIM(SUBSTITUTE(U301,"  "," ")))</f>
        <v>Jaipur</v>
      </c>
      <c r="W301" s="3" t="s">
        <v>30</v>
      </c>
      <c r="X301" s="6" t="str">
        <f>PROPER(TRIM(SUBSTITUTE(W301,"  "," ")))</f>
        <v>Office Supplies</v>
      </c>
      <c r="Y301" s="3" t="s">
        <v>156</v>
      </c>
      <c r="Z301" s="6" t="str">
        <f>PROPER(TRIM(SUBSTITUTE(Y301,"  "," ")))</f>
        <v>Storage</v>
      </c>
      <c r="AA301" s="3" t="s">
        <v>398</v>
      </c>
      <c r="AB301" s="3"/>
      <c r="AC301" s="11" t="str">
        <f>IF(ISBLANK(AB301), "Unknown", AB301)</f>
        <v>Unknown</v>
      </c>
      <c r="AD301" s="3">
        <v>9</v>
      </c>
      <c r="AE301" s="3">
        <v>1389.48</v>
      </c>
      <c r="AF301" s="3">
        <v>0.1</v>
      </c>
      <c r="AG301" s="17">
        <v>0.1</v>
      </c>
      <c r="AH301" s="6" t="str">
        <f t="shared" si="35"/>
        <v>Valid</v>
      </c>
      <c r="AI301" s="3">
        <v>11254.79</v>
      </c>
      <c r="AJ301" s="3">
        <v>6578.06</v>
      </c>
      <c r="AK301" s="3">
        <v>4676.7299999999996</v>
      </c>
      <c r="AL301" s="3" t="s">
        <v>137</v>
      </c>
      <c r="AM301" s="6" t="str">
        <f>PROPER(TRIM(SUBSTITUTE(AL301,".","")))</f>
        <v>Pending</v>
      </c>
      <c r="AN301" s="3" t="s">
        <v>125</v>
      </c>
      <c r="AO301" s="8" t="str">
        <f>PROPER(TRIM(SUBSTITUTE(AN301,".","")))</f>
        <v>Returned</v>
      </c>
      <c r="AP301" t="str">
        <f>IF(COUNTIF($A$2:$A$933, A301) &gt; 1, "Duplicate ID", "Unique")</f>
        <v>Unique</v>
      </c>
      <c r="AR301">
        <f t="shared" si="36"/>
        <v>11254.788</v>
      </c>
      <c r="AS301">
        <f t="shared" si="37"/>
        <v>4676.7280000000001</v>
      </c>
      <c r="AT301" s="15">
        <f t="shared" si="38"/>
        <v>0.41553230500654476</v>
      </c>
      <c r="AU301" t="str">
        <f t="shared" si="39"/>
        <v>Clean</v>
      </c>
      <c r="AV301" s="8" t="str">
        <f t="shared" si="40"/>
        <v>Active</v>
      </c>
    </row>
    <row r="302" spans="1:48">
      <c r="A302" s="3" t="s">
        <v>1194</v>
      </c>
      <c r="B302" s="3" t="s">
        <v>1195</v>
      </c>
      <c r="C302" s="9">
        <f>IFERROR(DATEVALUE(TEXT(B302,"DD/MM/YYYY")), IF(ISNUMBER(B302), B302, ""))</f>
        <v>45537</v>
      </c>
      <c r="D302" s="9" t="str">
        <f>IF(B302="","Missing", IF(AND(ISNUMBER(B302)=FALSE, C302=""),"Invalid - Could Not Parse", IF(AND(ISNUMBER(B302)=FALSE, C302&lt;&gt;""),"Text - Converted to Date", IF(ISNUMBER(B302),"Valid","Check"))))</f>
        <v>Text - Converted to Date</v>
      </c>
      <c r="E302" s="5">
        <f t="shared" si="33"/>
        <v>9</v>
      </c>
      <c r="F302" s="5">
        <f t="shared" si="34"/>
        <v>2024</v>
      </c>
      <c r="G302" s="3" t="s">
        <v>1196</v>
      </c>
      <c r="H302" s="9">
        <f>IFERROR(DATEVALUE(TEXT(G302,"DD/MM/YYYY")), IF(ISNUMBER(G302), G302, ""))</f>
        <v>45545</v>
      </c>
      <c r="I302" s="9" t="str">
        <f>IF(G302="","Missing", IF(AND(ISNUMBER(G302)=FALSE, H302=""),"Invalid - Could Not Parse", IF(AND(ISNUMBER(G302)=FALSE, H302&lt;&gt;""),"Text - Converted to Date", IF(ISNUMBER(G302),"Valid","Check"))))</f>
        <v>Text - Converted to Date</v>
      </c>
      <c r="J302" s="9" t="str">
        <f>IF(OR(C302="", H302=""), "Cannot Check - Date Missing", IF(H302&lt;C302, "Invalid - Ship Before Order", "Valid"))</f>
        <v>Valid</v>
      </c>
      <c r="K302" s="5">
        <f>IF(OR(C302="", H302=""), "", IF(H302&lt;C302, "", H302-C302))</f>
        <v>8</v>
      </c>
      <c r="L302" s="3" t="s">
        <v>1197</v>
      </c>
      <c r="M302" s="3" t="s">
        <v>40</v>
      </c>
      <c r="N302" s="4" t="str">
        <f>TRIM(SUBSTITUTE(M302,"_"," "))</f>
        <v>Mira Das</v>
      </c>
      <c r="O302" s="3" t="s">
        <v>108</v>
      </c>
      <c r="P302" s="6" t="str">
        <f>PROPER(TRIM(SUBSTITUTE(O302,".","")))</f>
        <v>Corporate</v>
      </c>
      <c r="Q302" s="3" t="s">
        <v>73</v>
      </c>
      <c r="R302" s="7" t="str">
        <f>PROPER(TRIM(SUBSTITUTE(Q302,"  "," ")))</f>
        <v>West</v>
      </c>
      <c r="S302" s="3" t="s">
        <v>249</v>
      </c>
      <c r="T302" s="6" t="str">
        <f>PROPER(TRIM(SUBSTITUTE(S302,"  "," ")))</f>
        <v>Goa</v>
      </c>
      <c r="U302" s="3" t="s">
        <v>250</v>
      </c>
      <c r="V302" s="6" t="str">
        <f>PROPER(TRIM(SUBSTITUTE(U302,"  "," ")))</f>
        <v>Panaji</v>
      </c>
      <c r="W302" s="3" t="s">
        <v>86</v>
      </c>
      <c r="X302" s="6" t="str">
        <f>PROPER(TRIM(SUBSTITUTE(W302,"  "," ")))</f>
        <v>Technology</v>
      </c>
      <c r="Y302" s="3" t="s">
        <v>223</v>
      </c>
      <c r="Z302" s="6" t="str">
        <f>PROPER(TRIM(SUBSTITUTE(Y302,"  "," ")))</f>
        <v>Phones</v>
      </c>
      <c r="AA302" s="3" t="s">
        <v>1198</v>
      </c>
      <c r="AB302" s="3" t="s">
        <v>67</v>
      </c>
      <c r="AC302" s="6" t="str">
        <f>PROPER(TRIM(SUBSTITUTE(AB302,"  "," ")))</f>
        <v>Standard Class</v>
      </c>
      <c r="AD302" s="3">
        <v>6</v>
      </c>
      <c r="AE302" s="3">
        <v>1032.47</v>
      </c>
      <c r="AF302" s="3">
        <v>0.15</v>
      </c>
      <c r="AG302" s="17">
        <v>0.15</v>
      </c>
      <c r="AH302" s="6" t="str">
        <f t="shared" si="35"/>
        <v>Valid</v>
      </c>
      <c r="AI302" s="3">
        <v>5265.6</v>
      </c>
      <c r="AJ302" s="3">
        <v>4293.1099999999997</v>
      </c>
      <c r="AK302" s="3">
        <v>787.57</v>
      </c>
      <c r="AL302" s="3" t="s">
        <v>34</v>
      </c>
      <c r="AM302" s="6" t="str">
        <f>PROPER(TRIM(SUBSTITUTE(AL302,".","")))</f>
        <v>Paid</v>
      </c>
      <c r="AN302" s="3" t="s">
        <v>35</v>
      </c>
      <c r="AO302" s="8" t="str">
        <f>PROPER(TRIM(SUBSTITUTE(AN302,".","")))</f>
        <v>Completed</v>
      </c>
      <c r="AP302" t="str">
        <f>IF(COUNTIF($A$2:$A$933, A302) &gt; 1, "Duplicate ID", "Unique")</f>
        <v>Unique</v>
      </c>
      <c r="AR302">
        <f t="shared" si="36"/>
        <v>5265.5969999999998</v>
      </c>
      <c r="AS302">
        <f t="shared" si="37"/>
        <v>972.48700000000008</v>
      </c>
      <c r="AT302" s="15">
        <f t="shared" si="38"/>
        <v>0.18468694053114967</v>
      </c>
      <c r="AU302" t="str">
        <f t="shared" si="39"/>
        <v>Warning</v>
      </c>
      <c r="AV302" s="8" t="str">
        <f t="shared" si="40"/>
        <v>Active</v>
      </c>
    </row>
    <row r="303" spans="1:48">
      <c r="A303" s="3" t="s">
        <v>1438</v>
      </c>
      <c r="B303" s="3" t="s">
        <v>1439</v>
      </c>
      <c r="C303" s="9">
        <f>IFERROR(DATEVALUE(TEXT(B303,"DD/MM/YYYY")), IF(ISNUMBER(B303), B303, ""))</f>
        <v>45539</v>
      </c>
      <c r="D303" s="9" t="str">
        <f>IF(B303="","Missing", IF(AND(ISNUMBER(B303)=FALSE, C303=""),"Invalid - Could Not Parse", IF(AND(ISNUMBER(B303)=FALSE, C303&lt;&gt;""),"Text - Converted to Date", IF(ISNUMBER(B303),"Valid","Check"))))</f>
        <v>Text - Converted to Date</v>
      </c>
      <c r="E303" s="5">
        <f t="shared" si="33"/>
        <v>9</v>
      </c>
      <c r="F303" s="5">
        <f t="shared" si="34"/>
        <v>2024</v>
      </c>
      <c r="G303" s="3" t="s">
        <v>1440</v>
      </c>
      <c r="H303" s="9">
        <f>IFERROR(DATEVALUE(TEXT(G303,"DD/MM/YYYY")), IF(ISNUMBER(G303), G303, ""))</f>
        <v>45392</v>
      </c>
      <c r="I303" s="9" t="str">
        <f>IF(G303="","Missing", IF(AND(ISNUMBER(G303)=FALSE, H303=""),"Invalid - Could Not Parse", IF(AND(ISNUMBER(G303)=FALSE, H303&lt;&gt;""),"Text - Converted to Date", IF(ISNUMBER(G303),"Valid","Check"))))</f>
        <v>Text - Converted to Date</v>
      </c>
      <c r="J303" s="9" t="str">
        <f>IF(OR(C303="", H303=""), "Cannot Check - Date Missing", IF(H303&lt;C303, "Invalid - Ship Before Order", "Valid"))</f>
        <v>Invalid - Ship Before Order</v>
      </c>
      <c r="K303" s="5" t="str">
        <f>IF(OR(C303="", H303=""), "", IF(H303&lt;C303, "", H303-C303))</f>
        <v/>
      </c>
      <c r="L303" s="3" t="s">
        <v>1441</v>
      </c>
      <c r="M303" s="3" t="s">
        <v>180</v>
      </c>
      <c r="N303" s="4" t="str">
        <f>TRIM(SUBSTITUTE(M303,"_"," "))</f>
        <v>Rohan Mehta</v>
      </c>
      <c r="O303" s="3" t="s">
        <v>41</v>
      </c>
      <c r="P303" s="6" t="str">
        <f>PROPER(TRIM(SUBSTITUTE(O303,".","")))</f>
        <v>Small Business</v>
      </c>
      <c r="Q303" s="3" t="s">
        <v>73</v>
      </c>
      <c r="R303" s="7" t="str">
        <f>PROPER(TRIM(SUBSTITUTE(Q303,"  "," ")))</f>
        <v>West</v>
      </c>
      <c r="S303" s="3" t="s">
        <v>74</v>
      </c>
      <c r="T303" s="6" t="str">
        <f>PROPER(TRIM(SUBSTITUTE(S303,"  "," ")))</f>
        <v>Maharashtra</v>
      </c>
      <c r="U303" s="3" t="s">
        <v>75</v>
      </c>
      <c r="V303" s="6" t="str">
        <f>PROPER(TRIM(SUBSTITUTE(U303,"  "," ")))</f>
        <v>Mumbai</v>
      </c>
      <c r="W303" s="3" t="s">
        <v>30</v>
      </c>
      <c r="X303" s="6" t="str">
        <f>PROPER(TRIM(SUBSTITUTE(W303,"  "," ")))</f>
        <v>Office Supplies</v>
      </c>
      <c r="Y303" s="3" t="s">
        <v>156</v>
      </c>
      <c r="Z303" s="6" t="str">
        <f>PROPER(TRIM(SUBSTITUTE(Y303,"  "," ")))</f>
        <v>Storage</v>
      </c>
      <c r="AA303" s="3" t="s">
        <v>1442</v>
      </c>
      <c r="AB303" s="3" t="s">
        <v>56</v>
      </c>
      <c r="AC303" s="6" t="str">
        <f>PROPER(TRIM(SUBSTITUTE(AB303,"  "," ")))</f>
        <v>First Class</v>
      </c>
      <c r="AD303" s="3">
        <v>1</v>
      </c>
      <c r="AE303" s="3">
        <v>4359.12</v>
      </c>
      <c r="AF303" s="3">
        <v>0.05</v>
      </c>
      <c r="AG303" s="17">
        <v>0.05</v>
      </c>
      <c r="AH303" s="6" t="str">
        <f t="shared" si="35"/>
        <v>Valid</v>
      </c>
      <c r="AI303" s="3">
        <v>4141.16</v>
      </c>
      <c r="AJ303" s="3">
        <v>2754.17</v>
      </c>
      <c r="AK303" s="3">
        <v>1386.99</v>
      </c>
      <c r="AL303" s="3" t="s">
        <v>34</v>
      </c>
      <c r="AM303" s="6" t="str">
        <f>PROPER(TRIM(SUBSTITUTE(AL303,".","")))</f>
        <v>Paid</v>
      </c>
      <c r="AN303" s="3" t="s">
        <v>35</v>
      </c>
      <c r="AO303" s="8" t="str">
        <f>PROPER(TRIM(SUBSTITUTE(AN303,".","")))</f>
        <v>Completed</v>
      </c>
      <c r="AP303" t="str">
        <f>IF(COUNTIF($A$2:$A$933, A303) &gt; 1, "Duplicate ID", "Unique")</f>
        <v>Unique</v>
      </c>
      <c r="AR303">
        <f t="shared" si="36"/>
        <v>4141.1639999999998</v>
      </c>
      <c r="AS303">
        <f t="shared" si="37"/>
        <v>1386.9939999999997</v>
      </c>
      <c r="AT303" s="15">
        <f t="shared" si="38"/>
        <v>0.33492853700070796</v>
      </c>
      <c r="AU303" t="str">
        <f t="shared" si="39"/>
        <v>Invalid</v>
      </c>
      <c r="AV303" s="8" t="str">
        <f t="shared" si="40"/>
        <v>Active</v>
      </c>
    </row>
    <row r="304" spans="1:48">
      <c r="A304" s="3" t="s">
        <v>3166</v>
      </c>
      <c r="B304" s="3" t="s">
        <v>3167</v>
      </c>
      <c r="C304" s="9">
        <f>IFERROR(DATEVALUE(TEXT(B304,"DD/MM/YYYY")), IF(ISNUMBER(B304), B304, ""))</f>
        <v>45539</v>
      </c>
      <c r="D304" s="9" t="str">
        <f>IF(B304="","Missing", IF(AND(ISNUMBER(B304)=FALSE, C304=""),"Invalid - Could Not Parse", IF(AND(ISNUMBER(B304)=FALSE, C304&lt;&gt;""),"Text - Converted to Date", IF(ISNUMBER(B304),"Valid","Check"))))</f>
        <v>Text - Converted to Date</v>
      </c>
      <c r="E304" s="5">
        <f t="shared" si="33"/>
        <v>9</v>
      </c>
      <c r="F304" s="5">
        <f t="shared" si="34"/>
        <v>2024</v>
      </c>
      <c r="G304" s="3" t="s">
        <v>3168</v>
      </c>
      <c r="H304" s="9">
        <f>IFERROR(DATEVALUE(TEXT(G304,"DD/MM/YYYY")), IF(ISNUMBER(G304), G304, ""))</f>
        <v>45540</v>
      </c>
      <c r="I304" s="9" t="str">
        <f>IF(G304="","Missing", IF(AND(ISNUMBER(G304)=FALSE, H304=""),"Invalid - Could Not Parse", IF(AND(ISNUMBER(G304)=FALSE, H304&lt;&gt;""),"Text - Converted to Date", IF(ISNUMBER(G304),"Valid","Check"))))</f>
        <v>Text - Converted to Date</v>
      </c>
      <c r="J304" s="9" t="str">
        <f>IF(OR(C304="", H304=""), "Cannot Check - Date Missing", IF(H304&lt;C304, "Invalid - Ship Before Order", "Valid"))</f>
        <v>Valid</v>
      </c>
      <c r="K304" s="5">
        <f>IF(OR(C304="", H304=""), "", IF(H304&lt;C304, "", H304-C304))</f>
        <v>1</v>
      </c>
      <c r="L304" s="3" t="s">
        <v>3169</v>
      </c>
      <c r="M304" s="3" t="s">
        <v>107</v>
      </c>
      <c r="N304" s="4" t="str">
        <f>TRIM(SUBSTITUTE(M304,"_"," "))</f>
        <v>Aditi Sen</v>
      </c>
      <c r="O304" s="3" t="s">
        <v>108</v>
      </c>
      <c r="P304" s="6" t="str">
        <f>PROPER(TRIM(SUBSTITUTE(O304,".","")))</f>
        <v>Corporate</v>
      </c>
      <c r="Q304" s="3" t="s">
        <v>73</v>
      </c>
      <c r="R304" s="7" t="str">
        <f>PROPER(TRIM(SUBSTITUTE(Q304,"  "," ")))</f>
        <v>West</v>
      </c>
      <c r="S304" s="3" t="s">
        <v>84</v>
      </c>
      <c r="T304" s="6" t="str">
        <f>PROPER(TRIM(SUBSTITUTE(S304,"  "," ")))</f>
        <v>Madhya Pradesh</v>
      </c>
      <c r="U304" s="3" t="s">
        <v>85</v>
      </c>
      <c r="V304" s="6" t="str">
        <f>PROPER(TRIM(SUBSTITUTE(U304,"  "," ")))</f>
        <v>Indore</v>
      </c>
      <c r="W304" s="3" t="s">
        <v>45</v>
      </c>
      <c r="X304" s="6" t="str">
        <f>PROPER(TRIM(SUBSTITUTE(W304,"  "," ")))</f>
        <v>Furniture</v>
      </c>
      <c r="Y304" s="3" t="s">
        <v>76</v>
      </c>
      <c r="Z304" s="6" t="str">
        <f>PROPER(TRIM(SUBSTITUTE(Y304,"  "," ")))</f>
        <v>Chairs</v>
      </c>
      <c r="AA304" s="3" t="s">
        <v>3170</v>
      </c>
      <c r="AB304" s="3" t="s">
        <v>67</v>
      </c>
      <c r="AC304" s="6" t="str">
        <f>PROPER(TRIM(SUBSTITUTE(AB304,"  "," ")))</f>
        <v>Standard Class</v>
      </c>
      <c r="AD304" s="3">
        <v>5</v>
      </c>
      <c r="AE304" s="3">
        <v>2528.5300000000002</v>
      </c>
      <c r="AF304" s="3">
        <v>0.05</v>
      </c>
      <c r="AG304" s="17">
        <v>0.05</v>
      </c>
      <c r="AH304" s="6" t="str">
        <f t="shared" si="35"/>
        <v>Valid</v>
      </c>
      <c r="AI304" s="3">
        <v>12010.52</v>
      </c>
      <c r="AJ304" s="3">
        <v>7864.61</v>
      </c>
      <c r="AK304" s="3">
        <v>4145.91</v>
      </c>
      <c r="AL304" s="3" t="s">
        <v>34</v>
      </c>
      <c r="AM304" s="6" t="str">
        <f>PROPER(TRIM(SUBSTITUTE(AL304,".","")))</f>
        <v>Paid</v>
      </c>
      <c r="AN304" s="3" t="s">
        <v>125</v>
      </c>
      <c r="AO304" s="8" t="str">
        <f>PROPER(TRIM(SUBSTITUTE(AN304,".","")))</f>
        <v>Returned</v>
      </c>
      <c r="AP304" t="str">
        <f>IF(COUNTIF($A$2:$A$933, A304) &gt; 1, "Duplicate ID", "Unique")</f>
        <v>Unique</v>
      </c>
      <c r="AR304">
        <f t="shared" si="36"/>
        <v>12010.5175</v>
      </c>
      <c r="AS304">
        <f t="shared" si="37"/>
        <v>4145.9075000000003</v>
      </c>
      <c r="AT304" s="15">
        <f t="shared" si="38"/>
        <v>0.34518974723612039</v>
      </c>
      <c r="AU304" t="str">
        <f t="shared" si="39"/>
        <v>Clean</v>
      </c>
      <c r="AV304" s="8" t="str">
        <f t="shared" si="40"/>
        <v>Active</v>
      </c>
    </row>
    <row r="305" spans="1:48">
      <c r="A305" s="3" t="s">
        <v>546</v>
      </c>
      <c r="B305" s="3" t="s">
        <v>38</v>
      </c>
      <c r="C305" s="9">
        <f>IFERROR(DATEVALUE(TEXT(B305,"DD/MM/YYYY")), IF(ISNUMBER(B305), B305, ""))</f>
        <v>45540</v>
      </c>
      <c r="D305" s="9" t="str">
        <f>IF(B305="","Missing", IF(AND(ISNUMBER(B305)=FALSE, C305=""),"Invalid - Could Not Parse", IF(AND(ISNUMBER(B305)=FALSE, C305&lt;&gt;""),"Text - Converted to Date", IF(ISNUMBER(B305),"Valid","Check"))))</f>
        <v>Text - Converted to Date</v>
      </c>
      <c r="E305" s="5">
        <f t="shared" si="33"/>
        <v>9</v>
      </c>
      <c r="F305" s="5">
        <f t="shared" si="34"/>
        <v>2024</v>
      </c>
      <c r="G305" s="3" t="s">
        <v>38</v>
      </c>
      <c r="H305" s="9">
        <f>IFERROR(DATEVALUE(TEXT(G305,"DD/MM/YYYY")), IF(ISNUMBER(G305), G305, ""))</f>
        <v>45540</v>
      </c>
      <c r="I305" s="9" t="str">
        <f>IF(G305="","Missing", IF(AND(ISNUMBER(G305)=FALSE, H305=""),"Invalid - Could Not Parse", IF(AND(ISNUMBER(G305)=FALSE, H305&lt;&gt;""),"Text - Converted to Date", IF(ISNUMBER(G305),"Valid","Check"))))</f>
        <v>Text - Converted to Date</v>
      </c>
      <c r="J305" s="9" t="str">
        <f>IF(OR(C305="", H305=""), "Cannot Check - Date Missing", IF(H305&lt;C305, "Invalid - Ship Before Order", "Valid"))</f>
        <v>Valid</v>
      </c>
      <c r="K305" s="5">
        <f>IF(OR(C305="", H305=""), "", IF(H305&lt;C305, "", H305-C305))</f>
        <v>0</v>
      </c>
      <c r="L305" s="3" t="s">
        <v>547</v>
      </c>
      <c r="M305" s="3" t="s">
        <v>366</v>
      </c>
      <c r="N305" s="4" t="str">
        <f>TRIM(SUBSTITUTE(M305,"_"," "))</f>
        <v>Kabir Singh</v>
      </c>
      <c r="O305" s="3" t="s">
        <v>26</v>
      </c>
      <c r="P305" s="6" t="str">
        <f>PROPER(TRIM(SUBSTITUTE(O305,".","")))</f>
        <v>Consumer</v>
      </c>
      <c r="Q305" s="3" t="s">
        <v>62</v>
      </c>
      <c r="R305" s="7" t="str">
        <f>PROPER(TRIM(SUBSTITUTE(Q305,"  "," ")))</f>
        <v>South</v>
      </c>
      <c r="S305" s="3" t="s">
        <v>100</v>
      </c>
      <c r="T305" s="6" t="str">
        <f>PROPER(TRIM(SUBSTITUTE(S305,"  "," ")))</f>
        <v>Andhra Pradesh</v>
      </c>
      <c r="U305" s="3" t="s">
        <v>101</v>
      </c>
      <c r="V305" s="6" t="str">
        <f>PROPER(TRIM(SUBSTITUTE(U305,"  "," ")))</f>
        <v>Vijayawada</v>
      </c>
      <c r="W305" s="3" t="s">
        <v>45</v>
      </c>
      <c r="X305" s="6" t="str">
        <f>PROPER(TRIM(SUBSTITUTE(W305,"  "," ")))</f>
        <v>Furniture</v>
      </c>
      <c r="Y305" s="3" t="s">
        <v>204</v>
      </c>
      <c r="Z305" s="6" t="str">
        <f>PROPER(TRIM(SUBSTITUTE(Y305,"  "," ")))</f>
        <v>Bookcases</v>
      </c>
      <c r="AA305" s="3" t="s">
        <v>548</v>
      </c>
      <c r="AB305" s="3" t="s">
        <v>67</v>
      </c>
      <c r="AC305" s="6" t="str">
        <f>PROPER(TRIM(SUBSTITUTE(AB305,"  "," ")))</f>
        <v>Standard Class</v>
      </c>
      <c r="AD305" s="3">
        <v>7</v>
      </c>
      <c r="AE305" s="3">
        <v>3761.09</v>
      </c>
      <c r="AF305" s="3">
        <v>0.2</v>
      </c>
      <c r="AG305" s="17">
        <v>0.2</v>
      </c>
      <c r="AH305" s="6" t="str">
        <f t="shared" si="35"/>
        <v>Valid</v>
      </c>
      <c r="AI305" s="3">
        <v>21062.1</v>
      </c>
      <c r="AJ305" s="3">
        <v>12057.13</v>
      </c>
      <c r="AK305" s="3">
        <v>9004.9699999999993</v>
      </c>
      <c r="AL305" s="3" t="s">
        <v>137</v>
      </c>
      <c r="AM305" s="6" t="str">
        <f>PROPER(TRIM(SUBSTITUTE(AL305,".","")))</f>
        <v>Pending</v>
      </c>
      <c r="AN305" s="3" t="s">
        <v>78</v>
      </c>
      <c r="AO305" s="8" t="str">
        <f>PROPER(TRIM(SUBSTITUTE(AN305,".","")))</f>
        <v>Cancelled</v>
      </c>
      <c r="AP305" t="str">
        <f>IF(COUNTIF($A$2:$A$933, A305) &gt; 1, "Duplicate ID", "Unique")</f>
        <v>Unique</v>
      </c>
      <c r="AR305">
        <f t="shared" si="36"/>
        <v>21062.104000000003</v>
      </c>
      <c r="AS305">
        <f t="shared" si="37"/>
        <v>9004.9740000000038</v>
      </c>
      <c r="AT305" s="15">
        <f t="shared" si="38"/>
        <v>0.42754389589947911</v>
      </c>
      <c r="AU305" t="str">
        <f t="shared" si="39"/>
        <v>Clean</v>
      </c>
      <c r="AV305" s="8" t="str">
        <f t="shared" si="40"/>
        <v>Cancelled</v>
      </c>
    </row>
    <row r="306" spans="1:48">
      <c r="A306" s="3" t="s">
        <v>2190</v>
      </c>
      <c r="B306" s="3" t="s">
        <v>2191</v>
      </c>
      <c r="C306" s="9">
        <f>IFERROR(DATEVALUE(TEXT(B306,"DD/MM/YYYY")), IF(ISNUMBER(B306), B306, ""))</f>
        <v>45540</v>
      </c>
      <c r="D306" s="9" t="str">
        <f>IF(B306="","Missing", IF(AND(ISNUMBER(B306)=FALSE, C306=""),"Invalid - Could Not Parse", IF(AND(ISNUMBER(B306)=FALSE, C306&lt;&gt;""),"Text - Converted to Date", IF(ISNUMBER(B306),"Valid","Check"))))</f>
        <v>Text - Converted to Date</v>
      </c>
      <c r="E306" s="5">
        <f t="shared" si="33"/>
        <v>9</v>
      </c>
      <c r="F306" s="5">
        <f t="shared" si="34"/>
        <v>2024</v>
      </c>
      <c r="G306" s="3" t="s">
        <v>2192</v>
      </c>
      <c r="H306" s="9">
        <f>IFERROR(DATEVALUE(TEXT(G306,"DD/MM/YYYY")), IF(ISNUMBER(G306), G306, ""))</f>
        <v>45417</v>
      </c>
      <c r="I306" s="9" t="str">
        <f>IF(G306="","Missing", IF(AND(ISNUMBER(G306)=FALSE, H306=""),"Invalid - Could Not Parse", IF(AND(ISNUMBER(G306)=FALSE, H306&lt;&gt;""),"Text - Converted to Date", IF(ISNUMBER(G306),"Valid","Check"))))</f>
        <v>Text - Converted to Date</v>
      </c>
      <c r="J306" s="9" t="str">
        <f>IF(OR(C306="", H306=""), "Cannot Check - Date Missing", IF(H306&lt;C306, "Invalid - Ship Before Order", "Valid"))</f>
        <v>Invalid - Ship Before Order</v>
      </c>
      <c r="K306" s="5" t="str">
        <f>IF(OR(C306="", H306=""), "", IF(H306&lt;C306, "", H306-C306))</f>
        <v/>
      </c>
      <c r="L306" s="3" t="s">
        <v>2193</v>
      </c>
      <c r="M306" s="3" t="s">
        <v>61</v>
      </c>
      <c r="N306" s="4" t="str">
        <f>TRIM(SUBSTITUTE(M306,"_"," "))</f>
        <v>Arjun Bose</v>
      </c>
      <c r="O306" s="3" t="s">
        <v>26</v>
      </c>
      <c r="P306" s="6" t="str">
        <f>PROPER(TRIM(SUBSTITUTE(O306,".","")))</f>
        <v>Consumer</v>
      </c>
      <c r="Q306" s="3" t="s">
        <v>42</v>
      </c>
      <c r="R306" s="7" t="str">
        <f>PROPER(TRIM(SUBSTITUTE(Q306,"  "," ")))</f>
        <v>East</v>
      </c>
      <c r="S306" s="3" t="s">
        <v>216</v>
      </c>
      <c r="T306" s="6" t="str">
        <f>PROPER(TRIM(SUBSTITUTE(S306,"  "," ")))</f>
        <v>Assam</v>
      </c>
      <c r="U306" s="3" t="s">
        <v>217</v>
      </c>
      <c r="V306" s="6" t="str">
        <f>PROPER(TRIM(SUBSTITUTE(U306,"  "," ")))</f>
        <v>Guwahati</v>
      </c>
      <c r="W306" s="3" t="s">
        <v>45</v>
      </c>
      <c r="X306" s="6" t="str">
        <f>PROPER(TRIM(SUBSTITUTE(W306,"  "," ")))</f>
        <v>Furniture</v>
      </c>
      <c r="Y306" s="3" t="s">
        <v>204</v>
      </c>
      <c r="Z306" s="6" t="str">
        <f>PROPER(TRIM(SUBSTITUTE(Y306,"  "," ")))</f>
        <v>Bookcases</v>
      </c>
      <c r="AA306" s="3" t="s">
        <v>2194</v>
      </c>
      <c r="AB306" s="3" t="s">
        <v>48</v>
      </c>
      <c r="AC306" s="6" t="str">
        <f>PROPER(TRIM(SUBSTITUTE(AB306,"  "," ")))</f>
        <v>Same Day</v>
      </c>
      <c r="AD306" s="3">
        <v>2</v>
      </c>
      <c r="AE306" s="3">
        <v>2111.23</v>
      </c>
      <c r="AF306" s="3">
        <v>0.2</v>
      </c>
      <c r="AG306" s="17">
        <v>0.2</v>
      </c>
      <c r="AH306" s="6" t="str">
        <f t="shared" si="35"/>
        <v>Valid</v>
      </c>
      <c r="AI306" s="3">
        <v>3377.97</v>
      </c>
      <c r="AJ306" s="3">
        <v>2496.29</v>
      </c>
      <c r="AK306" s="3">
        <v>881.68</v>
      </c>
      <c r="AL306" s="3" t="s">
        <v>34</v>
      </c>
      <c r="AM306" s="6" t="str">
        <f>PROPER(TRIM(SUBSTITUTE(AL306,".","")))</f>
        <v>Paid</v>
      </c>
      <c r="AN306" s="3" t="s">
        <v>35</v>
      </c>
      <c r="AO306" s="8" t="str">
        <f>PROPER(TRIM(SUBSTITUTE(AN306,".","")))</f>
        <v>Completed</v>
      </c>
      <c r="AP306" t="str">
        <f>IF(COUNTIF($A$2:$A$933, A306) &gt; 1, "Duplicate ID", "Unique")</f>
        <v>Unique</v>
      </c>
      <c r="AR306">
        <f t="shared" si="36"/>
        <v>3377.9680000000003</v>
      </c>
      <c r="AS306">
        <f t="shared" si="37"/>
        <v>881.67800000000034</v>
      </c>
      <c r="AT306" s="15">
        <f t="shared" si="38"/>
        <v>0.26100839321154029</v>
      </c>
      <c r="AU306" t="str">
        <f t="shared" si="39"/>
        <v>Invalid</v>
      </c>
      <c r="AV306" s="8" t="str">
        <f t="shared" si="40"/>
        <v>Active</v>
      </c>
    </row>
    <row r="307" spans="1:48">
      <c r="A307" s="3" t="s">
        <v>2410</v>
      </c>
      <c r="B307" s="3" t="s">
        <v>2191</v>
      </c>
      <c r="C307" s="9">
        <f>IFERROR(DATEVALUE(TEXT(B307,"DD/MM/YYYY")), IF(ISNUMBER(B307), B307, ""))</f>
        <v>45540</v>
      </c>
      <c r="D307" s="9" t="str">
        <f>IF(B307="","Missing", IF(AND(ISNUMBER(B307)=FALSE, C307=""),"Invalid - Could Not Parse", IF(AND(ISNUMBER(B307)=FALSE, C307&lt;&gt;""),"Text - Converted to Date", IF(ISNUMBER(B307),"Valid","Check"))))</f>
        <v>Text - Converted to Date</v>
      </c>
      <c r="E307" s="5">
        <f t="shared" si="33"/>
        <v>9</v>
      </c>
      <c r="F307" s="5">
        <f t="shared" si="34"/>
        <v>2024</v>
      </c>
      <c r="G307" s="3" t="s">
        <v>2411</v>
      </c>
      <c r="H307" s="9">
        <f>IFERROR(DATEVALUE(MID(G307,4,2) &amp; "/" &amp; LEFT(G307,2) &amp; "/" &amp; RIGHT(G307,4)), IF(ISNUMBER(G307), G307, IFERROR(DATEVALUE(G307), "")))</f>
        <v>45427</v>
      </c>
      <c r="I307" s="9" t="str">
        <f>IF(G307="","Missing", IF(AND(ISNUMBER(G307)=FALSE, H307=""),"Invalid - Could Not Parse", IF(AND(ISNUMBER(G307)=FALSE, H307&lt;&gt;""),"Text - Converted to Date", IF(ISNUMBER(G307),"Valid","Check"))))</f>
        <v>Text - Converted to Date</v>
      </c>
      <c r="J307" s="9" t="str">
        <f>IF(OR(C307="", H307=""), "Cannot Check - Date Missing", IF(H307&lt;C307, "Invalid - Ship Before Order", "Valid"))</f>
        <v>Invalid - Ship Before Order</v>
      </c>
      <c r="K307" s="5" t="str">
        <f>IF(OR(C307="", H307=""), "", IF(H307&lt;C307, "", H307-C307))</f>
        <v/>
      </c>
      <c r="L307" s="3" t="s">
        <v>2412</v>
      </c>
      <c r="M307" s="3" t="s">
        <v>40</v>
      </c>
      <c r="N307" s="4" t="str">
        <f>TRIM(SUBSTITUTE(M307,"_"," "))</f>
        <v>Mira Das</v>
      </c>
      <c r="O307" s="3" t="s">
        <v>41</v>
      </c>
      <c r="P307" s="6" t="str">
        <f>PROPER(TRIM(SUBSTITUTE(O307,".","")))</f>
        <v>Small Business</v>
      </c>
      <c r="Q307" s="3" t="s">
        <v>42</v>
      </c>
      <c r="R307" s="7" t="str">
        <f>PROPER(TRIM(SUBSTITUTE(Q307,"  "," ")))</f>
        <v>East</v>
      </c>
      <c r="S307" s="3" t="s">
        <v>216</v>
      </c>
      <c r="T307" s="6" t="str">
        <f>PROPER(TRIM(SUBSTITUTE(S307,"  "," ")))</f>
        <v>Assam</v>
      </c>
      <c r="U307" s="3" t="s">
        <v>217</v>
      </c>
      <c r="V307" s="6" t="str">
        <f>PROPER(TRIM(SUBSTITUTE(U307,"  "," ")))</f>
        <v>Guwahati</v>
      </c>
      <c r="W307" s="3" t="s">
        <v>86</v>
      </c>
      <c r="X307" s="6" t="str">
        <f>PROPER(TRIM(SUBSTITUTE(W307,"  "," ")))</f>
        <v>Technology</v>
      </c>
      <c r="Y307" s="3" t="s">
        <v>223</v>
      </c>
      <c r="Z307" s="6" t="str">
        <f>PROPER(TRIM(SUBSTITUTE(Y307,"  "," ")))</f>
        <v>Phones</v>
      </c>
      <c r="AA307" s="3" t="s">
        <v>2413</v>
      </c>
      <c r="AB307" s="3" t="s">
        <v>33</v>
      </c>
      <c r="AC307" s="6" t="str">
        <f>PROPER(TRIM(SUBSTITUTE(AB307,"  "," ")))</f>
        <v>Second Class</v>
      </c>
      <c r="AD307" s="3">
        <v>4</v>
      </c>
      <c r="AE307" s="3">
        <v>995.98</v>
      </c>
      <c r="AF307" s="3">
        <v>0.05</v>
      </c>
      <c r="AG307" s="17">
        <v>0.05</v>
      </c>
      <c r="AH307" s="6" t="str">
        <f t="shared" si="35"/>
        <v>Valid</v>
      </c>
      <c r="AI307" s="3">
        <v>3784.72</v>
      </c>
      <c r="AJ307" s="3">
        <v>2419.2399999999998</v>
      </c>
      <c r="AK307" s="3">
        <v>1365.48</v>
      </c>
      <c r="AL307" s="3" t="s">
        <v>124</v>
      </c>
      <c r="AM307" s="6" t="str">
        <f>PROPER(TRIM(SUBSTITUTE(AL307,".","")))</f>
        <v>Refunded</v>
      </c>
      <c r="AN307" s="3" t="s">
        <v>125</v>
      </c>
      <c r="AO307" s="8" t="str">
        <f>PROPER(TRIM(SUBSTITUTE(AN307,".","")))</f>
        <v>Returned</v>
      </c>
      <c r="AP307" t="str">
        <f>IF(COUNTIF($A$2:$A$933, A307) &gt; 1, "Duplicate ID", "Unique")</f>
        <v>Unique</v>
      </c>
      <c r="AR307">
        <f t="shared" si="36"/>
        <v>3784.7239999999997</v>
      </c>
      <c r="AS307">
        <f t="shared" si="37"/>
        <v>1365.4839999999999</v>
      </c>
      <c r="AT307" s="15">
        <f t="shared" si="38"/>
        <v>0.36078826355633858</v>
      </c>
      <c r="AU307" t="str">
        <f t="shared" si="39"/>
        <v>Invalid</v>
      </c>
      <c r="AV307" s="8" t="str">
        <f t="shared" si="40"/>
        <v>Refund</v>
      </c>
    </row>
    <row r="308" spans="1:48">
      <c r="A308" s="3" t="s">
        <v>2337</v>
      </c>
      <c r="B308" s="3" t="s">
        <v>2338</v>
      </c>
      <c r="C308" s="9">
        <f>IFERROR(DATEVALUE(TEXT(B308,"DD/MM/YYYY")), IF(ISNUMBER(B308), B308, ""))</f>
        <v>45541</v>
      </c>
      <c r="D308" s="9" t="str">
        <f>IF(B308="","Missing", IF(AND(ISNUMBER(B308)=FALSE, C308=""),"Invalid - Could Not Parse", IF(AND(ISNUMBER(B308)=FALSE, C308&lt;&gt;""),"Text - Converted to Date", IF(ISNUMBER(B308),"Valid","Check"))))</f>
        <v>Text - Converted to Date</v>
      </c>
      <c r="E308" s="5">
        <f t="shared" si="33"/>
        <v>9</v>
      </c>
      <c r="F308" s="5">
        <f t="shared" si="34"/>
        <v>2024</v>
      </c>
      <c r="G308" s="3" t="s">
        <v>2339</v>
      </c>
      <c r="H308" s="9">
        <f>IFERROR(DATEVALUE(TEXT(G308,"DD/MM/YYYY")), IF(ISNUMBER(G308), G308, ""))</f>
        <v>45456</v>
      </c>
      <c r="I308" s="9" t="str">
        <f>IF(G308="","Missing", IF(AND(ISNUMBER(G308)=FALSE, H308=""),"Invalid - Could Not Parse", IF(AND(ISNUMBER(G308)=FALSE, H308&lt;&gt;""),"Text - Converted to Date", IF(ISNUMBER(G308),"Valid","Check"))))</f>
        <v>Text - Converted to Date</v>
      </c>
      <c r="J308" s="9" t="str">
        <f>IF(OR(C308="", H308=""), "Cannot Check - Date Missing", IF(H308&lt;C308, "Invalid - Ship Before Order", "Valid"))</f>
        <v>Invalid - Ship Before Order</v>
      </c>
      <c r="K308" s="5" t="str">
        <f>IF(OR(C308="", H308=""), "", IF(H308&lt;C308, "", H308-C308))</f>
        <v/>
      </c>
      <c r="L308" s="3" t="s">
        <v>2340</v>
      </c>
      <c r="M308" s="3" t="s">
        <v>40</v>
      </c>
      <c r="N308" s="4" t="str">
        <f>TRIM(SUBSTITUTE(M308,"_"," "))</f>
        <v>Mira Das</v>
      </c>
      <c r="O308" s="3" t="s">
        <v>115</v>
      </c>
      <c r="P308" s="6" t="str">
        <f>PROPER(TRIM(SUBSTITUTE(O308,".","")))</f>
        <v>Home Office</v>
      </c>
      <c r="Q308" s="3"/>
      <c r="R308" s="6" t="str">
        <f>IF(ISBLANK(Q308), "Unknown", Q308)</f>
        <v>Unknown</v>
      </c>
      <c r="S308" s="3" t="s">
        <v>174</v>
      </c>
      <c r="T308" s="6" t="str">
        <f>PROPER(TRIM(SUBSTITUTE(S308,"  "," ")))</f>
        <v>Uttar Pradesh</v>
      </c>
      <c r="U308" s="3" t="s">
        <v>175</v>
      </c>
      <c r="V308" s="6" t="str">
        <f>PROPER(TRIM(SUBSTITUTE(U308,"  "," ")))</f>
        <v>Noida</v>
      </c>
      <c r="W308" s="3" t="s">
        <v>86</v>
      </c>
      <c r="X308" s="6" t="str">
        <f>PROPER(TRIM(SUBSTITUTE(W308,"  "," ")))</f>
        <v>Technology</v>
      </c>
      <c r="Y308" s="3" t="s">
        <v>382</v>
      </c>
      <c r="Z308" s="6" t="str">
        <f>PROPER(TRIM(SUBSTITUTE(Y308,"  "," ")))</f>
        <v>Machines</v>
      </c>
      <c r="AA308" s="3" t="s">
        <v>2341</v>
      </c>
      <c r="AB308" s="3" t="s">
        <v>48</v>
      </c>
      <c r="AC308" s="6" t="str">
        <f>PROPER(TRIM(SUBSTITUTE(AB308,"  "," ")))</f>
        <v>Same Day</v>
      </c>
      <c r="AD308" s="3">
        <v>7</v>
      </c>
      <c r="AE308" s="3">
        <v>4079.71</v>
      </c>
      <c r="AF308" s="3">
        <v>0.1</v>
      </c>
      <c r="AG308" s="17">
        <v>0.1</v>
      </c>
      <c r="AH308" s="6" t="str">
        <f t="shared" si="35"/>
        <v>Valid</v>
      </c>
      <c r="AI308" s="3">
        <v>25702.17</v>
      </c>
      <c r="AJ308" s="3">
        <v>14571.48</v>
      </c>
      <c r="AK308" s="3">
        <v>11130.69</v>
      </c>
      <c r="AL308" s="3" t="s">
        <v>124</v>
      </c>
      <c r="AM308" s="6" t="str">
        <f>PROPER(TRIM(SUBSTITUTE(AL308,".","")))</f>
        <v>Refunded</v>
      </c>
      <c r="AN308" s="3" t="s">
        <v>125</v>
      </c>
      <c r="AO308" s="8" t="str">
        <f>PROPER(TRIM(SUBSTITUTE(AN308,".","")))</f>
        <v>Returned</v>
      </c>
      <c r="AP308" t="str">
        <f>IF(COUNTIF($A$2:$A$933, A308) &gt; 1, "Duplicate ID", "Unique")</f>
        <v>Unique</v>
      </c>
      <c r="AR308">
        <f t="shared" si="36"/>
        <v>25702.173000000003</v>
      </c>
      <c r="AS308">
        <f t="shared" si="37"/>
        <v>11130.693000000003</v>
      </c>
      <c r="AT308" s="15">
        <f t="shared" si="38"/>
        <v>0.43306427826160854</v>
      </c>
      <c r="AU308" t="str">
        <f t="shared" si="39"/>
        <v>Invalid</v>
      </c>
      <c r="AV308" s="8" t="str">
        <f t="shared" si="40"/>
        <v>Refund</v>
      </c>
    </row>
    <row r="309" spans="1:48">
      <c r="A309" s="3" t="s">
        <v>3351</v>
      </c>
      <c r="B309" s="3" t="s">
        <v>3352</v>
      </c>
      <c r="C309" s="9">
        <f>IFERROR(DATEVALUE(TEXT(B309,"DD/MM/YYYY")), IF(ISNUMBER(B309), B309, ""))</f>
        <v>45541</v>
      </c>
      <c r="D309" s="9" t="str">
        <f>IF(B309="","Missing", IF(AND(ISNUMBER(B309)=FALSE, C309=""),"Invalid - Could Not Parse", IF(AND(ISNUMBER(B309)=FALSE, C309&lt;&gt;""),"Text - Converted to Date", IF(ISNUMBER(B309),"Valid","Check"))))</f>
        <v>Text - Converted to Date</v>
      </c>
      <c r="E309" s="5">
        <f t="shared" si="33"/>
        <v>9</v>
      </c>
      <c r="F309" s="5">
        <f t="shared" si="34"/>
        <v>2024</v>
      </c>
      <c r="G309" s="3" t="s">
        <v>876</v>
      </c>
      <c r="H309" s="9">
        <f>IFERROR(DATEVALUE(TEXT(G309,"DD/MM/YYYY")), IF(ISNUMBER(G309), G309, ""))</f>
        <v>45544</v>
      </c>
      <c r="I309" s="9" t="str">
        <f>IF(G309="","Missing", IF(AND(ISNUMBER(G309)=FALSE, H309=""),"Invalid - Could Not Parse", IF(AND(ISNUMBER(G309)=FALSE, H309&lt;&gt;""),"Text - Converted to Date", IF(ISNUMBER(G309),"Valid","Check"))))</f>
        <v>Text - Converted to Date</v>
      </c>
      <c r="J309" s="9" t="str">
        <f>IF(OR(C309="", H309=""), "Cannot Check - Date Missing", IF(H309&lt;C309, "Invalid - Ship Before Order", "Valid"))</f>
        <v>Valid</v>
      </c>
      <c r="K309" s="5">
        <f>IF(OR(C309="", H309=""), "", IF(H309&lt;C309, "", H309-C309))</f>
        <v>3</v>
      </c>
      <c r="L309" s="3" t="s">
        <v>3353</v>
      </c>
      <c r="M309" s="3" t="s">
        <v>40</v>
      </c>
      <c r="N309" s="4" t="str">
        <f>TRIM(SUBSTITUTE(M309,"_"," "))</f>
        <v>Mira Das</v>
      </c>
      <c r="O309" s="3" t="s">
        <v>26</v>
      </c>
      <c r="P309" s="6" t="str">
        <f>PROPER(TRIM(SUBSTITUTE(O309,".","")))</f>
        <v>Consumer</v>
      </c>
      <c r="Q309" s="3" t="s">
        <v>73</v>
      </c>
      <c r="R309" s="7" t="str">
        <f>PROPER(TRIM(SUBSTITUTE(Q309,"  "," ")))</f>
        <v>West</v>
      </c>
      <c r="S309" s="3" t="s">
        <v>74</v>
      </c>
      <c r="T309" s="6" t="str">
        <f>PROPER(TRIM(SUBSTITUTE(S309,"  "," ")))</f>
        <v>Maharashtra</v>
      </c>
      <c r="U309" s="3" t="s">
        <v>75</v>
      </c>
      <c r="V309" s="6" t="str">
        <f>PROPER(TRIM(SUBSTITUTE(U309,"  "," ")))</f>
        <v>Mumbai</v>
      </c>
      <c r="W309" s="3" t="s">
        <v>30</v>
      </c>
      <c r="X309" s="6" t="str">
        <f>PROPER(TRIM(SUBSTITUTE(W309,"  "," ")))</f>
        <v>Office Supplies</v>
      </c>
      <c r="Y309" s="3" t="s">
        <v>54</v>
      </c>
      <c r="Z309" s="6" t="str">
        <f>PROPER(TRIM(SUBSTITUTE(Y309,"  "," ")))</f>
        <v>Art</v>
      </c>
      <c r="AA309" s="3" t="s">
        <v>3354</v>
      </c>
      <c r="AB309" s="3" t="s">
        <v>48</v>
      </c>
      <c r="AC309" s="6" t="str">
        <f>PROPER(TRIM(SUBSTITUTE(AB309,"  "," ")))</f>
        <v>Same Day</v>
      </c>
      <c r="AD309" s="3">
        <v>3</v>
      </c>
      <c r="AE309" s="3">
        <v>1972.27</v>
      </c>
      <c r="AF309" s="3">
        <v>0.2</v>
      </c>
      <c r="AG309" s="17">
        <v>0.2</v>
      </c>
      <c r="AH309" s="6" t="str">
        <f t="shared" si="35"/>
        <v>Valid</v>
      </c>
      <c r="AI309" s="3">
        <v>4733.45</v>
      </c>
      <c r="AJ309" s="3">
        <v>3672.32</v>
      </c>
      <c r="AK309" s="3">
        <v>1061.1300000000001</v>
      </c>
      <c r="AL309" s="3" t="s">
        <v>34</v>
      </c>
      <c r="AM309" s="6" t="str">
        <f>PROPER(TRIM(SUBSTITUTE(AL309,".","")))</f>
        <v>Paid</v>
      </c>
      <c r="AN309" s="3" t="s">
        <v>35</v>
      </c>
      <c r="AO309" s="8" t="str">
        <f>PROPER(TRIM(SUBSTITUTE(AN309,".","")))</f>
        <v>Completed</v>
      </c>
      <c r="AP309" t="str">
        <f>IF(COUNTIF($A$2:$A$933, A309) &gt; 1, "Duplicate ID", "Unique")</f>
        <v>Unique</v>
      </c>
      <c r="AR309">
        <f t="shared" si="36"/>
        <v>4733.4479999999994</v>
      </c>
      <c r="AS309">
        <f t="shared" si="37"/>
        <v>1061.1279999999992</v>
      </c>
      <c r="AT309" s="15">
        <f t="shared" si="38"/>
        <v>0.22417654107534282</v>
      </c>
      <c r="AU309" t="str">
        <f t="shared" si="39"/>
        <v>Warning</v>
      </c>
      <c r="AV309" s="8" t="str">
        <f t="shared" si="40"/>
        <v>Active</v>
      </c>
    </row>
    <row r="310" spans="1:48">
      <c r="A310" s="3" t="s">
        <v>150</v>
      </c>
      <c r="B310" s="3" t="s">
        <v>151</v>
      </c>
      <c r="C310" s="9">
        <f>IFERROR(DATEVALUE(TEXT(B310,"DD/MM/YYYY")), IF(ISNUMBER(B310), B310, ""))</f>
        <v>45542</v>
      </c>
      <c r="D310" s="9" t="str">
        <f>IF(B310="","Missing", IF(AND(ISNUMBER(B310)=FALSE, C310=""),"Invalid - Could Not Parse", IF(AND(ISNUMBER(B310)=FALSE, C310&lt;&gt;""),"Text - Converted to Date", IF(ISNUMBER(B310),"Valid","Check"))))</f>
        <v>Text - Converted to Date</v>
      </c>
      <c r="E310" s="5">
        <f t="shared" si="33"/>
        <v>9</v>
      </c>
      <c r="F310" s="5">
        <f t="shared" si="34"/>
        <v>2024</v>
      </c>
      <c r="G310" s="3" t="s">
        <v>152</v>
      </c>
      <c r="H310" s="9">
        <f>IFERROR(DATEVALUE(TEXT(G310,"DD/MM/YYYY")), IF(ISNUMBER(G310), G310, ""))</f>
        <v>45482</v>
      </c>
      <c r="I310" s="9" t="str">
        <f>IF(G310="","Missing", IF(AND(ISNUMBER(G310)=FALSE, H310=""),"Invalid - Could Not Parse", IF(AND(ISNUMBER(G310)=FALSE, H310&lt;&gt;""),"Text - Converted to Date", IF(ISNUMBER(G310),"Valid","Check"))))</f>
        <v>Text - Converted to Date</v>
      </c>
      <c r="J310" s="9" t="str">
        <f>IF(OR(C310="", H310=""), "Cannot Check - Date Missing", IF(H310&lt;C310, "Invalid - Ship Before Order", "Valid"))</f>
        <v>Invalid - Ship Before Order</v>
      </c>
      <c r="K310" s="5" t="str">
        <f>IF(OR(C310="", H310=""), "", IF(H310&lt;C310, "", H310-C310))</f>
        <v/>
      </c>
      <c r="L310" s="3" t="s">
        <v>153</v>
      </c>
      <c r="M310" s="3" t="s">
        <v>25</v>
      </c>
      <c r="N310" s="4" t="str">
        <f>TRIM(SUBSTITUTE(M310,"_"," "))</f>
        <v>Karan Malhotra</v>
      </c>
      <c r="O310" s="3" t="s">
        <v>41</v>
      </c>
      <c r="P310" s="6" t="str">
        <f>PROPER(TRIM(SUBSTITUTE(O310,".","")))</f>
        <v>Small Business</v>
      </c>
      <c r="Q310" s="3" t="s">
        <v>27</v>
      </c>
      <c r="R310" s="7" t="str">
        <f>PROPER(TRIM(SUBSTITUTE(Q310,"  "," ")))</f>
        <v>North</v>
      </c>
      <c r="S310" s="3" t="s">
        <v>154</v>
      </c>
      <c r="T310" s="6" t="str">
        <f>PROPER(TRIM(SUBSTITUTE(S310,"  "," ")))</f>
        <v>Punjab</v>
      </c>
      <c r="U310" s="3" t="s">
        <v>155</v>
      </c>
      <c r="V310" s="6" t="str">
        <f>PROPER(TRIM(SUBSTITUTE(U310,"  "," ")))</f>
        <v>Ludhiana</v>
      </c>
      <c r="W310" s="3" t="s">
        <v>30</v>
      </c>
      <c r="X310" s="6" t="str">
        <f>PROPER(TRIM(SUBSTITUTE(W310,"  "," ")))</f>
        <v>Office Supplies</v>
      </c>
      <c r="Y310" s="3" t="s">
        <v>156</v>
      </c>
      <c r="Z310" s="6" t="str">
        <f>PROPER(TRIM(SUBSTITUTE(Y310,"  "," ")))</f>
        <v>Storage</v>
      </c>
      <c r="AA310" s="3" t="s">
        <v>157</v>
      </c>
      <c r="AB310" s="3" t="s">
        <v>33</v>
      </c>
      <c r="AC310" s="6" t="str">
        <f>PROPER(TRIM(SUBSTITUTE(AB310,"  "," ")))</f>
        <v>Second Class</v>
      </c>
      <c r="AD310" s="3">
        <v>6</v>
      </c>
      <c r="AE310" s="3">
        <v>3965.76</v>
      </c>
      <c r="AF310" s="3">
        <v>0</v>
      </c>
      <c r="AG310" s="17">
        <v>0</v>
      </c>
      <c r="AH310" s="6" t="str">
        <f t="shared" si="35"/>
        <v>Valid</v>
      </c>
      <c r="AI310" s="3">
        <v>23794.560000000001</v>
      </c>
      <c r="AJ310" s="3">
        <v>15698.47</v>
      </c>
      <c r="AK310" s="3">
        <v>8096.09</v>
      </c>
      <c r="AL310" s="3" t="s">
        <v>34</v>
      </c>
      <c r="AM310" s="6" t="str">
        <f>PROPER(TRIM(SUBSTITUTE(AL310,".","")))</f>
        <v>Paid</v>
      </c>
      <c r="AN310" s="3" t="s">
        <v>35</v>
      </c>
      <c r="AO310" s="8" t="str">
        <f>PROPER(TRIM(SUBSTITUTE(AN310,".","")))</f>
        <v>Completed</v>
      </c>
      <c r="AP310" t="str">
        <f>IF(COUNTIF($A$2:$A$933, A310) &gt; 1, "Duplicate ID", "Unique")</f>
        <v>Unique</v>
      </c>
      <c r="AR310">
        <f t="shared" si="36"/>
        <v>23794.560000000001</v>
      </c>
      <c r="AS310">
        <f t="shared" si="37"/>
        <v>8096.090000000002</v>
      </c>
      <c r="AT310" s="15">
        <f t="shared" si="38"/>
        <v>0.34024962008122872</v>
      </c>
      <c r="AU310" t="str">
        <f t="shared" si="39"/>
        <v>Invalid</v>
      </c>
      <c r="AV310" s="8" t="str">
        <f t="shared" si="40"/>
        <v>Active</v>
      </c>
    </row>
    <row r="311" spans="1:48">
      <c r="A311" s="3" t="s">
        <v>3300</v>
      </c>
      <c r="B311" s="3" t="s">
        <v>3301</v>
      </c>
      <c r="C311" s="9">
        <f>IFERROR(DATEVALUE(TEXT(B311,"DD/MM/YYYY")), IF(ISNUMBER(B311), B311, ""))</f>
        <v>45543</v>
      </c>
      <c r="D311" s="9" t="str">
        <f>IF(B311="","Missing", IF(AND(ISNUMBER(B311)=FALSE, C311=""),"Invalid - Could Not Parse", IF(AND(ISNUMBER(B311)=FALSE, C311&lt;&gt;""),"Text - Converted to Date", IF(ISNUMBER(B311),"Valid","Check"))))</f>
        <v>Text - Converted to Date</v>
      </c>
      <c r="E311" s="5">
        <f t="shared" si="33"/>
        <v>9</v>
      </c>
      <c r="F311" s="5">
        <f t="shared" si="34"/>
        <v>2024</v>
      </c>
      <c r="G311" s="3" t="s">
        <v>3302</v>
      </c>
      <c r="H311" s="9">
        <f>IFERROR(DATEVALUE(MID(G311,4,2) &amp; "/" &amp; LEFT(G311,2) &amp; "/" &amp; RIGHT(G311,4)), IF(ISNUMBER(G311), G311, IFERROR(DATEVALUE(G311), "")))</f>
        <v>45549</v>
      </c>
      <c r="I311" s="9" t="str">
        <f>IF(G311="","Missing", IF(AND(ISNUMBER(G311)=FALSE, H311=""),"Invalid - Could Not Parse", IF(AND(ISNUMBER(G311)=FALSE, H311&lt;&gt;""),"Text - Converted to Date", IF(ISNUMBER(G311),"Valid","Check"))))</f>
        <v>Text - Converted to Date</v>
      </c>
      <c r="J311" s="9" t="str">
        <f>IF(OR(C311="", H311=""), "Cannot Check - Date Missing", IF(H311&lt;C311, "Invalid - Ship Before Order", "Valid"))</f>
        <v>Valid</v>
      </c>
      <c r="K311" s="5">
        <f>IF(OR(C311="", H311=""), "", IF(H311&lt;C311, "", H311-C311))</f>
        <v>6</v>
      </c>
      <c r="L311" s="3" t="s">
        <v>3303</v>
      </c>
      <c r="M311" s="3" t="s">
        <v>180</v>
      </c>
      <c r="N311" s="4" t="str">
        <f>TRIM(SUBSTITUTE(M311,"_"," "))</f>
        <v>Rohan Mehta</v>
      </c>
      <c r="O311" s="3" t="s">
        <v>26</v>
      </c>
      <c r="P311" s="6" t="str">
        <f>PROPER(TRIM(SUBSTITUTE(O311,".","")))</f>
        <v>Consumer</v>
      </c>
      <c r="Q311" s="3" t="s">
        <v>27</v>
      </c>
      <c r="R311" s="7" t="str">
        <f>PROPER(TRIM(SUBSTITUTE(Q311,"  "," ")))</f>
        <v>North</v>
      </c>
      <c r="S311" s="3" t="s">
        <v>28</v>
      </c>
      <c r="T311" s="6" t="str">
        <f>PROPER(TRIM(SUBSTITUTE(S311,"  "," ")))</f>
        <v>Rajasthan</v>
      </c>
      <c r="U311" s="3" t="s">
        <v>29</v>
      </c>
      <c r="V311" s="6" t="str">
        <f>PROPER(TRIM(SUBSTITUTE(U311,"  "," ")))</f>
        <v>Jaipur</v>
      </c>
      <c r="W311" s="3" t="s">
        <v>30</v>
      </c>
      <c r="X311" s="6" t="str">
        <f>PROPER(TRIM(SUBSTITUTE(W311,"  "," ")))</f>
        <v>Office Supplies</v>
      </c>
      <c r="Y311" s="3" t="s">
        <v>198</v>
      </c>
      <c r="Z311" s="6" t="str">
        <f>PROPER(TRIM(SUBSTITUTE(Y311,"  "," ")))</f>
        <v>Binders</v>
      </c>
      <c r="AA311" s="3" t="s">
        <v>3304</v>
      </c>
      <c r="AB311" s="3" t="s">
        <v>67</v>
      </c>
      <c r="AC311" s="6" t="str">
        <f>PROPER(TRIM(SUBSTITUTE(AB311,"  "," ")))</f>
        <v>Standard Class</v>
      </c>
      <c r="AD311" s="3">
        <v>5</v>
      </c>
      <c r="AE311" s="3">
        <v>3371.75</v>
      </c>
      <c r="AF311" s="3">
        <v>0.05</v>
      </c>
      <c r="AG311" s="17">
        <v>0.05</v>
      </c>
      <c r="AH311" s="6" t="str">
        <f t="shared" si="35"/>
        <v>Valid</v>
      </c>
      <c r="AI311" s="3">
        <v>16015.81</v>
      </c>
      <c r="AJ311" s="3">
        <v>11352.38</v>
      </c>
      <c r="AK311" s="3">
        <v>4663.43</v>
      </c>
      <c r="AL311" s="3" t="s">
        <v>34</v>
      </c>
      <c r="AM311" s="6" t="str">
        <f>PROPER(TRIM(SUBSTITUTE(AL311,".","")))</f>
        <v>Paid</v>
      </c>
      <c r="AN311" s="3" t="s">
        <v>35</v>
      </c>
      <c r="AO311" s="8" t="str">
        <f>PROPER(TRIM(SUBSTITUTE(AN311,".","")))</f>
        <v>Completed</v>
      </c>
      <c r="AP311" t="str">
        <f>IF(COUNTIF($A$2:$A$933, A311) &gt; 1, "Duplicate ID", "Unique")</f>
        <v>Unique</v>
      </c>
      <c r="AR311">
        <f t="shared" si="36"/>
        <v>16015.8125</v>
      </c>
      <c r="AS311">
        <f t="shared" si="37"/>
        <v>4663.4325000000008</v>
      </c>
      <c r="AT311" s="15">
        <f t="shared" si="38"/>
        <v>0.29117676671102394</v>
      </c>
      <c r="AU311" t="str">
        <f t="shared" si="39"/>
        <v>Clean</v>
      </c>
      <c r="AV311" s="8" t="str">
        <f t="shared" si="40"/>
        <v>Active</v>
      </c>
    </row>
    <row r="312" spans="1:48">
      <c r="A312" s="3" t="s">
        <v>875</v>
      </c>
      <c r="B312" s="3" t="s">
        <v>876</v>
      </c>
      <c r="C312" s="9">
        <f>IFERROR(DATEVALUE(TEXT(B312,"DD/MM/YYYY")), IF(ISNUMBER(B312), B312, ""))</f>
        <v>45544</v>
      </c>
      <c r="D312" s="9" t="str">
        <f>IF(B312="","Missing", IF(AND(ISNUMBER(B312)=FALSE, C312=""),"Invalid - Could Not Parse", IF(AND(ISNUMBER(B312)=FALSE, C312&lt;&gt;""),"Text - Converted to Date", IF(ISNUMBER(B312),"Valid","Check"))))</f>
        <v>Text - Converted to Date</v>
      </c>
      <c r="E312" s="5">
        <f t="shared" si="33"/>
        <v>9</v>
      </c>
      <c r="F312" s="5">
        <f t="shared" si="34"/>
        <v>2024</v>
      </c>
      <c r="G312" s="3" t="s">
        <v>877</v>
      </c>
      <c r="H312" s="9">
        <f>IFERROR(DATEVALUE(TEXT(G312,"DD/MM/YYYY")), IF(ISNUMBER(G312), G312, ""))</f>
        <v>45605</v>
      </c>
      <c r="I312" s="9" t="str">
        <f>IF(G312="","Missing", IF(AND(ISNUMBER(G312)=FALSE, H312=""),"Invalid - Could Not Parse", IF(AND(ISNUMBER(G312)=FALSE, H312&lt;&gt;""),"Text - Converted to Date", IF(ISNUMBER(G312),"Valid","Check"))))</f>
        <v>Text - Converted to Date</v>
      </c>
      <c r="J312" s="9" t="str">
        <f>IF(OR(C312="", H312=""), "Cannot Check - Date Missing", IF(H312&lt;C312, "Invalid - Ship Before Order", "Valid"))</f>
        <v>Valid</v>
      </c>
      <c r="K312" s="5">
        <f>IF(OR(C312="", H312=""), "", IF(H312&lt;C312, "", H312-C312))</f>
        <v>61</v>
      </c>
      <c r="L312" s="3" t="s">
        <v>878</v>
      </c>
      <c r="M312" s="3" t="s">
        <v>93</v>
      </c>
      <c r="N312" s="4" t="str">
        <f>TRIM(SUBSTITUTE(M312,"_"," "))</f>
        <v>Neha Gupta</v>
      </c>
      <c r="O312" s="3" t="s">
        <v>115</v>
      </c>
      <c r="P312" s="6" t="str">
        <f>PROPER(TRIM(SUBSTITUTE(O312,".","")))</f>
        <v>Home Office</v>
      </c>
      <c r="Q312" s="3" t="s">
        <v>62</v>
      </c>
      <c r="R312" s="7" t="str">
        <f>PROPER(TRIM(SUBSTITUTE(Q312,"  "," ")))</f>
        <v>South</v>
      </c>
      <c r="S312" s="3" t="s">
        <v>63</v>
      </c>
      <c r="T312" s="6" t="str">
        <f>PROPER(TRIM(SUBSTITUTE(S312,"  "," ")))</f>
        <v>Telangana</v>
      </c>
      <c r="U312" s="3" t="s">
        <v>64</v>
      </c>
      <c r="V312" s="6" t="str">
        <f>PROPER(TRIM(SUBSTITUTE(U312,"  "," ")))</f>
        <v>Hyderabad</v>
      </c>
      <c r="W312" s="3" t="s">
        <v>45</v>
      </c>
      <c r="X312" s="6" t="str">
        <f>PROPER(TRIM(SUBSTITUTE(W312,"  "," ")))</f>
        <v>Furniture</v>
      </c>
      <c r="Y312" s="3" t="s">
        <v>204</v>
      </c>
      <c r="Z312" s="6" t="str">
        <f>PROPER(TRIM(SUBSTITUTE(Y312,"  "," ")))</f>
        <v>Bookcases</v>
      </c>
      <c r="AA312" s="3" t="s">
        <v>879</v>
      </c>
      <c r="AB312" s="3" t="s">
        <v>56</v>
      </c>
      <c r="AC312" s="6" t="str">
        <f>PROPER(TRIM(SUBSTITUTE(AB312,"  "," ")))</f>
        <v>First Class</v>
      </c>
      <c r="AD312" s="3">
        <v>1</v>
      </c>
      <c r="AE312" s="3">
        <v>4199.54</v>
      </c>
      <c r="AF312" s="3">
        <v>0.05</v>
      </c>
      <c r="AG312" s="17">
        <v>0.05</v>
      </c>
      <c r="AH312" s="6" t="str">
        <f t="shared" si="35"/>
        <v>Valid</v>
      </c>
      <c r="AI312" s="3">
        <v>3989.56</v>
      </c>
      <c r="AJ312" s="3">
        <v>2381.38</v>
      </c>
      <c r="AK312" s="3">
        <v>1608.18</v>
      </c>
      <c r="AL312" s="3" t="s">
        <v>34</v>
      </c>
      <c r="AM312" s="6" t="str">
        <f>PROPER(TRIM(SUBSTITUTE(AL312,".","")))</f>
        <v>Paid</v>
      </c>
      <c r="AN312" s="3" t="s">
        <v>35</v>
      </c>
      <c r="AO312" s="8" t="str">
        <f>PROPER(TRIM(SUBSTITUTE(AN312,".","")))</f>
        <v>Completed</v>
      </c>
      <c r="AP312" t="str">
        <f>IF(COUNTIF($A$2:$A$933, A312) &gt; 1, "Duplicate ID", "Unique")</f>
        <v>Unique</v>
      </c>
      <c r="AR312">
        <f t="shared" si="36"/>
        <v>3989.5629999999996</v>
      </c>
      <c r="AS312">
        <f t="shared" si="37"/>
        <v>1608.1829999999995</v>
      </c>
      <c r="AT312" s="15">
        <f t="shared" si="38"/>
        <v>0.40309753223598666</v>
      </c>
      <c r="AU312" t="str">
        <f t="shared" si="39"/>
        <v>Clean</v>
      </c>
      <c r="AV312" s="8" t="str">
        <f t="shared" si="40"/>
        <v>Active</v>
      </c>
    </row>
    <row r="313" spans="1:48">
      <c r="A313" s="3" t="s">
        <v>2063</v>
      </c>
      <c r="B313" s="3" t="s">
        <v>2064</v>
      </c>
      <c r="C313" s="9">
        <f>IFERROR(DATEVALUE(TEXT(B313,"DD/MM/YYYY")), IF(ISNUMBER(B313), B313, ""))</f>
        <v>45546</v>
      </c>
      <c r="D313" s="9" t="str">
        <f>IF(B313="","Missing", IF(AND(ISNUMBER(B313)=FALSE, C313=""),"Invalid - Could Not Parse", IF(AND(ISNUMBER(B313)=FALSE, C313&lt;&gt;""),"Text - Converted to Date", IF(ISNUMBER(B313),"Valid","Check"))))</f>
        <v>Text - Converted to Date</v>
      </c>
      <c r="E313" s="5">
        <f t="shared" si="33"/>
        <v>9</v>
      </c>
      <c r="F313" s="5">
        <f t="shared" si="34"/>
        <v>2024</v>
      </c>
      <c r="G313" s="3" t="s">
        <v>2065</v>
      </c>
      <c r="H313" s="9">
        <f>IFERROR(DATEVALUE(MID(G313,4,2) &amp; "/" &amp; LEFT(G313,2) &amp; "/" &amp; RIGHT(G313,4)), IF(ISNUMBER(G313), G313, IFERROR(DATEVALUE(G313), "")))</f>
        <v>45613</v>
      </c>
      <c r="I313" s="9" t="str">
        <f>IF(G313="","Missing", IF(AND(ISNUMBER(G313)=FALSE, H313=""),"Invalid - Could Not Parse", IF(AND(ISNUMBER(G313)=FALSE, H313&lt;&gt;""),"Text - Converted to Date", IF(ISNUMBER(G313),"Valid","Check"))))</f>
        <v>Text - Converted to Date</v>
      </c>
      <c r="J313" s="9" t="str">
        <f>IF(OR(C313="", H313=""), "Cannot Check - Date Missing", IF(H313&lt;C313, "Invalid - Ship Before Order", "Valid"))</f>
        <v>Valid</v>
      </c>
      <c r="K313" s="5">
        <f>IF(OR(C313="", H313=""), "", IF(H313&lt;C313, "", H313-C313))</f>
        <v>67</v>
      </c>
      <c r="L313" s="3" t="s">
        <v>2066</v>
      </c>
      <c r="M313" s="3" t="s">
        <v>168</v>
      </c>
      <c r="N313" s="4" t="str">
        <f>TRIM(SUBSTITUTE(M313,"_"," "))</f>
        <v>Sneha Kapoor</v>
      </c>
      <c r="O313" s="3" t="s">
        <v>108</v>
      </c>
      <c r="P313" s="6" t="str">
        <f>PROPER(TRIM(SUBSTITUTE(O313,".","")))</f>
        <v>Corporate</v>
      </c>
      <c r="Q313" s="3" t="s">
        <v>42</v>
      </c>
      <c r="R313" s="7" t="str">
        <f>PROPER(TRIM(SUBSTITUTE(Q313,"  "," ")))</f>
        <v>East</v>
      </c>
      <c r="S313" s="3" t="s">
        <v>43</v>
      </c>
      <c r="T313" s="6" t="str">
        <f>PROPER(TRIM(SUBSTITUTE(S313,"  "," ")))</f>
        <v>Odisha</v>
      </c>
      <c r="U313" s="3" t="s">
        <v>44</v>
      </c>
      <c r="V313" s="6" t="str">
        <f>PROPER(TRIM(SUBSTITUTE(U313,"  "," ")))</f>
        <v>Bhubaneswar</v>
      </c>
      <c r="W313" s="3" t="s">
        <v>86</v>
      </c>
      <c r="X313" s="6" t="str">
        <f>PROPER(TRIM(SUBSTITUTE(W313,"  "," ")))</f>
        <v>Technology</v>
      </c>
      <c r="Y313" s="3" t="s">
        <v>94</v>
      </c>
      <c r="Z313" s="6" t="str">
        <f>PROPER(TRIM(SUBSTITUTE(Y313,"  "," ")))</f>
        <v>Copiers</v>
      </c>
      <c r="AA313" s="3" t="s">
        <v>2067</v>
      </c>
      <c r="AB313" s="3" t="s">
        <v>67</v>
      </c>
      <c r="AC313" s="6" t="str">
        <f>PROPER(TRIM(SUBSTITUTE(AB313,"  "," ")))</f>
        <v>Standard Class</v>
      </c>
      <c r="AD313" s="3">
        <v>6</v>
      </c>
      <c r="AE313" s="3">
        <v>3660.4</v>
      </c>
      <c r="AF313" s="3">
        <v>0</v>
      </c>
      <c r="AG313" s="17">
        <v>0</v>
      </c>
      <c r="AH313" s="6" t="str">
        <f t="shared" si="35"/>
        <v>Valid</v>
      </c>
      <c r="AI313" s="3">
        <v>21962.400000000001</v>
      </c>
      <c r="AJ313" s="3">
        <v>15331.99</v>
      </c>
      <c r="AK313" s="3">
        <v>6630.41</v>
      </c>
      <c r="AL313" s="3" t="s">
        <v>200</v>
      </c>
      <c r="AM313" s="6" t="str">
        <f>PROPER(TRIM(SUBSTITUTE(AL313,".","")))</f>
        <v>Failed</v>
      </c>
      <c r="AN313" s="3" t="s">
        <v>78</v>
      </c>
      <c r="AO313" s="8" t="str">
        <f>PROPER(TRIM(SUBSTITUTE(AN313,".","")))</f>
        <v>Cancelled</v>
      </c>
      <c r="AP313" t="str">
        <f>IF(COUNTIF($A$2:$A$933, A313) &gt; 1, "Duplicate ID", "Unique")</f>
        <v>Unique</v>
      </c>
      <c r="AR313">
        <f t="shared" si="36"/>
        <v>21962.400000000001</v>
      </c>
      <c r="AS313">
        <f t="shared" si="37"/>
        <v>6630.4100000000017</v>
      </c>
      <c r="AT313" s="15">
        <f t="shared" si="38"/>
        <v>0.3018982442720286</v>
      </c>
      <c r="AU313" t="str">
        <f t="shared" si="39"/>
        <v>Clean</v>
      </c>
      <c r="AV313" s="8" t="str">
        <f t="shared" si="40"/>
        <v>Cancelled</v>
      </c>
    </row>
    <row r="314" spans="1:48">
      <c r="A314" s="3" t="s">
        <v>1323</v>
      </c>
      <c r="B314" s="3" t="s">
        <v>1324</v>
      </c>
      <c r="C314" s="9">
        <f>IFERROR(DATEVALUE(TEXT(B314,"DD/MM/YYYY")), IF(ISNUMBER(B314), B314, ""))</f>
        <v>45547</v>
      </c>
      <c r="D314" s="9" t="str">
        <f>IF(B314="","Missing", IF(AND(ISNUMBER(B314)=FALSE, C314=""),"Invalid - Could Not Parse", IF(AND(ISNUMBER(B314)=FALSE, C314&lt;&gt;""),"Text - Converted to Date", IF(ISNUMBER(B314),"Valid","Check"))))</f>
        <v>Text - Converted to Date</v>
      </c>
      <c r="E314" s="5">
        <f t="shared" si="33"/>
        <v>9</v>
      </c>
      <c r="F314" s="5">
        <f t="shared" si="34"/>
        <v>2024</v>
      </c>
      <c r="G314" s="3" t="s">
        <v>1325</v>
      </c>
      <c r="H314" s="9">
        <f>IFERROR(DATEVALUE(MID(G314,4,2) &amp; "/" &amp; LEFT(G314,2) &amp; "/" &amp; RIGHT(G314,4)), IF(ISNUMBER(G314), G314, IFERROR(DATEVALUE(G314), "")))</f>
        <v>45548</v>
      </c>
      <c r="I314" s="9" t="str">
        <f>IF(G314="","Missing", IF(AND(ISNUMBER(G314)=FALSE, H314=""),"Invalid - Could Not Parse", IF(AND(ISNUMBER(G314)=FALSE, H314&lt;&gt;""),"Text - Converted to Date", IF(ISNUMBER(G314),"Valid","Check"))))</f>
        <v>Text - Converted to Date</v>
      </c>
      <c r="J314" s="9" t="str">
        <f>IF(OR(C314="", H314=""), "Cannot Check - Date Missing", IF(H314&lt;C314, "Invalid - Ship Before Order", "Valid"))</f>
        <v>Valid</v>
      </c>
      <c r="K314" s="5">
        <f>IF(OR(C314="", H314=""), "", IF(H314&lt;C314, "", H314-C314))</f>
        <v>1</v>
      </c>
      <c r="L314" s="3" t="s">
        <v>1326</v>
      </c>
      <c r="M314" s="3" t="s">
        <v>142</v>
      </c>
      <c r="N314" s="4" t="str">
        <f>TRIM(SUBSTITUTE(M314,"_"," "))</f>
        <v>Priya Menon</v>
      </c>
      <c r="O314" s="3" t="s">
        <v>41</v>
      </c>
      <c r="P314" s="6" t="str">
        <f>PROPER(TRIM(SUBSTITUTE(O314,".","")))</f>
        <v>Small Business</v>
      </c>
      <c r="Q314" s="3" t="s">
        <v>27</v>
      </c>
      <c r="R314" s="7" t="str">
        <f>PROPER(TRIM(SUBSTITUTE(Q314,"  "," ")))</f>
        <v>North</v>
      </c>
      <c r="S314" s="3" t="s">
        <v>28</v>
      </c>
      <c r="T314" s="6" t="str">
        <f>PROPER(TRIM(SUBSTITUTE(S314,"  "," ")))</f>
        <v>Rajasthan</v>
      </c>
      <c r="U314" s="3" t="s">
        <v>29</v>
      </c>
      <c r="V314" s="6" t="str">
        <f>PROPER(TRIM(SUBSTITUTE(U314,"  "," ")))</f>
        <v>Jaipur</v>
      </c>
      <c r="W314" s="3" t="s">
        <v>86</v>
      </c>
      <c r="X314" s="6" t="str">
        <f>PROPER(TRIM(SUBSTITUTE(W314,"  "," ")))</f>
        <v>Technology</v>
      </c>
      <c r="Y314" s="3" t="s">
        <v>223</v>
      </c>
      <c r="Z314" s="6" t="str">
        <f>PROPER(TRIM(SUBSTITUTE(Y314,"  "," ")))</f>
        <v>Phones</v>
      </c>
      <c r="AA314" s="3" t="s">
        <v>1327</v>
      </c>
      <c r="AB314" s="3" t="s">
        <v>48</v>
      </c>
      <c r="AC314" s="6" t="str">
        <f>PROPER(TRIM(SUBSTITUTE(AB314,"  "," ")))</f>
        <v>Same Day</v>
      </c>
      <c r="AD314" s="3">
        <v>6</v>
      </c>
      <c r="AE314" s="3">
        <v>832.79</v>
      </c>
      <c r="AF314" s="3">
        <v>0.05</v>
      </c>
      <c r="AG314" s="17">
        <v>0.05</v>
      </c>
      <c r="AH314" s="6" t="str">
        <f t="shared" si="35"/>
        <v>Valid</v>
      </c>
      <c r="AI314" s="3">
        <v>4746.8999999999996</v>
      </c>
      <c r="AJ314" s="3">
        <v>2825.38</v>
      </c>
      <c r="AK314" s="3">
        <v>1472.89</v>
      </c>
      <c r="AL314" s="3" t="s">
        <v>124</v>
      </c>
      <c r="AM314" s="6" t="str">
        <f>PROPER(TRIM(SUBSTITUTE(AL314,".","")))</f>
        <v>Refunded</v>
      </c>
      <c r="AN314" s="3" t="s">
        <v>78</v>
      </c>
      <c r="AO314" s="8" t="str">
        <f>PROPER(TRIM(SUBSTITUTE(AN314,".","")))</f>
        <v>Cancelled</v>
      </c>
      <c r="AP314" t="str">
        <f>IF(COUNTIF($A$2:$A$933, A314) &gt; 1, "Duplicate ID", "Unique")</f>
        <v>Unique</v>
      </c>
      <c r="AR314">
        <f t="shared" si="36"/>
        <v>4746.9029999999993</v>
      </c>
      <c r="AS314">
        <f t="shared" si="37"/>
        <v>1921.5229999999992</v>
      </c>
      <c r="AT314" s="15">
        <f t="shared" si="38"/>
        <v>0.40479508428969363</v>
      </c>
      <c r="AU314" t="str">
        <f t="shared" si="39"/>
        <v>Clean</v>
      </c>
      <c r="AV314" s="8" t="str">
        <f t="shared" si="40"/>
        <v>Refund</v>
      </c>
    </row>
    <row r="315" spans="1:48">
      <c r="A315" s="3" t="s">
        <v>1692</v>
      </c>
      <c r="B315" s="3" t="s">
        <v>1693</v>
      </c>
      <c r="C315" s="9">
        <f>IFERROR(DATEVALUE(TEXT(B315,"DD/MM/YYYY")), IF(ISNUMBER(B315), B315, ""))</f>
        <v>45547</v>
      </c>
      <c r="D315" s="9" t="str">
        <f>IF(B315="","Missing", IF(AND(ISNUMBER(B315)=FALSE, C315=""),"Invalid - Could Not Parse", IF(AND(ISNUMBER(B315)=FALSE, C315&lt;&gt;""),"Text - Converted to Date", IF(ISNUMBER(B315),"Valid","Check"))))</f>
        <v>Text - Converted to Date</v>
      </c>
      <c r="E315" s="5">
        <f t="shared" si="33"/>
        <v>9</v>
      </c>
      <c r="F315" s="5">
        <f t="shared" si="34"/>
        <v>2024</v>
      </c>
      <c r="G315" s="3" t="s">
        <v>1694</v>
      </c>
      <c r="H315" s="9">
        <f>IFERROR(DATEVALUE(TEXT(G315,"DD/MM/YYYY")), IF(ISNUMBER(G315), G315, ""))</f>
        <v>45552</v>
      </c>
      <c r="I315" s="9" t="str">
        <f>IF(G315="","Missing", IF(AND(ISNUMBER(G315)=FALSE, H315=""),"Invalid - Could Not Parse", IF(AND(ISNUMBER(G315)=FALSE, H315&lt;&gt;""),"Text - Converted to Date", IF(ISNUMBER(G315),"Valid","Check"))))</f>
        <v>Text - Converted to Date</v>
      </c>
      <c r="J315" s="9" t="str">
        <f>IF(OR(C315="", H315=""), "Cannot Check - Date Missing", IF(H315&lt;C315, "Invalid - Ship Before Order", "Valid"))</f>
        <v>Valid</v>
      </c>
      <c r="K315" s="5">
        <f>IF(OR(C315="", H315=""), "", IF(H315&lt;C315, "", H315-C315))</f>
        <v>5</v>
      </c>
      <c r="L315" s="3" t="s">
        <v>1695</v>
      </c>
      <c r="M315" s="3" t="s">
        <v>72</v>
      </c>
      <c r="N315" s="4" t="str">
        <f>TRIM(SUBSTITUTE(M315,"_"," "))</f>
        <v>Ananya Rao</v>
      </c>
      <c r="O315" s="3" t="s">
        <v>26</v>
      </c>
      <c r="P315" s="6" t="str">
        <f>PROPER(TRIM(SUBSTITUTE(O315,".","")))</f>
        <v>Consumer</v>
      </c>
      <c r="Q315" s="3" t="s">
        <v>42</v>
      </c>
      <c r="R315" s="7" t="str">
        <f>PROPER(TRIM(SUBSTITUTE(Q315,"  "," ")))</f>
        <v>East</v>
      </c>
      <c r="S315" s="3" t="s">
        <v>311</v>
      </c>
      <c r="T315" s="6" t="str">
        <f>PROPER(TRIM(SUBSTITUTE(S315,"  "," ")))</f>
        <v>Jharkhand</v>
      </c>
      <c r="U315" s="3" t="s">
        <v>312</v>
      </c>
      <c r="V315" s="6" t="str">
        <f>PROPER(TRIM(SUBSTITUTE(U315,"  "," ")))</f>
        <v>Ranchi</v>
      </c>
      <c r="W315" s="3" t="s">
        <v>30</v>
      </c>
      <c r="X315" s="6" t="str">
        <f>PROPER(TRIM(SUBSTITUTE(W315,"  "," ")))</f>
        <v>Office Supplies</v>
      </c>
      <c r="Y315" s="3" t="s">
        <v>156</v>
      </c>
      <c r="Z315" s="6" t="str">
        <f>PROPER(TRIM(SUBSTITUTE(Y315,"  "," ")))</f>
        <v>Storage</v>
      </c>
      <c r="AA315" s="3" t="s">
        <v>1696</v>
      </c>
      <c r="AB315" s="3" t="s">
        <v>56</v>
      </c>
      <c r="AC315" s="6" t="str">
        <f>PROPER(TRIM(SUBSTITUTE(AB315,"  "," ")))</f>
        <v>First Class</v>
      </c>
      <c r="AD315" s="3">
        <v>9</v>
      </c>
      <c r="AE315" s="3">
        <v>1921.47</v>
      </c>
      <c r="AF315" s="3">
        <v>0.25</v>
      </c>
      <c r="AG315" s="17">
        <v>0.25</v>
      </c>
      <c r="AH315" s="6" t="str">
        <f t="shared" si="35"/>
        <v>Valid</v>
      </c>
      <c r="AI315" s="3">
        <v>12969.92</v>
      </c>
      <c r="AJ315" s="3">
        <v>9398.4599999999991</v>
      </c>
      <c r="AK315" s="3">
        <v>3571.46</v>
      </c>
      <c r="AL315" s="3" t="s">
        <v>34</v>
      </c>
      <c r="AM315" s="6" t="str">
        <f>PROPER(TRIM(SUBSTITUTE(AL315,".","")))</f>
        <v>Paid</v>
      </c>
      <c r="AN315" s="3" t="s">
        <v>35</v>
      </c>
      <c r="AO315" s="8" t="str">
        <f>PROPER(TRIM(SUBSTITUTE(AN315,".","")))</f>
        <v>Completed</v>
      </c>
      <c r="AP315" t="str">
        <f>IF(COUNTIF($A$2:$A$933, A315) &gt; 1, "Duplicate ID", "Unique")</f>
        <v>Unique</v>
      </c>
      <c r="AR315">
        <f t="shared" si="36"/>
        <v>12969.922500000001</v>
      </c>
      <c r="AS315">
        <f t="shared" si="37"/>
        <v>3571.4625000000015</v>
      </c>
      <c r="AT315" s="15">
        <f t="shared" si="38"/>
        <v>0.27536498386941027</v>
      </c>
      <c r="AU315" t="str">
        <f t="shared" si="39"/>
        <v>Clean</v>
      </c>
      <c r="AV315" s="8" t="str">
        <f t="shared" si="40"/>
        <v>Active</v>
      </c>
    </row>
    <row r="316" spans="1:48">
      <c r="A316" s="3" t="s">
        <v>3631</v>
      </c>
      <c r="B316" s="3" t="s">
        <v>1324</v>
      </c>
      <c r="C316" s="9">
        <f>IFERROR(DATEVALUE(TEXT(B316,"DD/MM/YYYY")), IF(ISNUMBER(B316), B316, ""))</f>
        <v>45547</v>
      </c>
      <c r="D316" s="9" t="str">
        <f>IF(B316="","Missing", IF(AND(ISNUMBER(B316)=FALSE, C316=""),"Invalid - Could Not Parse", IF(AND(ISNUMBER(B316)=FALSE, C316&lt;&gt;""),"Text - Converted to Date", IF(ISNUMBER(B316),"Valid","Check"))))</f>
        <v>Text - Converted to Date</v>
      </c>
      <c r="E316" s="5">
        <f t="shared" si="33"/>
        <v>9</v>
      </c>
      <c r="F316" s="5">
        <f t="shared" si="34"/>
        <v>2024</v>
      </c>
      <c r="G316" s="3" t="s">
        <v>3632</v>
      </c>
      <c r="H316" s="9">
        <f>IFERROR(DATEVALUE(TEXT(G316,"DD/MM/YYYY")), IF(ISNUMBER(G316), G316, ""))</f>
        <v>45553</v>
      </c>
      <c r="I316" s="9" t="str">
        <f>IF(G316="","Missing", IF(AND(ISNUMBER(G316)=FALSE, H316=""),"Invalid - Could Not Parse", IF(AND(ISNUMBER(G316)=FALSE, H316&lt;&gt;""),"Text - Converted to Date", IF(ISNUMBER(G316),"Valid","Check"))))</f>
        <v>Text - Converted to Date</v>
      </c>
      <c r="J316" s="9" t="str">
        <f>IF(OR(C316="", H316=""), "Cannot Check - Date Missing", IF(H316&lt;C316, "Invalid - Ship Before Order", "Valid"))</f>
        <v>Valid</v>
      </c>
      <c r="K316" s="5">
        <f>IF(OR(C316="", H316=""), "", IF(H316&lt;C316, "", H316-C316))</f>
        <v>6</v>
      </c>
      <c r="L316" s="3" t="s">
        <v>3633</v>
      </c>
      <c r="M316" s="3" t="s">
        <v>72</v>
      </c>
      <c r="N316" s="4" t="str">
        <f>TRIM(SUBSTITUTE(M316,"_"," "))</f>
        <v>Ananya Rao</v>
      </c>
      <c r="O316" s="3" t="s">
        <v>115</v>
      </c>
      <c r="P316" s="6" t="str">
        <f>PROPER(TRIM(SUBSTITUTE(O316,".","")))</f>
        <v>Home Office</v>
      </c>
      <c r="Q316" s="3" t="s">
        <v>42</v>
      </c>
      <c r="R316" s="7" t="str">
        <f>PROPER(TRIM(SUBSTITUTE(Q316,"  "," ")))</f>
        <v>East</v>
      </c>
      <c r="S316" s="3" t="s">
        <v>186</v>
      </c>
      <c r="T316" s="6" t="str">
        <f>PROPER(TRIM(SUBSTITUTE(S316,"  "," ")))</f>
        <v>Bihar</v>
      </c>
      <c r="U316" s="3" t="s">
        <v>187</v>
      </c>
      <c r="V316" s="6" t="str">
        <f>PROPER(TRIM(SUBSTITUTE(U316,"  "," ")))</f>
        <v>Patna</v>
      </c>
      <c r="W316" s="3" t="s">
        <v>30</v>
      </c>
      <c r="X316" s="6" t="str">
        <f>PROPER(TRIM(SUBSTITUTE(W316,"  "," ")))</f>
        <v>Office Supplies</v>
      </c>
      <c r="Y316" s="3" t="s">
        <v>31</v>
      </c>
      <c r="Z316" s="6" t="str">
        <f>PROPER(TRIM(SUBSTITUTE(Y316,"  "," ")))</f>
        <v>Paper</v>
      </c>
      <c r="AA316" s="3" t="s">
        <v>3634</v>
      </c>
      <c r="AB316" s="3" t="s">
        <v>33</v>
      </c>
      <c r="AC316" s="6" t="str">
        <f>PROPER(TRIM(SUBSTITUTE(AB316,"  "," ")))</f>
        <v>Second Class</v>
      </c>
      <c r="AD316" s="3">
        <v>2</v>
      </c>
      <c r="AE316" s="3">
        <v>3718.77</v>
      </c>
      <c r="AF316" s="3">
        <v>0.05</v>
      </c>
      <c r="AG316" s="17">
        <v>0.05</v>
      </c>
      <c r="AH316" s="6" t="str">
        <f t="shared" si="35"/>
        <v>Valid</v>
      </c>
      <c r="AI316" s="3">
        <v>7065.66</v>
      </c>
      <c r="AJ316" s="3">
        <v>4915.2700000000004</v>
      </c>
      <c r="AK316" s="3">
        <v>2150.39</v>
      </c>
      <c r="AL316" s="3" t="s">
        <v>34</v>
      </c>
      <c r="AM316" s="6" t="str">
        <f>PROPER(TRIM(SUBSTITUTE(AL316,".","")))</f>
        <v>Paid</v>
      </c>
      <c r="AN316" s="3" t="s">
        <v>35</v>
      </c>
      <c r="AO316" s="8" t="str">
        <f>PROPER(TRIM(SUBSTITUTE(AN316,".","")))</f>
        <v>Completed</v>
      </c>
      <c r="AP316" t="str">
        <f>IF(COUNTIF($A$2:$A$933, A316) &gt; 1, "Duplicate ID", "Unique")</f>
        <v>Unique</v>
      </c>
      <c r="AR316">
        <f t="shared" si="36"/>
        <v>7065.6629999999996</v>
      </c>
      <c r="AS316">
        <f t="shared" si="37"/>
        <v>2150.3929999999991</v>
      </c>
      <c r="AT316" s="15">
        <f t="shared" si="38"/>
        <v>0.30434412170521002</v>
      </c>
      <c r="AU316" t="str">
        <f t="shared" si="39"/>
        <v>Clean</v>
      </c>
      <c r="AV316" s="8" t="str">
        <f t="shared" si="40"/>
        <v>Active</v>
      </c>
    </row>
    <row r="317" spans="1:48">
      <c r="A317" s="3" t="s">
        <v>1740</v>
      </c>
      <c r="B317" s="3" t="s">
        <v>1741</v>
      </c>
      <c r="C317" s="9">
        <f>IFERROR(DATEVALUE(TEXT(B317,"DD/MM/YYYY")), IF(ISNUMBER(B317), B317, ""))</f>
        <v>45549</v>
      </c>
      <c r="D317" s="9" t="str">
        <f>IF(B317="","Missing", IF(AND(ISNUMBER(B317)=FALSE, C317=""),"Invalid - Could Not Parse", IF(AND(ISNUMBER(B317)=FALSE, C317&lt;&gt;""),"Text - Converted to Date", IF(ISNUMBER(B317),"Valid","Check"))))</f>
        <v>Text - Converted to Date</v>
      </c>
      <c r="E317" s="5">
        <f t="shared" si="33"/>
        <v>9</v>
      </c>
      <c r="F317" s="5">
        <f t="shared" si="34"/>
        <v>2024</v>
      </c>
      <c r="G317" s="3" t="s">
        <v>1742</v>
      </c>
      <c r="H317" s="9">
        <f>IFERROR(DATEVALUE(TEXT(G317,"DD/MM/YYYY")), IF(ISNUMBER(G317), G317, ""))</f>
        <v>45557</v>
      </c>
      <c r="I317" s="9" t="str">
        <f>IF(G317="","Missing", IF(AND(ISNUMBER(G317)=FALSE, H317=""),"Invalid - Could Not Parse", IF(AND(ISNUMBER(G317)=FALSE, H317&lt;&gt;""),"Text - Converted to Date", IF(ISNUMBER(G317),"Valid","Check"))))</f>
        <v>Text - Converted to Date</v>
      </c>
      <c r="J317" s="9" t="str">
        <f>IF(OR(C317="", H317=""), "Cannot Check - Date Missing", IF(H317&lt;C317, "Invalid - Ship Before Order", "Valid"))</f>
        <v>Valid</v>
      </c>
      <c r="K317" s="5">
        <f>IF(OR(C317="", H317=""), "", IF(H317&lt;C317, "", H317-C317))</f>
        <v>8</v>
      </c>
      <c r="L317" s="3" t="s">
        <v>1743</v>
      </c>
      <c r="M317" s="3" t="s">
        <v>25</v>
      </c>
      <c r="N317" s="4" t="str">
        <f>TRIM(SUBSTITUTE(M317,"_"," "))</f>
        <v>Karan Malhotra</v>
      </c>
      <c r="O317" s="3" t="s">
        <v>26</v>
      </c>
      <c r="P317" s="6" t="str">
        <f>PROPER(TRIM(SUBSTITUTE(O317,".","")))</f>
        <v>Consumer</v>
      </c>
      <c r="Q317" s="3" t="s">
        <v>73</v>
      </c>
      <c r="R317" s="7" t="str">
        <f>PROPER(TRIM(SUBSTITUTE(Q317,"  "," ")))</f>
        <v>West</v>
      </c>
      <c r="S317" s="3" t="s">
        <v>84</v>
      </c>
      <c r="T317" s="6" t="str">
        <f>PROPER(TRIM(SUBSTITUTE(S317,"  "," ")))</f>
        <v>Madhya Pradesh</v>
      </c>
      <c r="U317" s="3" t="s">
        <v>85</v>
      </c>
      <c r="V317" s="6" t="str">
        <f>PROPER(TRIM(SUBSTITUTE(U317,"  "," ")))</f>
        <v>Indore</v>
      </c>
      <c r="W317" s="3" t="s">
        <v>45</v>
      </c>
      <c r="X317" s="6" t="str">
        <f>PROPER(TRIM(SUBSTITUTE(W317,"  "," ")))</f>
        <v>Furniture</v>
      </c>
      <c r="Y317" s="3" t="s">
        <v>65</v>
      </c>
      <c r="Z317" s="6" t="str">
        <f>PROPER(TRIM(SUBSTITUTE(Y317,"  "," ")))</f>
        <v>Furnishings</v>
      </c>
      <c r="AA317" s="3" t="s">
        <v>1744</v>
      </c>
      <c r="AB317" s="3" t="s">
        <v>33</v>
      </c>
      <c r="AC317" s="6" t="str">
        <f>PROPER(TRIM(SUBSTITUTE(AB317,"  "," ")))</f>
        <v>Second Class</v>
      </c>
      <c r="AD317" s="3">
        <v>2</v>
      </c>
      <c r="AE317" s="3">
        <v>2765.3</v>
      </c>
      <c r="AF317" s="3">
        <v>0</v>
      </c>
      <c r="AG317" s="17">
        <v>0</v>
      </c>
      <c r="AH317" s="6" t="str">
        <f t="shared" si="35"/>
        <v>Valid</v>
      </c>
      <c r="AI317" s="3">
        <v>5530.6</v>
      </c>
      <c r="AJ317" s="3">
        <v>4453.1099999999997</v>
      </c>
      <c r="AK317" s="3">
        <v>1077.49</v>
      </c>
      <c r="AL317" s="3" t="s">
        <v>34</v>
      </c>
      <c r="AM317" s="6" t="str">
        <f>PROPER(TRIM(SUBSTITUTE(AL317,".","")))</f>
        <v>Paid</v>
      </c>
      <c r="AN317" s="3" t="s">
        <v>35</v>
      </c>
      <c r="AO317" s="8" t="str">
        <f>PROPER(TRIM(SUBSTITUTE(AN317,".","")))</f>
        <v>Completed</v>
      </c>
      <c r="AP317" t="str">
        <f>IF(COUNTIF($A$2:$A$933, A317) &gt; 1, "Duplicate ID", "Unique")</f>
        <v>Unique</v>
      </c>
      <c r="AR317">
        <f t="shared" si="36"/>
        <v>5530.6</v>
      </c>
      <c r="AS317">
        <f t="shared" si="37"/>
        <v>1077.4900000000007</v>
      </c>
      <c r="AT317" s="15">
        <f t="shared" si="38"/>
        <v>0.19482334647235391</v>
      </c>
      <c r="AU317" t="str">
        <f t="shared" si="39"/>
        <v>Clean</v>
      </c>
      <c r="AV317" s="8" t="str">
        <f t="shared" si="40"/>
        <v>Active</v>
      </c>
    </row>
    <row r="318" spans="1:48">
      <c r="A318" s="3" t="s">
        <v>3272</v>
      </c>
      <c r="B318" s="3" t="s">
        <v>3273</v>
      </c>
      <c r="C318" s="9">
        <f>IFERROR(DATEVALUE(TEXT(B318,"DD/MM/YYYY")), IF(ISNUMBER(B318), B318, ""))</f>
        <v>45549</v>
      </c>
      <c r="D318" s="9" t="str">
        <f>IF(B318="","Missing", IF(AND(ISNUMBER(B318)=FALSE, C318=""),"Invalid - Could Not Parse", IF(AND(ISNUMBER(B318)=FALSE, C318&lt;&gt;""),"Text - Converted to Date", IF(ISNUMBER(B318),"Valid","Check"))))</f>
        <v>Text - Converted to Date</v>
      </c>
      <c r="E318" s="5">
        <f t="shared" si="33"/>
        <v>9</v>
      </c>
      <c r="F318" s="5">
        <f t="shared" si="34"/>
        <v>2024</v>
      </c>
      <c r="G318" s="3" t="s">
        <v>1741</v>
      </c>
      <c r="H318" s="9">
        <f>IFERROR(DATEVALUE(TEXT(G318,"DD/MM/YYYY")), IF(ISNUMBER(G318), G318, ""))</f>
        <v>45549</v>
      </c>
      <c r="I318" s="9" t="str">
        <f>IF(G318="","Missing", IF(AND(ISNUMBER(G318)=FALSE, H318=""),"Invalid - Could Not Parse", IF(AND(ISNUMBER(G318)=FALSE, H318&lt;&gt;""),"Text - Converted to Date", IF(ISNUMBER(G318),"Valid","Check"))))</f>
        <v>Text - Converted to Date</v>
      </c>
      <c r="J318" s="9" t="str">
        <f>IF(OR(C318="", H318=""), "Cannot Check - Date Missing", IF(H318&lt;C318, "Invalid - Ship Before Order", "Valid"))</f>
        <v>Valid</v>
      </c>
      <c r="K318" s="5">
        <f>IF(OR(C318="", H318=""), "", IF(H318&lt;C318, "", H318-C318))</f>
        <v>0</v>
      </c>
      <c r="L318" s="3" t="s">
        <v>3274</v>
      </c>
      <c r="M318" s="3" t="s">
        <v>40</v>
      </c>
      <c r="N318" s="4" t="str">
        <f>TRIM(SUBSTITUTE(M318,"_"," "))</f>
        <v>Mira Das</v>
      </c>
      <c r="O318" s="3" t="s">
        <v>108</v>
      </c>
      <c r="P318" s="6" t="str">
        <f>PROPER(TRIM(SUBSTITUTE(O318,".","")))</f>
        <v>Corporate</v>
      </c>
      <c r="Q318" s="3" t="s">
        <v>27</v>
      </c>
      <c r="R318" s="7" t="str">
        <f>PROPER(TRIM(SUBSTITUTE(Q318,"  "," ")))</f>
        <v>North</v>
      </c>
      <c r="S318" s="3" t="s">
        <v>28</v>
      </c>
      <c r="T318" s="6" t="str">
        <f>PROPER(TRIM(SUBSTITUTE(S318,"  "," ")))</f>
        <v>Rajasthan</v>
      </c>
      <c r="U318" s="3" t="s">
        <v>29</v>
      </c>
      <c r="V318" s="6" t="str">
        <f>PROPER(TRIM(SUBSTITUTE(U318,"  "," ")))</f>
        <v>Jaipur</v>
      </c>
      <c r="W318" s="3" t="s">
        <v>86</v>
      </c>
      <c r="X318" s="6" t="str">
        <f>PROPER(TRIM(SUBSTITUTE(W318,"  "," ")))</f>
        <v>Technology</v>
      </c>
      <c r="Y318" s="3" t="s">
        <v>382</v>
      </c>
      <c r="Z318" s="6" t="str">
        <f>PROPER(TRIM(SUBSTITUTE(Y318,"  "," ")))</f>
        <v>Machines</v>
      </c>
      <c r="AA318" s="3" t="s">
        <v>3275</v>
      </c>
      <c r="AB318" s="3" t="s">
        <v>67</v>
      </c>
      <c r="AC318" s="6" t="str">
        <f>PROPER(TRIM(SUBSTITUTE(AB318,"  "," ")))</f>
        <v>Standard Class</v>
      </c>
      <c r="AD318" s="3">
        <v>8</v>
      </c>
      <c r="AE318" s="3">
        <v>4081.66</v>
      </c>
      <c r="AF318" s="3">
        <v>0.15</v>
      </c>
      <c r="AG318" s="17">
        <v>0.15</v>
      </c>
      <c r="AH318" s="6" t="str">
        <f t="shared" si="35"/>
        <v>Valid</v>
      </c>
      <c r="AI318" s="3">
        <v>28208.1</v>
      </c>
      <c r="AJ318" s="3">
        <v>23751.91</v>
      </c>
      <c r="AK318" s="3">
        <v>4003.38</v>
      </c>
      <c r="AL318" s="3" t="s">
        <v>34</v>
      </c>
      <c r="AM318" s="6" t="str">
        <f>PROPER(TRIM(SUBSTITUTE(AL318,".","")))</f>
        <v>Paid</v>
      </c>
      <c r="AN318" s="3" t="s">
        <v>125</v>
      </c>
      <c r="AO318" s="8" t="str">
        <f>PROPER(TRIM(SUBSTITUTE(AN318,".","")))</f>
        <v>Returned</v>
      </c>
      <c r="AP318" t="str">
        <f>IF(COUNTIF($A$2:$A$933, A318) &gt; 1, "Duplicate ID", "Unique")</f>
        <v>Unique</v>
      </c>
      <c r="AR318">
        <f t="shared" si="36"/>
        <v>27755.287999999997</v>
      </c>
      <c r="AS318">
        <f t="shared" si="37"/>
        <v>4003.377999999997</v>
      </c>
      <c r="AT318" s="15">
        <f t="shared" si="38"/>
        <v>0.14423838801456493</v>
      </c>
      <c r="AU318" t="str">
        <f t="shared" si="39"/>
        <v>Clean</v>
      </c>
      <c r="AV318" s="8" t="str">
        <f t="shared" si="40"/>
        <v>Active</v>
      </c>
    </row>
    <row r="319" spans="1:48">
      <c r="A319" s="3" t="s">
        <v>2387</v>
      </c>
      <c r="B319" s="3" t="s">
        <v>2388</v>
      </c>
      <c r="C319" s="9">
        <f>IFERROR(DATEVALUE(TEXT(B319,"DD/MM/YYYY")), IF(ISNUMBER(B319), B319, ""))</f>
        <v>45551</v>
      </c>
      <c r="D319" s="9" t="str">
        <f>IF(B319="","Missing", IF(AND(ISNUMBER(B319)=FALSE, C319=""),"Invalid - Could Not Parse", IF(AND(ISNUMBER(B319)=FALSE, C319&lt;&gt;""),"Text - Converted to Date", IF(ISNUMBER(B319),"Valid","Check"))))</f>
        <v>Text - Converted to Date</v>
      </c>
      <c r="E319" s="5">
        <f t="shared" si="33"/>
        <v>9</v>
      </c>
      <c r="F319" s="5">
        <f t="shared" si="34"/>
        <v>2024</v>
      </c>
      <c r="G319" s="3" t="s">
        <v>1889</v>
      </c>
      <c r="H319" s="9">
        <f>IFERROR(DATEVALUE(MID(G319,4,2) &amp; "/" &amp; LEFT(G319,2) &amp; "/" &amp; RIGHT(G319,4)), IF(ISNUMBER(G319), G319, IFERROR(DATEVALUE(G319), "")))</f>
        <v>45554</v>
      </c>
      <c r="I319" s="9" t="str">
        <f>IF(G319="","Missing", IF(AND(ISNUMBER(G319)=FALSE, H319=""),"Invalid - Could Not Parse", IF(AND(ISNUMBER(G319)=FALSE, H319&lt;&gt;""),"Text - Converted to Date", IF(ISNUMBER(G319),"Valid","Check"))))</f>
        <v>Text - Converted to Date</v>
      </c>
      <c r="J319" s="9" t="str">
        <f>IF(OR(C319="", H319=""), "Cannot Check - Date Missing", IF(H319&lt;C319, "Invalid - Ship Before Order", "Valid"))</f>
        <v>Valid</v>
      </c>
      <c r="K319" s="5">
        <f>IF(OR(C319="", H319=""), "", IF(H319&lt;C319, "", H319-C319))</f>
        <v>3</v>
      </c>
      <c r="L319" s="3" t="s">
        <v>2389</v>
      </c>
      <c r="M319" s="3" t="s">
        <v>107</v>
      </c>
      <c r="N319" s="4" t="str">
        <f>TRIM(SUBSTITUTE(M319,"_"," "))</f>
        <v>Aditi Sen</v>
      </c>
      <c r="O319" s="3" t="s">
        <v>26</v>
      </c>
      <c r="P319" s="6" t="str">
        <f>PROPER(TRIM(SUBSTITUTE(O319,".","")))</f>
        <v>Consumer</v>
      </c>
      <c r="Q319" s="3" t="s">
        <v>73</v>
      </c>
      <c r="R319" s="7" t="str">
        <f>PROPER(TRIM(SUBSTITUTE(Q319,"  "," ")))</f>
        <v>West</v>
      </c>
      <c r="S319" s="3" t="s">
        <v>28</v>
      </c>
      <c r="T319" s="6" t="str">
        <f>PROPER(TRIM(SUBSTITUTE(S319,"  "," ")))</f>
        <v>Rajasthan</v>
      </c>
      <c r="U319" s="3" t="s">
        <v>135</v>
      </c>
      <c r="V319" s="6" t="str">
        <f>PROPER(TRIM(SUBSTITUTE(U319,"  "," ")))</f>
        <v>Udaipur</v>
      </c>
      <c r="W319" s="3" t="s">
        <v>30</v>
      </c>
      <c r="X319" s="6" t="str">
        <f>PROPER(TRIM(SUBSTITUTE(W319,"  "," ")))</f>
        <v>Office Supplies</v>
      </c>
      <c r="Y319" s="3" t="s">
        <v>198</v>
      </c>
      <c r="Z319" s="6" t="str">
        <f>PROPER(TRIM(SUBSTITUTE(Y319,"  "," ")))</f>
        <v>Binders</v>
      </c>
      <c r="AA319" s="3" t="s">
        <v>2390</v>
      </c>
      <c r="AB319" s="3" t="s">
        <v>56</v>
      </c>
      <c r="AC319" s="6" t="str">
        <f>PROPER(TRIM(SUBSTITUTE(AB319,"  "," ")))</f>
        <v>First Class</v>
      </c>
      <c r="AD319" s="3">
        <v>7</v>
      </c>
      <c r="AE319" s="3">
        <v>406.42</v>
      </c>
      <c r="AF319" s="3">
        <v>0.15</v>
      </c>
      <c r="AG319" s="17">
        <v>0.15</v>
      </c>
      <c r="AH319" s="6" t="str">
        <f t="shared" si="35"/>
        <v>Valid</v>
      </c>
      <c r="AI319" s="3">
        <v>2418.1999999999998</v>
      </c>
      <c r="AJ319" s="3">
        <v>1613.82</v>
      </c>
      <c r="AK319" s="3">
        <v>804.38</v>
      </c>
      <c r="AL319" s="3" t="s">
        <v>34</v>
      </c>
      <c r="AM319" s="6" t="str">
        <f>PROPER(TRIM(SUBSTITUTE(AL319,".","")))</f>
        <v>Paid</v>
      </c>
      <c r="AN319" s="3" t="s">
        <v>35</v>
      </c>
      <c r="AO319" s="8" t="str">
        <f>PROPER(TRIM(SUBSTITUTE(AN319,".","")))</f>
        <v>Completed</v>
      </c>
      <c r="AP319" t="str">
        <f>IF(COUNTIF($A$2:$A$933, A319) &gt; 1, "Duplicate ID", "Unique")</f>
        <v>Unique</v>
      </c>
      <c r="AR319">
        <f t="shared" si="36"/>
        <v>2418.1990000000001</v>
      </c>
      <c r="AS319">
        <f t="shared" si="37"/>
        <v>804.37900000000013</v>
      </c>
      <c r="AT319" s="15">
        <f t="shared" si="38"/>
        <v>0.33263556886757462</v>
      </c>
      <c r="AU319" t="str">
        <f t="shared" si="39"/>
        <v>Clean</v>
      </c>
      <c r="AV319" s="8" t="str">
        <f t="shared" si="40"/>
        <v>Active</v>
      </c>
    </row>
    <row r="320" spans="1:48">
      <c r="A320" s="3" t="s">
        <v>3547</v>
      </c>
      <c r="B320" s="3" t="s">
        <v>3548</v>
      </c>
      <c r="C320" s="9">
        <f>IFERROR(DATEVALUE(TEXT(B320,"DD/MM/YYYY")), IF(ISNUMBER(B320), B320, ""))</f>
        <v>45552</v>
      </c>
      <c r="D320" s="9" t="str">
        <f>IF(B320="","Missing", IF(AND(ISNUMBER(B320)=FALSE, C320=""),"Invalid - Could Not Parse", IF(AND(ISNUMBER(B320)=FALSE, C320&lt;&gt;""),"Text - Converted to Date", IF(ISNUMBER(B320),"Valid","Check"))))</f>
        <v>Text - Converted to Date</v>
      </c>
      <c r="E320" s="5">
        <f t="shared" si="33"/>
        <v>9</v>
      </c>
      <c r="F320" s="5">
        <f t="shared" si="34"/>
        <v>2024</v>
      </c>
      <c r="G320" s="3" t="s">
        <v>2009</v>
      </c>
      <c r="H320" s="9">
        <f>IFERROR(DATEVALUE(TEXT(G320,"DD/MM/YYYY")), IF(ISNUMBER(G320), G320, ""))</f>
        <v>45559</v>
      </c>
      <c r="I320" s="9" t="str">
        <f>IF(G320="","Missing", IF(AND(ISNUMBER(G320)=FALSE, H320=""),"Invalid - Could Not Parse", IF(AND(ISNUMBER(G320)=FALSE, H320&lt;&gt;""),"Text - Converted to Date", IF(ISNUMBER(G320),"Valid","Check"))))</f>
        <v>Text - Converted to Date</v>
      </c>
      <c r="J320" s="9" t="str">
        <f>IF(OR(C320="", H320=""), "Cannot Check - Date Missing", IF(H320&lt;C320, "Invalid - Ship Before Order", "Valid"))</f>
        <v>Valid</v>
      </c>
      <c r="K320" s="5">
        <f>IF(OR(C320="", H320=""), "", IF(H320&lt;C320, "", H320-C320))</f>
        <v>7</v>
      </c>
      <c r="L320" s="3" t="s">
        <v>3549</v>
      </c>
      <c r="M320" s="3" t="s">
        <v>40</v>
      </c>
      <c r="N320" s="4" t="str">
        <f>TRIM(SUBSTITUTE(M320,"_"," "))</f>
        <v>Mira Das</v>
      </c>
      <c r="O320" s="3" t="s">
        <v>108</v>
      </c>
      <c r="P320" s="6" t="str">
        <f>PROPER(TRIM(SUBSTITUTE(O320,".","")))</f>
        <v>Corporate</v>
      </c>
      <c r="Q320" s="3" t="s">
        <v>73</v>
      </c>
      <c r="R320" s="7" t="str">
        <f>PROPER(TRIM(SUBSTITUTE(Q320,"  "," ")))</f>
        <v>West</v>
      </c>
      <c r="S320" s="3" t="s">
        <v>235</v>
      </c>
      <c r="T320" s="6" t="str">
        <f>PROPER(TRIM(SUBSTITUTE(S320,"  "," ")))</f>
        <v>Gujarat</v>
      </c>
      <c r="U320" s="3" t="s">
        <v>236</v>
      </c>
      <c r="V320" s="6" t="str">
        <f>PROPER(TRIM(SUBSTITUTE(U320,"  "," ")))</f>
        <v>Ahmedabad</v>
      </c>
      <c r="W320" s="3" t="s">
        <v>30</v>
      </c>
      <c r="X320" s="6" t="str">
        <f>PROPER(TRIM(SUBSTITUTE(W320,"  "," ")))</f>
        <v>Office Supplies</v>
      </c>
      <c r="Y320" s="3" t="s">
        <v>54</v>
      </c>
      <c r="Z320" s="6" t="str">
        <f>PROPER(TRIM(SUBSTITUTE(Y320,"  "," ")))</f>
        <v>Art</v>
      </c>
      <c r="AA320" s="3" t="s">
        <v>3550</v>
      </c>
      <c r="AB320" s="3" t="s">
        <v>33</v>
      </c>
      <c r="AC320" s="6" t="str">
        <f>PROPER(TRIM(SUBSTITUTE(AB320,"  "," ")))</f>
        <v>Second Class</v>
      </c>
      <c r="AD320" s="3">
        <v>9</v>
      </c>
      <c r="AE320" s="3">
        <v>2307.96</v>
      </c>
      <c r="AF320" s="3">
        <v>0.2</v>
      </c>
      <c r="AG320" s="17">
        <v>0.2</v>
      </c>
      <c r="AH320" s="6" t="str">
        <f t="shared" si="35"/>
        <v>Valid</v>
      </c>
      <c r="AI320" s="3">
        <v>16617.310000000001</v>
      </c>
      <c r="AJ320" s="3">
        <v>9195.73</v>
      </c>
      <c r="AK320" s="3">
        <v>7421.58</v>
      </c>
      <c r="AL320" s="3" t="s">
        <v>34</v>
      </c>
      <c r="AM320" s="6" t="str">
        <f>PROPER(TRIM(SUBSTITUTE(AL320,".","")))</f>
        <v>Paid</v>
      </c>
      <c r="AN320" s="3" t="s">
        <v>78</v>
      </c>
      <c r="AO320" s="8" t="str">
        <f>PROPER(TRIM(SUBSTITUTE(AN320,".","")))</f>
        <v>Cancelled</v>
      </c>
      <c r="AP320" t="str">
        <f>IF(COUNTIF($A$2:$A$933, A320) &gt; 1, "Duplicate ID", "Unique")</f>
        <v>Unique</v>
      </c>
      <c r="AR320">
        <f t="shared" si="36"/>
        <v>16617.312000000002</v>
      </c>
      <c r="AS320">
        <f t="shared" si="37"/>
        <v>7421.5820000000022</v>
      </c>
      <c r="AT320" s="15">
        <f t="shared" si="38"/>
        <v>0.44661747940942564</v>
      </c>
      <c r="AU320" t="str">
        <f t="shared" si="39"/>
        <v>Clean</v>
      </c>
      <c r="AV320" s="8" t="str">
        <f t="shared" si="40"/>
        <v>Cancelled</v>
      </c>
    </row>
    <row r="321" spans="1:48">
      <c r="A321" s="3" t="s">
        <v>3281</v>
      </c>
      <c r="B321" s="3" t="s">
        <v>3282</v>
      </c>
      <c r="C321" s="9">
        <f>IFERROR(DATEVALUE(TEXT(B321,"DD/MM/YYYY")), IF(ISNUMBER(B321), B321, ""))</f>
        <v>45553</v>
      </c>
      <c r="D321" s="9" t="str">
        <f>IF(B321="","Missing", IF(AND(ISNUMBER(B321)=FALSE, C321=""),"Invalid - Could Not Parse", IF(AND(ISNUMBER(B321)=FALSE, C321&lt;&gt;""),"Text - Converted to Date", IF(ISNUMBER(B321),"Valid","Check"))))</f>
        <v>Text - Converted to Date</v>
      </c>
      <c r="E321" s="5">
        <f t="shared" si="33"/>
        <v>9</v>
      </c>
      <c r="F321" s="5">
        <f t="shared" si="34"/>
        <v>2024</v>
      </c>
      <c r="G321" s="3" t="s">
        <v>1134</v>
      </c>
      <c r="H321" s="9">
        <f>IFERROR(DATEVALUE(MID(G321,4,2) &amp; "/" &amp; LEFT(G321,2) &amp; "/" &amp; RIGHT(G321,4)), IF(ISNUMBER(G321), G321, IFERROR(DATEVALUE(G321), "")))</f>
        <v>45556</v>
      </c>
      <c r="I321" s="9" t="str">
        <f>IF(G321="","Missing", IF(AND(ISNUMBER(G321)=FALSE, H321=""),"Invalid - Could Not Parse", IF(AND(ISNUMBER(G321)=FALSE, H321&lt;&gt;""),"Text - Converted to Date", IF(ISNUMBER(G321),"Valid","Check"))))</f>
        <v>Text - Converted to Date</v>
      </c>
      <c r="J321" s="9" t="str">
        <f>IF(OR(C321="", H321=""), "Cannot Check - Date Missing", IF(H321&lt;C321, "Invalid - Ship Before Order", "Valid"))</f>
        <v>Valid</v>
      </c>
      <c r="K321" s="5">
        <f>IF(OR(C321="", H321=""), "", IF(H321&lt;C321, "", H321-C321))</f>
        <v>3</v>
      </c>
      <c r="L321" s="3" t="s">
        <v>3283</v>
      </c>
      <c r="M321" s="3" t="s">
        <v>93</v>
      </c>
      <c r="N321" s="4" t="str">
        <f>TRIM(SUBSTITUTE(M321,"_"," "))</f>
        <v>Neha Gupta</v>
      </c>
      <c r="O321" s="3" t="s">
        <v>108</v>
      </c>
      <c r="P321" s="6" t="str">
        <f>PROPER(TRIM(SUBSTITUTE(O321,".","")))</f>
        <v>Corporate</v>
      </c>
      <c r="Q321" s="3" t="s">
        <v>42</v>
      </c>
      <c r="R321" s="7" t="str">
        <f>PROPER(TRIM(SUBSTITUTE(Q321,"  "," ")))</f>
        <v>East</v>
      </c>
      <c r="S321" s="3" t="s">
        <v>121</v>
      </c>
      <c r="T321" s="6" t="str">
        <f>PROPER(TRIM(SUBSTITUTE(S321,"  "," ")))</f>
        <v>West Bengal</v>
      </c>
      <c r="U321" s="3" t="s">
        <v>122</v>
      </c>
      <c r="V321" s="6" t="str">
        <f>PROPER(TRIM(SUBSTITUTE(U321,"  "," ")))</f>
        <v>Kolkata</v>
      </c>
      <c r="W321" s="3" t="s">
        <v>86</v>
      </c>
      <c r="X321" s="6" t="str">
        <f>PROPER(TRIM(SUBSTITUTE(W321,"  "," ")))</f>
        <v>Technology</v>
      </c>
      <c r="Y321" s="3" t="s">
        <v>382</v>
      </c>
      <c r="Z321" s="6" t="str">
        <f>PROPER(TRIM(SUBSTITUTE(Y321,"  "," ")))</f>
        <v>Machines</v>
      </c>
      <c r="AA321" s="3" t="s">
        <v>3284</v>
      </c>
      <c r="AB321" s="3" t="s">
        <v>67</v>
      </c>
      <c r="AC321" s="6" t="str">
        <f>PROPER(TRIM(SUBSTITUTE(AB321,"  "," ")))</f>
        <v>Standard Class</v>
      </c>
      <c r="AD321" s="3">
        <v>3</v>
      </c>
      <c r="AE321" s="3">
        <v>3055.9</v>
      </c>
      <c r="AF321" s="3">
        <v>0.15</v>
      </c>
      <c r="AG321" s="17">
        <v>0.15</v>
      </c>
      <c r="AH321" s="6" t="str">
        <f t="shared" si="35"/>
        <v>Valid</v>
      </c>
      <c r="AI321" s="3">
        <v>7792.55</v>
      </c>
      <c r="AJ321" s="3">
        <v>4691.7299999999996</v>
      </c>
      <c r="AK321" s="3">
        <v>3100.82</v>
      </c>
      <c r="AL321" s="3" t="s">
        <v>34</v>
      </c>
      <c r="AM321" s="6" t="str">
        <f>PROPER(TRIM(SUBSTITUTE(AL321,".","")))</f>
        <v>Paid</v>
      </c>
      <c r="AN321" s="3" t="s">
        <v>35</v>
      </c>
      <c r="AO321" s="8" t="str">
        <f>PROPER(TRIM(SUBSTITUTE(AN321,".","")))</f>
        <v>Completed</v>
      </c>
      <c r="AP321" t="str">
        <f>IF(COUNTIF($A$2:$A$933, A321) &gt; 1, "Duplicate ID", "Unique")</f>
        <v>Unique</v>
      </c>
      <c r="AR321">
        <f t="shared" si="36"/>
        <v>7792.5450000000001</v>
      </c>
      <c r="AS321">
        <f t="shared" si="37"/>
        <v>3100.8150000000005</v>
      </c>
      <c r="AT321" s="15">
        <f t="shared" si="38"/>
        <v>0.39792070498149201</v>
      </c>
      <c r="AU321" t="str">
        <f t="shared" si="39"/>
        <v>Clean</v>
      </c>
      <c r="AV321" s="8" t="str">
        <f t="shared" si="40"/>
        <v>Active</v>
      </c>
    </row>
    <row r="322" spans="1:48">
      <c r="A322" s="3" t="s">
        <v>2840</v>
      </c>
      <c r="B322" s="3" t="s">
        <v>2841</v>
      </c>
      <c r="C322" s="9">
        <f>IFERROR(DATEVALUE(TEXT(B322,"DD/MM/YYYY")), IF(ISNUMBER(B322), B322, ""))</f>
        <v>45554</v>
      </c>
      <c r="D322" s="9" t="str">
        <f>IF(B322="","Missing", IF(AND(ISNUMBER(B322)=FALSE, C322=""),"Invalid - Could Not Parse", IF(AND(ISNUMBER(B322)=FALSE, C322&lt;&gt;""),"Text - Converted to Date", IF(ISNUMBER(B322),"Valid","Check"))))</f>
        <v>Text - Converted to Date</v>
      </c>
      <c r="E322" s="5">
        <f t="shared" si="33"/>
        <v>9</v>
      </c>
      <c r="F322" s="5">
        <f t="shared" si="34"/>
        <v>2024</v>
      </c>
      <c r="G322" s="3" t="s">
        <v>1135</v>
      </c>
      <c r="H322" s="9">
        <f>IFERROR(DATEVALUE(TEXT(G322,"DD/MM/YYYY")), IF(ISNUMBER(G322), G322, ""))</f>
        <v>45556</v>
      </c>
      <c r="I322" s="9" t="str">
        <f>IF(G322="","Missing", IF(AND(ISNUMBER(G322)=FALSE, H322=""),"Invalid - Could Not Parse", IF(AND(ISNUMBER(G322)=FALSE, H322&lt;&gt;""),"Text - Converted to Date", IF(ISNUMBER(G322),"Valid","Check"))))</f>
        <v>Text - Converted to Date</v>
      </c>
      <c r="J322" s="9" t="str">
        <f>IF(OR(C322="", H322=""), "Cannot Check - Date Missing", IF(H322&lt;C322, "Invalid - Ship Before Order", "Valid"))</f>
        <v>Valid</v>
      </c>
      <c r="K322" s="5">
        <f>IF(OR(C322="", H322=""), "", IF(H322&lt;C322, "", H322-C322))</f>
        <v>2</v>
      </c>
      <c r="L322" s="3" t="s">
        <v>2842</v>
      </c>
      <c r="M322" s="3" t="s">
        <v>25</v>
      </c>
      <c r="N322" s="4" t="str">
        <f>TRIM(SUBSTITUTE(M322,"_"," "))</f>
        <v>Karan Malhotra</v>
      </c>
      <c r="O322" s="3" t="s">
        <v>41</v>
      </c>
      <c r="P322" s="6" t="str">
        <f>PROPER(TRIM(SUBSTITUTE(O322,".","")))</f>
        <v>Small Business</v>
      </c>
      <c r="Q322" s="3" t="s">
        <v>42</v>
      </c>
      <c r="R322" s="7" t="str">
        <f>PROPER(TRIM(SUBSTITUTE(Q322,"  "," ")))</f>
        <v>East</v>
      </c>
      <c r="S322" s="3" t="s">
        <v>121</v>
      </c>
      <c r="T322" s="6" t="str">
        <f>PROPER(TRIM(SUBSTITUTE(S322,"  "," ")))</f>
        <v>West Bengal</v>
      </c>
      <c r="U322" s="3" t="s">
        <v>122</v>
      </c>
      <c r="V322" s="6" t="str">
        <f>PROPER(TRIM(SUBSTITUTE(U322,"  "," ")))</f>
        <v>Kolkata</v>
      </c>
      <c r="W322" s="3" t="s">
        <v>45</v>
      </c>
      <c r="X322" s="6" t="str">
        <f>PROPER(TRIM(SUBSTITUTE(W322,"  "," ")))</f>
        <v>Furniture</v>
      </c>
      <c r="Y322" s="3" t="s">
        <v>76</v>
      </c>
      <c r="Z322" s="6" t="str">
        <f>PROPER(TRIM(SUBSTITUTE(Y322,"  "," ")))</f>
        <v>Chairs</v>
      </c>
      <c r="AA322" s="3" t="s">
        <v>2843</v>
      </c>
      <c r="AB322" s="3" t="s">
        <v>56</v>
      </c>
      <c r="AC322" s="6" t="str">
        <f>PROPER(TRIM(SUBSTITUTE(AB322,"  "," ")))</f>
        <v>First Class</v>
      </c>
      <c r="AD322" s="3">
        <v>3</v>
      </c>
      <c r="AE322" s="3">
        <v>3981.76</v>
      </c>
      <c r="AF322" s="3">
        <v>0</v>
      </c>
      <c r="AG322" s="17">
        <v>0</v>
      </c>
      <c r="AH322" s="6" t="str">
        <f t="shared" si="35"/>
        <v>Valid</v>
      </c>
      <c r="AI322" s="3">
        <v>11945.28</v>
      </c>
      <c r="AJ322" s="3">
        <v>9700.31</v>
      </c>
      <c r="AK322" s="3">
        <v>2244.9699999999998</v>
      </c>
      <c r="AL322" s="3" t="s">
        <v>34</v>
      </c>
      <c r="AM322" s="6" t="str">
        <f>PROPER(TRIM(SUBSTITUTE(AL322,".","")))</f>
        <v>Paid</v>
      </c>
      <c r="AN322" s="3" t="s">
        <v>35</v>
      </c>
      <c r="AO322" s="8" t="str">
        <f>PROPER(TRIM(SUBSTITUTE(AN322,".","")))</f>
        <v>Completed</v>
      </c>
      <c r="AP322" t="str">
        <f>IF(COUNTIF($A$2:$A$933, A322) &gt; 1, "Duplicate ID", "Unique")</f>
        <v>Unique</v>
      </c>
      <c r="AR322">
        <f t="shared" si="36"/>
        <v>11945.28</v>
      </c>
      <c r="AS322">
        <f t="shared" si="37"/>
        <v>2244.9700000000012</v>
      </c>
      <c r="AT322" s="15">
        <f t="shared" si="38"/>
        <v>0.18793782983739193</v>
      </c>
      <c r="AU322" t="str">
        <f t="shared" si="39"/>
        <v>Clean</v>
      </c>
      <c r="AV322" s="8" t="str">
        <f t="shared" si="40"/>
        <v>Active</v>
      </c>
    </row>
    <row r="323" spans="1:48">
      <c r="A323" s="3" t="s">
        <v>1262</v>
      </c>
      <c r="B323" s="3" t="s">
        <v>1263</v>
      </c>
      <c r="C323" s="9">
        <f>IFERROR(DATEVALUE(TEXT(B323,"DD/MM/YYYY")), IF(ISNUMBER(B323), B323, ""))</f>
        <v>45556</v>
      </c>
      <c r="D323" s="9" t="str">
        <f>IF(B323="","Missing", IF(AND(ISNUMBER(B323)=FALSE, C323=""),"Invalid - Could Not Parse", IF(AND(ISNUMBER(B323)=FALSE, C323&lt;&gt;""),"Text - Converted to Date", IF(ISNUMBER(B323),"Valid","Check"))))</f>
        <v>Text - Converted to Date</v>
      </c>
      <c r="E323" s="5">
        <f t="shared" ref="E323:E386" si="41">IFERROR(MONTH(C323), "")</f>
        <v>9</v>
      </c>
      <c r="F323" s="5">
        <f t="shared" ref="F323:F386" si="42">IFERROR(YEAR(C323), "")</f>
        <v>2024</v>
      </c>
      <c r="G323" s="3" t="s">
        <v>1134</v>
      </c>
      <c r="H323" s="9">
        <f>IFERROR(DATEVALUE(MID(G323,4,2) &amp; "/" &amp; LEFT(G323,2) &amp; "/" &amp; RIGHT(G323,4)), IF(ISNUMBER(G323), G323, IFERROR(DATEVALUE(G323), "")))</f>
        <v>45556</v>
      </c>
      <c r="I323" s="9" t="str">
        <f>IF(G323="","Missing", IF(AND(ISNUMBER(G323)=FALSE, H323=""),"Invalid - Could Not Parse", IF(AND(ISNUMBER(G323)=FALSE, H323&lt;&gt;""),"Text - Converted to Date", IF(ISNUMBER(G323),"Valid","Check"))))</f>
        <v>Text - Converted to Date</v>
      </c>
      <c r="J323" s="9" t="str">
        <f>IF(OR(C323="", H323=""), "Cannot Check - Date Missing", IF(H323&lt;C323, "Invalid - Ship Before Order", "Valid"))</f>
        <v>Valid</v>
      </c>
      <c r="K323" s="5">
        <f>IF(OR(C323="", H323=""), "", IF(H323&lt;C323, "", H323-C323))</f>
        <v>0</v>
      </c>
      <c r="L323" s="3" t="s">
        <v>1264</v>
      </c>
      <c r="M323" s="3" t="s">
        <v>366</v>
      </c>
      <c r="N323" s="4" t="str">
        <f>TRIM(SUBSTITUTE(M323,"_"," "))</f>
        <v>Kabir Singh</v>
      </c>
      <c r="O323" s="3" t="s">
        <v>108</v>
      </c>
      <c r="P323" s="6" t="str">
        <f>PROPER(TRIM(SUBSTITUTE(O323,".","")))</f>
        <v>Corporate</v>
      </c>
      <c r="Q323" s="3" t="s">
        <v>62</v>
      </c>
      <c r="R323" s="7" t="str">
        <f>PROPER(TRIM(SUBSTITUTE(Q323,"  "," ")))</f>
        <v>South</v>
      </c>
      <c r="S323" s="3" t="s">
        <v>229</v>
      </c>
      <c r="T323" s="6" t="str">
        <f>PROPER(TRIM(SUBSTITUTE(S323,"  "," ")))</f>
        <v>Karnataka</v>
      </c>
      <c r="U323" s="3" t="s">
        <v>230</v>
      </c>
      <c r="V323" s="6" t="str">
        <f>PROPER(TRIM(SUBSTITUTE(U323,"  "," ")))</f>
        <v>Bengaluru</v>
      </c>
      <c r="W323" s="3" t="s">
        <v>86</v>
      </c>
      <c r="X323" s="6" t="str">
        <f>PROPER(TRIM(SUBSTITUTE(W323,"  "," ")))</f>
        <v>Technology</v>
      </c>
      <c r="Y323" s="3" t="s">
        <v>382</v>
      </c>
      <c r="Z323" s="6" t="str">
        <f>PROPER(TRIM(SUBSTITUTE(Y323,"  "," ")))</f>
        <v>Machines</v>
      </c>
      <c r="AA323" s="3" t="s">
        <v>1265</v>
      </c>
      <c r="AB323" s="3" t="s">
        <v>56</v>
      </c>
      <c r="AC323" s="6" t="str">
        <f>PROPER(TRIM(SUBSTITUTE(AB323,"  "," ")))</f>
        <v>First Class</v>
      </c>
      <c r="AD323" s="3">
        <v>2</v>
      </c>
      <c r="AE323" s="3">
        <v>1960.06</v>
      </c>
      <c r="AF323" s="3">
        <v>0.2</v>
      </c>
      <c r="AG323" s="17">
        <v>0.2</v>
      </c>
      <c r="AH323" s="6" t="str">
        <f t="shared" ref="AH323:AH386" si="43">IF(ISBLANK(AF323), "Missing", IF(AF323 &lt; 0, "Invalid - Negative", IF(AF323 &gt; 0.5, "Invalid - Above Range", "Valid")))</f>
        <v>Valid</v>
      </c>
      <c r="AI323" s="3">
        <v>3136.1</v>
      </c>
      <c r="AJ323" s="3">
        <v>2279.4899999999998</v>
      </c>
      <c r="AK323" s="3">
        <v>856.61</v>
      </c>
      <c r="AL323" s="3" t="s">
        <v>34</v>
      </c>
      <c r="AM323" s="6" t="str">
        <f>PROPER(TRIM(SUBSTITUTE(AL323,".","")))</f>
        <v>Paid</v>
      </c>
      <c r="AN323" s="3" t="s">
        <v>35</v>
      </c>
      <c r="AO323" s="8" t="str">
        <f>PROPER(TRIM(SUBSTITUTE(AN323,".","")))</f>
        <v>Completed</v>
      </c>
      <c r="AP323" t="str">
        <f>IF(COUNTIF($A$2:$A$933, A323) &gt; 1, "Duplicate ID", "Unique")</f>
        <v>Unique</v>
      </c>
      <c r="AR323">
        <f t="shared" ref="AR323:AR386" si="44">AD323 * AE323 * (1 - AG323)</f>
        <v>3136.096</v>
      </c>
      <c r="AS323">
        <f t="shared" ref="AS323:AS386" si="45">AR323-AJ323</f>
        <v>856.60600000000022</v>
      </c>
      <c r="AT323" s="15">
        <f t="shared" ref="AT323:AT386" si="46">IFERROR(AS323 / AR323, "")</f>
        <v>0.273144061916472</v>
      </c>
      <c r="AU323" t="str">
        <f t="shared" ref="AU323:AU386" si="47">IF(OR(AH323="Invalid - Negative",AH323="Invalid - Above Range", J323="Invalid - Ship Before Order", AQ323="Conflicting Duplicate - Flagged"), "Invalid", IF(OR(R322="Unknown", AC322="Unknown", AH323="Missing"), "Warning", "Clean"))</f>
        <v>Clean</v>
      </c>
      <c r="AV323" s="8" t="str">
        <f t="shared" ref="AV323:AV386" si="48">IF(AM323 = "Refunded", "Refund", IF(AO323 = "Cancelled", "Cancelled", "Active"))</f>
        <v>Active</v>
      </c>
    </row>
    <row r="324" spans="1:48">
      <c r="A324" s="3" t="s">
        <v>661</v>
      </c>
      <c r="B324" s="3" t="s">
        <v>662</v>
      </c>
      <c r="C324" s="9">
        <f>IFERROR(DATEVALUE(TEXT(B324,"DD/MM/YYYY")), IF(ISNUMBER(B324), B324, ""))</f>
        <v>45560</v>
      </c>
      <c r="D324" s="9" t="str">
        <f>IF(B324="","Missing", IF(AND(ISNUMBER(B324)=FALSE, C324=""),"Invalid - Could Not Parse", IF(AND(ISNUMBER(B324)=FALSE, C324&lt;&gt;""),"Text - Converted to Date", IF(ISNUMBER(B324),"Valid","Check"))))</f>
        <v>Text - Converted to Date</v>
      </c>
      <c r="E324" s="5">
        <f t="shared" si="41"/>
        <v>9</v>
      </c>
      <c r="F324" s="5">
        <f t="shared" si="42"/>
        <v>2024</v>
      </c>
      <c r="G324" s="3" t="s">
        <v>663</v>
      </c>
      <c r="H324" s="9">
        <f>IFERROR(DATEVALUE(TEXT(G324,"DD/MM/YYYY")), IF(ISNUMBER(G324), G324, ""))</f>
        <v>45565</v>
      </c>
      <c r="I324" s="9" t="str">
        <f>IF(G324="","Missing", IF(AND(ISNUMBER(G324)=FALSE, H324=""),"Invalid - Could Not Parse", IF(AND(ISNUMBER(G324)=FALSE, H324&lt;&gt;""),"Text - Converted to Date", IF(ISNUMBER(G324),"Valid","Check"))))</f>
        <v>Text - Converted to Date</v>
      </c>
      <c r="J324" s="9" t="str">
        <f>IF(OR(C324="", H324=""), "Cannot Check - Date Missing", IF(H324&lt;C324, "Invalid - Ship Before Order", "Valid"))</f>
        <v>Valid</v>
      </c>
      <c r="K324" s="5">
        <f>IF(OR(C324="", H324=""), "", IF(H324&lt;C324, "", H324-C324))</f>
        <v>5</v>
      </c>
      <c r="L324" s="3" t="s">
        <v>664</v>
      </c>
      <c r="M324" s="3" t="s">
        <v>93</v>
      </c>
      <c r="N324" s="4" t="str">
        <f>TRIM(SUBSTITUTE(M324,"_"," "))</f>
        <v>Neha Gupta</v>
      </c>
      <c r="O324" s="3" t="s">
        <v>41</v>
      </c>
      <c r="P324" s="6" t="str">
        <f>PROPER(TRIM(SUBSTITUTE(O324,".","")))</f>
        <v>Small Business</v>
      </c>
      <c r="Q324" s="3" t="s">
        <v>27</v>
      </c>
      <c r="R324" s="7" t="str">
        <f>PROPER(TRIM(SUBSTITUTE(Q324,"  "," ")))</f>
        <v>North</v>
      </c>
      <c r="S324" s="3" t="s">
        <v>28</v>
      </c>
      <c r="T324" s="6" t="str">
        <f>PROPER(TRIM(SUBSTITUTE(S324,"  "," ")))</f>
        <v>Rajasthan</v>
      </c>
      <c r="U324" s="3" t="s">
        <v>29</v>
      </c>
      <c r="V324" s="6" t="str">
        <f>PROPER(TRIM(SUBSTITUTE(U324,"  "," ")))</f>
        <v>Jaipur</v>
      </c>
      <c r="W324" s="3" t="s">
        <v>86</v>
      </c>
      <c r="X324" s="6" t="str">
        <f>PROPER(TRIM(SUBSTITUTE(W324,"  "," ")))</f>
        <v>Technology</v>
      </c>
      <c r="Y324" s="3" t="s">
        <v>87</v>
      </c>
      <c r="Z324" s="6" t="str">
        <f>PROPER(TRIM(SUBSTITUTE(Y324,"  "," ")))</f>
        <v>Accessories</v>
      </c>
      <c r="AA324" s="3" t="s">
        <v>665</v>
      </c>
      <c r="AB324" s="3" t="s">
        <v>33</v>
      </c>
      <c r="AC324" s="6" t="str">
        <f>PROPER(TRIM(SUBSTITUTE(AB324,"  "," ")))</f>
        <v>Second Class</v>
      </c>
      <c r="AD324" s="3">
        <v>1</v>
      </c>
      <c r="AE324" s="3">
        <v>4388.3999999999996</v>
      </c>
      <c r="AF324" s="3">
        <v>0.1</v>
      </c>
      <c r="AG324" s="17">
        <v>0.1</v>
      </c>
      <c r="AH324" s="6" t="str">
        <f t="shared" si="43"/>
        <v>Valid</v>
      </c>
      <c r="AI324" s="3">
        <v>3949.56</v>
      </c>
      <c r="AJ324" s="3">
        <v>3186.73</v>
      </c>
      <c r="AK324" s="3">
        <v>762.83</v>
      </c>
      <c r="AL324" s="3" t="s">
        <v>137</v>
      </c>
      <c r="AM324" s="6" t="str">
        <f>PROPER(TRIM(SUBSTITUTE(AL324,".","")))</f>
        <v>Pending</v>
      </c>
      <c r="AN324" s="3" t="s">
        <v>78</v>
      </c>
      <c r="AO324" s="8" t="str">
        <f>PROPER(TRIM(SUBSTITUTE(AN324,".","")))</f>
        <v>Cancelled</v>
      </c>
      <c r="AP324" t="str">
        <f>IF(COUNTIF($A$2:$A$933, A324) &gt; 1, "Duplicate ID", "Unique")</f>
        <v>Unique</v>
      </c>
      <c r="AR324">
        <f t="shared" si="44"/>
        <v>3949.56</v>
      </c>
      <c r="AS324">
        <f t="shared" si="45"/>
        <v>762.82999999999993</v>
      </c>
      <c r="AT324" s="15">
        <f t="shared" si="46"/>
        <v>0.19314303365438173</v>
      </c>
      <c r="AU324" t="str">
        <f t="shared" si="47"/>
        <v>Clean</v>
      </c>
      <c r="AV324" s="8" t="str">
        <f t="shared" si="48"/>
        <v>Cancelled</v>
      </c>
    </row>
    <row r="325" spans="1:48">
      <c r="A325" s="3" t="s">
        <v>2599</v>
      </c>
      <c r="B325" s="3" t="s">
        <v>2266</v>
      </c>
      <c r="C325" s="9">
        <f>IFERROR(DATEVALUE(TEXT(B325,"DD/MM/YYYY")), IF(ISNUMBER(B325), B325, ""))</f>
        <v>45560</v>
      </c>
      <c r="D325" s="9" t="str">
        <f>IF(B325="","Missing", IF(AND(ISNUMBER(B325)=FALSE, C325=""),"Invalid - Could Not Parse", IF(AND(ISNUMBER(B325)=FALSE, C325&lt;&gt;""),"Text - Converted to Date", IF(ISNUMBER(B325),"Valid","Check"))))</f>
        <v>Text - Converted to Date</v>
      </c>
      <c r="E325" s="5">
        <f t="shared" si="41"/>
        <v>9</v>
      </c>
      <c r="F325" s="5">
        <f t="shared" si="42"/>
        <v>2024</v>
      </c>
      <c r="G325" s="3" t="s">
        <v>2600</v>
      </c>
      <c r="H325" s="9">
        <f>IFERROR(DATEVALUE(TEXT(G325,"DD/MM/YYYY")), IF(ISNUMBER(G325), G325, ""))</f>
        <v>45566</v>
      </c>
      <c r="I325" s="9" t="str">
        <f>IF(G325="","Missing", IF(AND(ISNUMBER(G325)=FALSE, H325=""),"Invalid - Could Not Parse", IF(AND(ISNUMBER(G325)=FALSE, H325&lt;&gt;""),"Text - Converted to Date", IF(ISNUMBER(G325),"Valid","Check"))))</f>
        <v>Text - Converted to Date</v>
      </c>
      <c r="J325" s="9" t="str">
        <f>IF(OR(C325="", H325=""), "Cannot Check - Date Missing", IF(H325&lt;C325, "Invalid - Ship Before Order", "Valid"))</f>
        <v>Valid</v>
      </c>
      <c r="K325" s="5">
        <f>IF(OR(C325="", H325=""), "", IF(H325&lt;C325, "", H325-C325))</f>
        <v>6</v>
      </c>
      <c r="L325" s="3" t="s">
        <v>2601</v>
      </c>
      <c r="M325" s="3" t="s">
        <v>210</v>
      </c>
      <c r="N325" s="4" t="str">
        <f>TRIM(SUBSTITUTE(M325,"_"," "))</f>
        <v>Diya Patel</v>
      </c>
      <c r="O325" s="3" t="s">
        <v>41</v>
      </c>
      <c r="P325" s="6" t="str">
        <f>PROPER(TRIM(SUBSTITUTE(O325,".","")))</f>
        <v>Small Business</v>
      </c>
      <c r="Q325" s="3" t="s">
        <v>42</v>
      </c>
      <c r="R325" s="7" t="str">
        <f>PROPER(TRIM(SUBSTITUTE(Q325,"  "," ")))</f>
        <v>East</v>
      </c>
      <c r="S325" s="3" t="s">
        <v>311</v>
      </c>
      <c r="T325" s="6" t="str">
        <f>PROPER(TRIM(SUBSTITUTE(S325,"  "," ")))</f>
        <v>Jharkhand</v>
      </c>
      <c r="U325" s="3" t="s">
        <v>312</v>
      </c>
      <c r="V325" s="6" t="str">
        <f>PROPER(TRIM(SUBSTITUTE(U325,"  "," ")))</f>
        <v>Ranchi</v>
      </c>
      <c r="W325" s="3" t="s">
        <v>45</v>
      </c>
      <c r="X325" s="6" t="str">
        <f>PROPER(TRIM(SUBSTITUTE(W325,"  "," ")))</f>
        <v>Furniture</v>
      </c>
      <c r="Y325" s="3" t="s">
        <v>46</v>
      </c>
      <c r="Z325" s="6" t="str">
        <f>PROPER(TRIM(SUBSTITUTE(Y325,"  "," ")))</f>
        <v>Tables</v>
      </c>
      <c r="AA325" s="3" t="s">
        <v>2602</v>
      </c>
      <c r="AB325" s="3" t="s">
        <v>33</v>
      </c>
      <c r="AC325" s="6" t="str">
        <f>PROPER(TRIM(SUBSTITUTE(AB325,"  "," ")))</f>
        <v>Second Class</v>
      </c>
      <c r="AD325" s="3">
        <v>9</v>
      </c>
      <c r="AE325" s="3">
        <v>3908.6</v>
      </c>
      <c r="AF325" s="3">
        <v>0.15</v>
      </c>
      <c r="AG325" s="17">
        <v>0.15</v>
      </c>
      <c r="AH325" s="6" t="str">
        <f t="shared" si="43"/>
        <v>Valid</v>
      </c>
      <c r="AI325" s="3">
        <v>29900.79</v>
      </c>
      <c r="AJ325" s="3">
        <v>24650.67</v>
      </c>
      <c r="AK325" s="3">
        <v>5250.12</v>
      </c>
      <c r="AL325" s="3" t="s">
        <v>34</v>
      </c>
      <c r="AM325" s="6" t="str">
        <f>PROPER(TRIM(SUBSTITUTE(AL325,".","")))</f>
        <v>Paid</v>
      </c>
      <c r="AN325" s="3" t="s">
        <v>35</v>
      </c>
      <c r="AO325" s="8" t="str">
        <f>PROPER(TRIM(SUBSTITUTE(AN325,".","")))</f>
        <v>Completed</v>
      </c>
      <c r="AP325" t="str">
        <f>IF(COUNTIF($A$2:$A$933, A325) &gt; 1, "Duplicate ID", "Unique")</f>
        <v>Unique</v>
      </c>
      <c r="AR325">
        <f t="shared" si="44"/>
        <v>29900.79</v>
      </c>
      <c r="AS325">
        <f t="shared" si="45"/>
        <v>5250.1200000000026</v>
      </c>
      <c r="AT325" s="15">
        <f t="shared" si="46"/>
        <v>0.17558465846554563</v>
      </c>
      <c r="AU325" t="str">
        <f t="shared" si="47"/>
        <v>Clean</v>
      </c>
      <c r="AV325" s="8" t="str">
        <f t="shared" si="48"/>
        <v>Active</v>
      </c>
    </row>
    <row r="326" spans="1:48">
      <c r="A326" s="3" t="s">
        <v>2098</v>
      </c>
      <c r="B326" s="3" t="s">
        <v>2099</v>
      </c>
      <c r="C326" s="9">
        <f>IFERROR(DATEVALUE(TEXT(B326,"DD/MM/YYYY")), IF(ISNUMBER(B326), B326, ""))</f>
        <v>45561</v>
      </c>
      <c r="D326" s="9" t="str">
        <f>IF(B326="","Missing", IF(AND(ISNUMBER(B326)=FALSE, C326=""),"Invalid - Could Not Parse", IF(AND(ISNUMBER(B326)=FALSE, C326&lt;&gt;""),"Text - Converted to Date", IF(ISNUMBER(B326),"Valid","Check"))))</f>
        <v>Text - Converted to Date</v>
      </c>
      <c r="E326" s="5">
        <f t="shared" si="41"/>
        <v>9</v>
      </c>
      <c r="F326" s="5">
        <f t="shared" si="42"/>
        <v>2024</v>
      </c>
      <c r="G326" s="3" t="s">
        <v>2100</v>
      </c>
      <c r="H326" s="9">
        <f>IFERROR(DATEVALUE(MID(G326,4,2) &amp; "/" &amp; LEFT(G326,2) &amp; "/" &amp; RIGHT(G326,4)), IF(ISNUMBER(G326), G326, IFERROR(DATEVALUE(G326), "")))</f>
        <v>45562</v>
      </c>
      <c r="I326" s="9" t="str">
        <f>IF(G326="","Missing", IF(AND(ISNUMBER(G326)=FALSE, H326=""),"Invalid - Could Not Parse", IF(AND(ISNUMBER(G326)=FALSE, H326&lt;&gt;""),"Text - Converted to Date", IF(ISNUMBER(G326),"Valid","Check"))))</f>
        <v>Text - Converted to Date</v>
      </c>
      <c r="J326" s="9" t="str">
        <f>IF(OR(C326="", H326=""), "Cannot Check - Date Missing", IF(H326&lt;C326, "Invalid - Ship Before Order", "Valid"))</f>
        <v>Valid</v>
      </c>
      <c r="K326" s="5">
        <f>IF(OR(C326="", H326=""), "", IF(H326&lt;C326, "", H326-C326))</f>
        <v>1</v>
      </c>
      <c r="L326" s="3" t="s">
        <v>2101</v>
      </c>
      <c r="M326" s="3" t="s">
        <v>53</v>
      </c>
      <c r="N326" s="4" t="str">
        <f>TRIM(SUBSTITUTE(M326,"_"," "))</f>
        <v>Isha Nair</v>
      </c>
      <c r="O326" s="3" t="s">
        <v>115</v>
      </c>
      <c r="P326" s="6" t="str">
        <f>PROPER(TRIM(SUBSTITUTE(O326,".","")))</f>
        <v>Home Office</v>
      </c>
      <c r="Q326" s="3" t="s">
        <v>27</v>
      </c>
      <c r="R326" s="7" t="str">
        <f>PROPER(TRIM(SUBSTITUTE(Q326,"  "," ")))</f>
        <v>North</v>
      </c>
      <c r="S326" s="3" t="s">
        <v>506</v>
      </c>
      <c r="T326" s="6" t="str">
        <f>PROPER(TRIM(SUBSTITUTE(S326,"  "," ")))</f>
        <v>Delhi</v>
      </c>
      <c r="U326" s="3" t="s">
        <v>507</v>
      </c>
      <c r="V326" s="6" t="str">
        <f>PROPER(TRIM(SUBSTITUTE(U326,"  "," ")))</f>
        <v>New Delhi</v>
      </c>
      <c r="W326" s="3" t="s">
        <v>30</v>
      </c>
      <c r="X326" s="6" t="str">
        <f>PROPER(TRIM(SUBSTITUTE(W326,"  "," ")))</f>
        <v>Office Supplies</v>
      </c>
      <c r="Y326" s="3" t="s">
        <v>109</v>
      </c>
      <c r="Z326" s="6" t="str">
        <f>PROPER(TRIM(SUBSTITUTE(Y326,"  "," ")))</f>
        <v>Labels</v>
      </c>
      <c r="AA326" s="3" t="s">
        <v>2102</v>
      </c>
      <c r="AB326" s="3" t="s">
        <v>56</v>
      </c>
      <c r="AC326" s="6" t="str">
        <f>PROPER(TRIM(SUBSTITUTE(AB326,"  "," ")))</f>
        <v>First Class</v>
      </c>
      <c r="AD326" s="3">
        <v>2</v>
      </c>
      <c r="AE326" s="3">
        <v>1065.69</v>
      </c>
      <c r="AF326" s="3">
        <v>0.1</v>
      </c>
      <c r="AG326" s="17">
        <v>0.1</v>
      </c>
      <c r="AH326" s="6" t="str">
        <f t="shared" si="43"/>
        <v>Valid</v>
      </c>
      <c r="AI326" s="3">
        <v>1918.24</v>
      </c>
      <c r="AJ326" s="3">
        <v>1373.52</v>
      </c>
      <c r="AK326" s="3">
        <v>544.72</v>
      </c>
      <c r="AL326" s="3" t="s">
        <v>124</v>
      </c>
      <c r="AM326" s="6" t="str">
        <f>PROPER(TRIM(SUBSTITUTE(AL326,".","")))</f>
        <v>Refunded</v>
      </c>
      <c r="AN326" s="3" t="s">
        <v>78</v>
      </c>
      <c r="AO326" s="8" t="str">
        <f>PROPER(TRIM(SUBSTITUTE(AN326,".","")))</f>
        <v>Cancelled</v>
      </c>
      <c r="AP326" t="str">
        <f>IF(COUNTIF($A$2:$A$933, A326) &gt; 1, "Duplicate ID", "Unique")</f>
        <v>Unique</v>
      </c>
      <c r="AR326">
        <f t="shared" si="44"/>
        <v>1918.2420000000002</v>
      </c>
      <c r="AS326">
        <f t="shared" si="45"/>
        <v>544.72200000000021</v>
      </c>
      <c r="AT326" s="15">
        <f t="shared" si="46"/>
        <v>0.2839693844676533</v>
      </c>
      <c r="AU326" t="str">
        <f t="shared" si="47"/>
        <v>Clean</v>
      </c>
      <c r="AV326" s="8" t="str">
        <f t="shared" si="48"/>
        <v>Refund</v>
      </c>
    </row>
    <row r="327" spans="1:48">
      <c r="A327" s="3" t="s">
        <v>2446</v>
      </c>
      <c r="B327" s="3" t="s">
        <v>2447</v>
      </c>
      <c r="C327" s="9">
        <f>IFERROR(DATEVALUE(TEXT(B327,"DD/MM/YYYY")), IF(ISNUMBER(B327), B327, ""))</f>
        <v>45563</v>
      </c>
      <c r="D327" s="9" t="str">
        <f>IF(B327="","Missing", IF(AND(ISNUMBER(B327)=FALSE, C327=""),"Invalid - Could Not Parse", IF(AND(ISNUMBER(B327)=FALSE, C327&lt;&gt;""),"Text - Converted to Date", IF(ISNUMBER(B327),"Valid","Check"))))</f>
        <v>Text - Converted to Date</v>
      </c>
      <c r="E327" s="5">
        <f t="shared" si="41"/>
        <v>9</v>
      </c>
      <c r="F327" s="5">
        <f t="shared" si="42"/>
        <v>2024</v>
      </c>
      <c r="G327" s="3" t="s">
        <v>2448</v>
      </c>
      <c r="H327" s="9">
        <f>IFERROR(DATEVALUE(TEXT(G327,"DD/MM/YYYY")), IF(ISNUMBER(G327), G327, ""))</f>
        <v>45570</v>
      </c>
      <c r="I327" s="9" t="str">
        <f>IF(G327="","Missing", IF(AND(ISNUMBER(G327)=FALSE, H327=""),"Invalid - Could Not Parse", IF(AND(ISNUMBER(G327)=FALSE, H327&lt;&gt;""),"Text - Converted to Date", IF(ISNUMBER(G327),"Valid","Check"))))</f>
        <v>Text - Converted to Date</v>
      </c>
      <c r="J327" s="9" t="str">
        <f>IF(OR(C327="", H327=""), "Cannot Check - Date Missing", IF(H327&lt;C327, "Invalid - Ship Before Order", "Valid"))</f>
        <v>Valid</v>
      </c>
      <c r="K327" s="5">
        <f>IF(OR(C327="", H327=""), "", IF(H327&lt;C327, "", H327-C327))</f>
        <v>7</v>
      </c>
      <c r="L327" s="3" t="s">
        <v>2449</v>
      </c>
      <c r="M327" s="3" t="s">
        <v>162</v>
      </c>
      <c r="N327" s="4" t="str">
        <f>TRIM(SUBSTITUTE(M327,"_"," "))</f>
        <v>Aarav Sharma</v>
      </c>
      <c r="O327" s="3" t="s">
        <v>26</v>
      </c>
      <c r="P327" s="6" t="str">
        <f>PROPER(TRIM(SUBSTITUTE(O327,".","")))</f>
        <v>Consumer</v>
      </c>
      <c r="Q327" s="3" t="s">
        <v>62</v>
      </c>
      <c r="R327" s="7" t="str">
        <f>PROPER(TRIM(SUBSTITUTE(Q327,"  "," ")))</f>
        <v>South</v>
      </c>
      <c r="S327" s="3" t="s">
        <v>339</v>
      </c>
      <c r="T327" s="6" t="str">
        <f>PROPER(TRIM(SUBSTITUTE(S327,"  "," ")))</f>
        <v>Tamil Nadu</v>
      </c>
      <c r="U327" s="3" t="s">
        <v>340</v>
      </c>
      <c r="V327" s="6" t="str">
        <f>PROPER(TRIM(SUBSTITUTE(U327,"  "," ")))</f>
        <v>Chennai</v>
      </c>
      <c r="W327" s="3" t="s">
        <v>86</v>
      </c>
      <c r="X327" s="6" t="str">
        <f>PROPER(TRIM(SUBSTITUTE(W327,"  "," ")))</f>
        <v>Technology</v>
      </c>
      <c r="Y327" s="3" t="s">
        <v>223</v>
      </c>
      <c r="Z327" s="6" t="str">
        <f>PROPER(TRIM(SUBSTITUTE(Y327,"  "," ")))</f>
        <v>Phones</v>
      </c>
      <c r="AA327" s="3" t="s">
        <v>2450</v>
      </c>
      <c r="AB327" s="3" t="s">
        <v>67</v>
      </c>
      <c r="AC327" s="6" t="str">
        <f>PROPER(TRIM(SUBSTITUTE(AB327,"  "," ")))</f>
        <v>Standard Class</v>
      </c>
      <c r="AD327" s="3">
        <v>7</v>
      </c>
      <c r="AE327" s="3">
        <v>1681.6</v>
      </c>
      <c r="AF327" s="3">
        <v>0.1</v>
      </c>
      <c r="AG327" s="17">
        <v>0.1</v>
      </c>
      <c r="AH327" s="6" t="str">
        <f t="shared" si="43"/>
        <v>Valid</v>
      </c>
      <c r="AI327" s="3">
        <v>10594.08</v>
      </c>
      <c r="AJ327" s="3">
        <v>7160.31</v>
      </c>
      <c r="AK327" s="3">
        <v>3433.77</v>
      </c>
      <c r="AL327" s="3" t="s">
        <v>34</v>
      </c>
      <c r="AM327" s="6" t="str">
        <f>PROPER(TRIM(SUBSTITUTE(AL327,".","")))</f>
        <v>Paid</v>
      </c>
      <c r="AN327" s="3" t="s">
        <v>35</v>
      </c>
      <c r="AO327" s="8" t="str">
        <f>PROPER(TRIM(SUBSTITUTE(AN327,".","")))</f>
        <v>Completed</v>
      </c>
      <c r="AP327" t="str">
        <f>IF(COUNTIF($A$2:$A$933, A327) &gt; 1, "Duplicate ID", "Unique")</f>
        <v>Unique</v>
      </c>
      <c r="AR327">
        <f t="shared" si="44"/>
        <v>10594.08</v>
      </c>
      <c r="AS327">
        <f t="shared" si="45"/>
        <v>3433.7699999999995</v>
      </c>
      <c r="AT327" s="15">
        <f t="shared" si="46"/>
        <v>0.32412158488514337</v>
      </c>
      <c r="AU327" t="str">
        <f t="shared" si="47"/>
        <v>Clean</v>
      </c>
      <c r="AV327" s="8" t="str">
        <f t="shared" si="48"/>
        <v>Active</v>
      </c>
    </row>
    <row r="328" spans="1:48">
      <c r="A328" s="3" t="s">
        <v>3756</v>
      </c>
      <c r="B328" s="3" t="s">
        <v>3757</v>
      </c>
      <c r="C328" s="9">
        <f>IFERROR(DATEVALUE(TEXT(B328,"DD/MM/YYYY")), IF(ISNUMBER(B328), B328, ""))</f>
        <v>45564</v>
      </c>
      <c r="D328" s="9" t="str">
        <f>IF(B328="","Missing", IF(AND(ISNUMBER(B328)=FALSE, C328=""),"Invalid - Could Not Parse", IF(AND(ISNUMBER(B328)=FALSE, C328&lt;&gt;""),"Text - Converted to Date", IF(ISNUMBER(B328),"Valid","Check"))))</f>
        <v>Text - Converted to Date</v>
      </c>
      <c r="E328" s="5">
        <f t="shared" si="41"/>
        <v>9</v>
      </c>
      <c r="F328" s="5">
        <f t="shared" si="42"/>
        <v>2024</v>
      </c>
      <c r="G328" s="3" t="s">
        <v>3238</v>
      </c>
      <c r="H328" s="9">
        <f>IFERROR(DATEVALUE(TEXT(G328,"DD/MM/YYYY")), IF(ISNUMBER(G328), G328, ""))</f>
        <v>45570</v>
      </c>
      <c r="I328" s="9" t="str">
        <f>IF(G328="","Missing", IF(AND(ISNUMBER(G328)=FALSE, H328=""),"Invalid - Could Not Parse", IF(AND(ISNUMBER(G328)=FALSE, H328&lt;&gt;""),"Text - Converted to Date", IF(ISNUMBER(G328),"Valid","Check"))))</f>
        <v>Text - Converted to Date</v>
      </c>
      <c r="J328" s="9" t="str">
        <f>IF(OR(C328="", H328=""), "Cannot Check - Date Missing", IF(H328&lt;C328, "Invalid - Ship Before Order", "Valid"))</f>
        <v>Valid</v>
      </c>
      <c r="K328" s="5">
        <f>IF(OR(C328="", H328=""), "", IF(H328&lt;C328, "", H328-C328))</f>
        <v>6</v>
      </c>
      <c r="L328" s="3" t="s">
        <v>3758</v>
      </c>
      <c r="M328" s="3" t="s">
        <v>142</v>
      </c>
      <c r="N328" s="4" t="str">
        <f>TRIM(SUBSTITUTE(M328,"_"," "))</f>
        <v>Priya Menon</v>
      </c>
      <c r="O328" s="3" t="s">
        <v>41</v>
      </c>
      <c r="P328" s="6" t="str">
        <f>PROPER(TRIM(SUBSTITUTE(O328,".","")))</f>
        <v>Small Business</v>
      </c>
      <c r="Q328" s="3" t="s">
        <v>73</v>
      </c>
      <c r="R328" s="7" t="str">
        <f>PROPER(TRIM(SUBSTITUTE(Q328,"  "," ")))</f>
        <v>West</v>
      </c>
      <c r="S328" s="3" t="s">
        <v>74</v>
      </c>
      <c r="T328" s="6" t="str">
        <f>PROPER(TRIM(SUBSTITUTE(S328,"  "," ")))</f>
        <v>Maharashtra</v>
      </c>
      <c r="U328" s="3" t="s">
        <v>75</v>
      </c>
      <c r="V328" s="6" t="str">
        <f>PROPER(TRIM(SUBSTITUTE(U328,"  "," ")))</f>
        <v>Mumbai</v>
      </c>
      <c r="W328" s="3" t="s">
        <v>30</v>
      </c>
      <c r="X328" s="6" t="str">
        <f>PROPER(TRIM(SUBSTITUTE(W328,"  "," ")))</f>
        <v>Office Supplies</v>
      </c>
      <c r="Y328" s="3" t="s">
        <v>109</v>
      </c>
      <c r="Z328" s="6" t="str">
        <f>PROPER(TRIM(SUBSTITUTE(Y328,"  "," ")))</f>
        <v>Labels</v>
      </c>
      <c r="AA328" s="3" t="s">
        <v>3759</v>
      </c>
      <c r="AB328" s="3" t="s">
        <v>56</v>
      </c>
      <c r="AC328" s="6" t="str">
        <f>PROPER(TRIM(SUBSTITUTE(AB328,"  "," ")))</f>
        <v>First Class</v>
      </c>
      <c r="AD328" s="3">
        <v>8</v>
      </c>
      <c r="AE328" s="3">
        <v>1981.04</v>
      </c>
      <c r="AF328" s="3">
        <v>-0.14000000000000001</v>
      </c>
      <c r="AG328" s="17">
        <v>-0.14000000000000001</v>
      </c>
      <c r="AH328" s="6" t="str">
        <f t="shared" si="43"/>
        <v>Invalid - Negative</v>
      </c>
      <c r="AI328" s="3">
        <v>12678.66</v>
      </c>
      <c r="AJ328" s="3">
        <v>10088.65</v>
      </c>
      <c r="AK328" s="3">
        <v>2590.0100000000002</v>
      </c>
      <c r="AL328" s="3" t="s">
        <v>34</v>
      </c>
      <c r="AM328" s="6" t="str">
        <f>PROPER(TRIM(SUBSTITUTE(AL328,".","")))</f>
        <v>Paid</v>
      </c>
      <c r="AN328" s="3" t="s">
        <v>35</v>
      </c>
      <c r="AO328" s="8" t="str">
        <f>PROPER(TRIM(SUBSTITUTE(AN328,".","")))</f>
        <v>Completed</v>
      </c>
      <c r="AP328" t="str">
        <f>IF(COUNTIF($A$2:$A$933, A328) &gt; 1, "Duplicate ID", "Unique")</f>
        <v>Unique</v>
      </c>
      <c r="AR328">
        <f t="shared" si="44"/>
        <v>18067.084800000001</v>
      </c>
      <c r="AS328">
        <f t="shared" si="45"/>
        <v>7978.4348000000009</v>
      </c>
      <c r="AT328" s="15">
        <f t="shared" si="46"/>
        <v>0.44160056192352631</v>
      </c>
      <c r="AU328" t="str">
        <f t="shared" si="47"/>
        <v>Invalid</v>
      </c>
      <c r="AV328" s="8" t="str">
        <f t="shared" si="48"/>
        <v>Active</v>
      </c>
    </row>
    <row r="329" spans="1:48">
      <c r="A329" s="3" t="s">
        <v>972</v>
      </c>
      <c r="B329" s="3" t="s">
        <v>973</v>
      </c>
      <c r="C329" s="9">
        <f>IFERROR(DATEVALUE(TEXT(B329,"DD/MM/YYYY")), IF(ISNUMBER(B329), B329, ""))</f>
        <v>45565</v>
      </c>
      <c r="D329" s="9" t="str">
        <f>IF(B329="","Missing", IF(AND(ISNUMBER(B329)=FALSE, C329=""),"Invalid - Could Not Parse", IF(AND(ISNUMBER(B329)=FALSE, C329&lt;&gt;""),"Text - Converted to Date", IF(ISNUMBER(B329),"Valid","Check"))))</f>
        <v>Text - Converted to Date</v>
      </c>
      <c r="E329" s="5">
        <f t="shared" si="41"/>
        <v>9</v>
      </c>
      <c r="F329" s="5">
        <f t="shared" si="42"/>
        <v>2024</v>
      </c>
      <c r="G329" s="3" t="s">
        <v>974</v>
      </c>
      <c r="H329" s="9">
        <f>IFERROR(DATEVALUE(TEXT(G329,"DD/MM/YYYY")), IF(ISNUMBER(G329), G329, ""))</f>
        <v>45565</v>
      </c>
      <c r="I329" s="9" t="str">
        <f>IF(G329="","Missing", IF(AND(ISNUMBER(G329)=FALSE, H329=""),"Invalid - Could Not Parse", IF(AND(ISNUMBER(G329)=FALSE, H329&lt;&gt;""),"Text - Converted to Date", IF(ISNUMBER(G329),"Valid","Check"))))</f>
        <v>Text - Converted to Date</v>
      </c>
      <c r="J329" s="9" t="str">
        <f>IF(OR(C329="", H329=""), "Cannot Check - Date Missing", IF(H329&lt;C329, "Invalid - Ship Before Order", "Valid"))</f>
        <v>Valid</v>
      </c>
      <c r="K329" s="5">
        <f>IF(OR(C329="", H329=""), "", IF(H329&lt;C329, "", H329-C329))</f>
        <v>0</v>
      </c>
      <c r="L329" s="3" t="s">
        <v>975</v>
      </c>
      <c r="M329" s="3" t="s">
        <v>53</v>
      </c>
      <c r="N329" s="4" t="str">
        <f>TRIM(SUBSTITUTE(M329,"_"," "))</f>
        <v>Isha Nair</v>
      </c>
      <c r="O329" s="3" t="s">
        <v>108</v>
      </c>
      <c r="P329" s="6" t="str">
        <f>PROPER(TRIM(SUBSTITUTE(O329,".","")))</f>
        <v>Corporate</v>
      </c>
      <c r="Q329" s="3" t="s">
        <v>62</v>
      </c>
      <c r="R329" s="7" t="str">
        <f>PROPER(TRIM(SUBSTITUTE(Q329,"  "," ")))</f>
        <v>South</v>
      </c>
      <c r="S329" s="3" t="s">
        <v>63</v>
      </c>
      <c r="T329" s="6" t="str">
        <f>PROPER(TRIM(SUBSTITUTE(S329,"  "," ")))</f>
        <v>Telangana</v>
      </c>
      <c r="U329" s="3" t="s">
        <v>64</v>
      </c>
      <c r="V329" s="6" t="str">
        <f>PROPER(TRIM(SUBSTITUTE(U329,"  "," ")))</f>
        <v>Hyderabad</v>
      </c>
      <c r="W329" s="3" t="s">
        <v>30</v>
      </c>
      <c r="X329" s="6" t="str">
        <f>PROPER(TRIM(SUBSTITUTE(W329,"  "," ")))</f>
        <v>Office Supplies</v>
      </c>
      <c r="Y329" s="3" t="s">
        <v>54</v>
      </c>
      <c r="Z329" s="6" t="str">
        <f>PROPER(TRIM(SUBSTITUTE(Y329,"  "," ")))</f>
        <v>Art</v>
      </c>
      <c r="AA329" s="3" t="s">
        <v>976</v>
      </c>
      <c r="AB329" s="3" t="s">
        <v>67</v>
      </c>
      <c r="AC329" s="6" t="str">
        <f>PROPER(TRIM(SUBSTITUTE(AB329,"  "," ")))</f>
        <v>Standard Class</v>
      </c>
      <c r="AD329" s="3">
        <v>4</v>
      </c>
      <c r="AE329" s="3">
        <v>3281.74</v>
      </c>
      <c r="AF329" s="3">
        <v>0</v>
      </c>
      <c r="AG329" s="17">
        <v>0</v>
      </c>
      <c r="AH329" s="6" t="str">
        <f t="shared" si="43"/>
        <v>Valid</v>
      </c>
      <c r="AI329" s="3">
        <v>13126.96</v>
      </c>
      <c r="AJ329" s="3">
        <v>10732.44</v>
      </c>
      <c r="AK329" s="3">
        <v>2394.52</v>
      </c>
      <c r="AL329" s="3" t="s">
        <v>34</v>
      </c>
      <c r="AM329" s="6" t="str">
        <f>PROPER(TRIM(SUBSTITUTE(AL329,".","")))</f>
        <v>Paid</v>
      </c>
      <c r="AN329" s="3" t="s">
        <v>35</v>
      </c>
      <c r="AO329" s="8" t="str">
        <f>PROPER(TRIM(SUBSTITUTE(AN329,".","")))</f>
        <v>Completed</v>
      </c>
      <c r="AP329" t="str">
        <f>IF(COUNTIF($A$2:$A$933, A329) &gt; 1, "Duplicate ID", "Unique")</f>
        <v>Unique</v>
      </c>
      <c r="AR329">
        <f t="shared" si="44"/>
        <v>13126.96</v>
      </c>
      <c r="AS329">
        <f t="shared" si="45"/>
        <v>2394.5199999999986</v>
      </c>
      <c r="AT329" s="15">
        <f t="shared" si="46"/>
        <v>0.18241237879905162</v>
      </c>
      <c r="AU329" t="str">
        <f t="shared" si="47"/>
        <v>Clean</v>
      </c>
      <c r="AV329" s="8" t="str">
        <f t="shared" si="48"/>
        <v>Active</v>
      </c>
    </row>
    <row r="330" spans="1:48">
      <c r="A330" s="3" t="s">
        <v>523</v>
      </c>
      <c r="B330" s="3" t="s">
        <v>524</v>
      </c>
      <c r="C330" s="9">
        <f>IFERROR(DATEVALUE(TEXT(B330,"DD/MM/YYYY")), IF(ISNUMBER(B330), B330, ""))</f>
        <v>45566</v>
      </c>
      <c r="D330" s="9" t="str">
        <f>IF(B330="","Missing", IF(AND(ISNUMBER(B330)=FALSE, C330=""),"Invalid - Could Not Parse", IF(AND(ISNUMBER(B330)=FALSE, C330&lt;&gt;""),"Text - Converted to Date", IF(ISNUMBER(B330),"Valid","Check"))))</f>
        <v>Text - Converted to Date</v>
      </c>
      <c r="E330" s="5">
        <f t="shared" si="41"/>
        <v>10</v>
      </c>
      <c r="F330" s="5">
        <f t="shared" si="42"/>
        <v>2024</v>
      </c>
      <c r="G330" s="3" t="s">
        <v>525</v>
      </c>
      <c r="H330" s="9">
        <f>IFERROR(DATEVALUE(TEXT(G330,"DD/MM/YYYY")), IF(ISNUMBER(G330), G330, ""))</f>
        <v>45568</v>
      </c>
      <c r="I330" s="9" t="str">
        <f>IF(G330="","Missing", IF(AND(ISNUMBER(G330)=FALSE, H330=""),"Invalid - Could Not Parse", IF(AND(ISNUMBER(G330)=FALSE, H330&lt;&gt;""),"Text - Converted to Date", IF(ISNUMBER(G330),"Valid","Check"))))</f>
        <v>Text - Converted to Date</v>
      </c>
      <c r="J330" s="9" t="str">
        <f>IF(OR(C330="", H330=""), "Cannot Check - Date Missing", IF(H330&lt;C330, "Invalid - Ship Before Order", "Valid"))</f>
        <v>Valid</v>
      </c>
      <c r="K330" s="5">
        <f>IF(OR(C330="", H330=""), "", IF(H330&lt;C330, "", H330-C330))</f>
        <v>2</v>
      </c>
      <c r="L330" s="3" t="s">
        <v>526</v>
      </c>
      <c r="M330" s="3" t="s">
        <v>180</v>
      </c>
      <c r="N330" s="4" t="str">
        <f>TRIM(SUBSTITUTE(M330,"_"," "))</f>
        <v>Rohan Mehta</v>
      </c>
      <c r="O330" s="3" t="s">
        <v>108</v>
      </c>
      <c r="P330" s="6" t="str">
        <f>PROPER(TRIM(SUBSTITUTE(O330,".","")))</f>
        <v>Corporate</v>
      </c>
      <c r="Q330" s="3" t="s">
        <v>62</v>
      </c>
      <c r="R330" s="7" t="str">
        <f>PROPER(TRIM(SUBSTITUTE(Q330,"  "," ")))</f>
        <v>South</v>
      </c>
      <c r="S330" s="3" t="s">
        <v>339</v>
      </c>
      <c r="T330" s="6" t="str">
        <f>PROPER(TRIM(SUBSTITUTE(S330,"  "," ")))</f>
        <v>Tamil Nadu</v>
      </c>
      <c r="U330" s="3" t="s">
        <v>340</v>
      </c>
      <c r="V330" s="6" t="str">
        <f>PROPER(TRIM(SUBSTITUTE(U330,"  "," ")))</f>
        <v>Chennai</v>
      </c>
      <c r="W330" s="3" t="s">
        <v>86</v>
      </c>
      <c r="X330" s="6" t="str">
        <f>PROPER(TRIM(SUBSTITUTE(W330,"  "," ")))</f>
        <v>Technology</v>
      </c>
      <c r="Y330" s="3" t="s">
        <v>223</v>
      </c>
      <c r="Z330" s="6" t="str">
        <f>PROPER(TRIM(SUBSTITUTE(Y330,"  "," ")))</f>
        <v>Phones</v>
      </c>
      <c r="AA330" s="3" t="s">
        <v>527</v>
      </c>
      <c r="AB330" s="3" t="s">
        <v>33</v>
      </c>
      <c r="AC330" s="6" t="str">
        <f>PROPER(TRIM(SUBSTITUTE(AB330,"  "," ")))</f>
        <v>Second Class</v>
      </c>
      <c r="AD330" s="3">
        <v>6</v>
      </c>
      <c r="AE330" s="3">
        <v>570.28</v>
      </c>
      <c r="AF330" s="3">
        <v>0.2</v>
      </c>
      <c r="AG330" s="17">
        <v>0.2</v>
      </c>
      <c r="AH330" s="6" t="str">
        <f t="shared" si="43"/>
        <v>Valid</v>
      </c>
      <c r="AI330" s="3">
        <v>2737.34</v>
      </c>
      <c r="AJ330" s="3">
        <v>2085.44</v>
      </c>
      <c r="AK330" s="3">
        <v>651.9</v>
      </c>
      <c r="AL330" s="3" t="s">
        <v>34</v>
      </c>
      <c r="AM330" s="6" t="str">
        <f>PROPER(TRIM(SUBSTITUTE(AL330,".","")))</f>
        <v>Paid</v>
      </c>
      <c r="AN330" s="3" t="s">
        <v>35</v>
      </c>
      <c r="AO330" s="8" t="str">
        <f>PROPER(TRIM(SUBSTITUTE(AN330,".","")))</f>
        <v>Completed</v>
      </c>
      <c r="AP330" t="str">
        <f>IF(COUNTIF($A$2:$A$933, A330) &gt; 1, "Duplicate ID", "Unique")</f>
        <v>Unique</v>
      </c>
      <c r="AR330">
        <f t="shared" si="44"/>
        <v>2737.3440000000001</v>
      </c>
      <c r="AS330">
        <f t="shared" si="45"/>
        <v>651.904</v>
      </c>
      <c r="AT330" s="15">
        <f t="shared" si="46"/>
        <v>0.23815201889130486</v>
      </c>
      <c r="AU330" t="str">
        <f t="shared" si="47"/>
        <v>Clean</v>
      </c>
      <c r="AV330" s="8" t="str">
        <f t="shared" si="48"/>
        <v>Active</v>
      </c>
    </row>
    <row r="331" spans="1:48">
      <c r="A331" s="3" t="s">
        <v>1453</v>
      </c>
      <c r="B331" s="3" t="s">
        <v>1454</v>
      </c>
      <c r="C331" s="9">
        <f>IFERROR(DATEVALUE(TEXT(B331,"DD/MM/YYYY")), IF(ISNUMBER(B331), B331, ""))</f>
        <v>45566</v>
      </c>
      <c r="D331" s="9" t="str">
        <f>IF(B331="","Missing", IF(AND(ISNUMBER(B331)=FALSE, C331=""),"Invalid - Could Not Parse", IF(AND(ISNUMBER(B331)=FALSE, C331&lt;&gt;""),"Text - Converted to Date", IF(ISNUMBER(B331),"Valid","Check"))))</f>
        <v>Text - Converted to Date</v>
      </c>
      <c r="E331" s="5">
        <f t="shared" si="41"/>
        <v>10</v>
      </c>
      <c r="F331" s="5">
        <f t="shared" si="42"/>
        <v>2024</v>
      </c>
      <c r="G331" s="3" t="s">
        <v>1455</v>
      </c>
      <c r="H331" s="9">
        <f>IFERROR(DATEVALUE(TEXT(G331,"DD/MM/YYYY")), IF(ISNUMBER(G331), G331, ""))</f>
        <v>45332</v>
      </c>
      <c r="I331" s="9" t="str">
        <f>IF(G331="","Missing", IF(AND(ISNUMBER(G331)=FALSE, H331=""),"Invalid - Could Not Parse", IF(AND(ISNUMBER(G331)=FALSE, H331&lt;&gt;""),"Text - Converted to Date", IF(ISNUMBER(G331),"Valid","Check"))))</f>
        <v>Text - Converted to Date</v>
      </c>
      <c r="J331" s="9" t="str">
        <f>IF(OR(C331="", H331=""), "Cannot Check - Date Missing", IF(H331&lt;C331, "Invalid - Ship Before Order", "Valid"))</f>
        <v>Invalid - Ship Before Order</v>
      </c>
      <c r="K331" s="5" t="str">
        <f>IF(OR(C331="", H331=""), "", IF(H331&lt;C331, "", H331-C331))</f>
        <v/>
      </c>
      <c r="L331" s="3" t="s">
        <v>1456</v>
      </c>
      <c r="M331" s="3" t="s">
        <v>25</v>
      </c>
      <c r="N331" s="4" t="str">
        <f>TRIM(SUBSTITUTE(M331,"_"," "))</f>
        <v>Karan Malhotra</v>
      </c>
      <c r="O331" s="3" t="s">
        <v>115</v>
      </c>
      <c r="P331" s="6" t="str">
        <f>PROPER(TRIM(SUBSTITUTE(O331,".","")))</f>
        <v>Home Office</v>
      </c>
      <c r="Q331" s="3" t="s">
        <v>42</v>
      </c>
      <c r="R331" s="7" t="str">
        <f>PROPER(TRIM(SUBSTITUTE(Q331,"  "," ")))</f>
        <v>East</v>
      </c>
      <c r="S331" s="3" t="s">
        <v>216</v>
      </c>
      <c r="T331" s="6" t="str">
        <f>PROPER(TRIM(SUBSTITUTE(S331,"  "," ")))</f>
        <v>Assam</v>
      </c>
      <c r="U331" s="3" t="s">
        <v>217</v>
      </c>
      <c r="V331" s="6" t="str">
        <f>PROPER(TRIM(SUBSTITUTE(U331,"  "," ")))</f>
        <v>Guwahati</v>
      </c>
      <c r="W331" s="3" t="s">
        <v>45</v>
      </c>
      <c r="X331" s="6" t="str">
        <f>PROPER(TRIM(SUBSTITUTE(W331,"  "," ")))</f>
        <v>Furniture</v>
      </c>
      <c r="Y331" s="3" t="s">
        <v>46</v>
      </c>
      <c r="Z331" s="6" t="str">
        <f>PROPER(TRIM(SUBSTITUTE(Y331,"  "," ")))</f>
        <v>Tables</v>
      </c>
      <c r="AA331" s="3" t="s">
        <v>1457</v>
      </c>
      <c r="AB331" s="3" t="s">
        <v>33</v>
      </c>
      <c r="AC331" s="6" t="str">
        <f>PROPER(TRIM(SUBSTITUTE(AB331,"  "," ")))</f>
        <v>Second Class</v>
      </c>
      <c r="AD331" s="3">
        <v>2</v>
      </c>
      <c r="AE331" s="3">
        <v>2298</v>
      </c>
      <c r="AF331" s="3">
        <v>0</v>
      </c>
      <c r="AG331" s="17">
        <v>0</v>
      </c>
      <c r="AH331" s="6" t="str">
        <f t="shared" si="43"/>
        <v>Valid</v>
      </c>
      <c r="AI331" s="3">
        <v>4596</v>
      </c>
      <c r="AJ331" s="3">
        <v>3220.33</v>
      </c>
      <c r="AK331" s="3">
        <v>1375.67</v>
      </c>
      <c r="AL331" s="3" t="s">
        <v>34</v>
      </c>
      <c r="AM331" s="6" t="str">
        <f>PROPER(TRIM(SUBSTITUTE(AL331,".","")))</f>
        <v>Paid</v>
      </c>
      <c r="AN331" s="3" t="s">
        <v>35</v>
      </c>
      <c r="AO331" s="8" t="str">
        <f>PROPER(TRIM(SUBSTITUTE(AN331,".","")))</f>
        <v>Completed</v>
      </c>
      <c r="AP331" t="str">
        <f>IF(COUNTIF($A$2:$A$933, A331) &gt; 1, "Duplicate ID", "Unique")</f>
        <v>Unique</v>
      </c>
      <c r="AR331">
        <f t="shared" si="44"/>
        <v>4596</v>
      </c>
      <c r="AS331">
        <f t="shared" si="45"/>
        <v>1375.67</v>
      </c>
      <c r="AT331" s="15">
        <f t="shared" si="46"/>
        <v>0.29931897302001742</v>
      </c>
      <c r="AU331" t="str">
        <f t="shared" si="47"/>
        <v>Invalid</v>
      </c>
      <c r="AV331" s="8" t="str">
        <f t="shared" si="48"/>
        <v>Active</v>
      </c>
    </row>
    <row r="332" spans="1:48">
      <c r="A332" s="3" t="s">
        <v>3012</v>
      </c>
      <c r="B332" s="3" t="s">
        <v>3013</v>
      </c>
      <c r="C332" s="9">
        <f>IFERROR(DATEVALUE(TEXT(B332,"DD/MM/YYYY")), IF(ISNUMBER(B332), B332, ""))</f>
        <v>45567</v>
      </c>
      <c r="D332" s="9" t="str">
        <f>IF(B332="","Missing", IF(AND(ISNUMBER(B332)=FALSE, C332=""),"Invalid - Could Not Parse", IF(AND(ISNUMBER(B332)=FALSE, C332&lt;&gt;""),"Text - Converted to Date", IF(ISNUMBER(B332),"Valid","Check"))))</f>
        <v>Text - Converted to Date</v>
      </c>
      <c r="E332" s="5">
        <f t="shared" si="41"/>
        <v>10</v>
      </c>
      <c r="F332" s="5">
        <f t="shared" si="42"/>
        <v>2024</v>
      </c>
      <c r="G332" s="3" t="s">
        <v>3014</v>
      </c>
      <c r="H332" s="9">
        <f>IFERROR(DATEVALUE(TEXT(G332,"DD/MM/YYYY")), IF(ISNUMBER(G332), G332, ""))</f>
        <v>45574</v>
      </c>
      <c r="I332" s="9" t="str">
        <f>IF(G332="","Missing", IF(AND(ISNUMBER(G332)=FALSE, H332=""),"Invalid - Could Not Parse", IF(AND(ISNUMBER(G332)=FALSE, H332&lt;&gt;""),"Text - Converted to Date", IF(ISNUMBER(G332),"Valid","Check"))))</f>
        <v>Text - Converted to Date</v>
      </c>
      <c r="J332" s="9" t="str">
        <f>IF(OR(C332="", H332=""), "Cannot Check - Date Missing", IF(H332&lt;C332, "Invalid - Ship Before Order", "Valid"))</f>
        <v>Valid</v>
      </c>
      <c r="K332" s="5">
        <f>IF(OR(C332="", H332=""), "", IF(H332&lt;C332, "", H332-C332))</f>
        <v>7</v>
      </c>
      <c r="L332" s="3" t="s">
        <v>3015</v>
      </c>
      <c r="M332" s="3" t="s">
        <v>72</v>
      </c>
      <c r="N332" s="4" t="str">
        <f>TRIM(SUBSTITUTE(M332,"_"," "))</f>
        <v>Ananya Rao</v>
      </c>
      <c r="O332" s="3" t="s">
        <v>26</v>
      </c>
      <c r="P332" s="6" t="str">
        <f>PROPER(TRIM(SUBSTITUTE(O332,".","")))</f>
        <v>Consumer</v>
      </c>
      <c r="Q332" s="3" t="s">
        <v>62</v>
      </c>
      <c r="R332" s="7" t="str">
        <f>PROPER(TRIM(SUBSTITUTE(Q332,"  "," ")))</f>
        <v>South</v>
      </c>
      <c r="S332" s="3" t="s">
        <v>339</v>
      </c>
      <c r="T332" s="6" t="str">
        <f>PROPER(TRIM(SUBSTITUTE(S332,"  "," ")))</f>
        <v>Tamil Nadu</v>
      </c>
      <c r="U332" s="3" t="s">
        <v>340</v>
      </c>
      <c r="V332" s="6" t="str">
        <f>PROPER(TRIM(SUBSTITUTE(U332,"  "," ")))</f>
        <v>Chennai</v>
      </c>
      <c r="W332" s="3" t="s">
        <v>30</v>
      </c>
      <c r="X332" s="6" t="str">
        <f>PROPER(TRIM(SUBSTITUTE(W332,"  "," ")))</f>
        <v>Office Supplies</v>
      </c>
      <c r="Y332" s="3" t="s">
        <v>31</v>
      </c>
      <c r="Z332" s="6" t="str">
        <f>PROPER(TRIM(SUBSTITUTE(Y332,"  "," ")))</f>
        <v>Paper</v>
      </c>
      <c r="AA332" s="3" t="s">
        <v>3016</v>
      </c>
      <c r="AB332" s="3" t="s">
        <v>67</v>
      </c>
      <c r="AC332" s="6" t="str">
        <f>PROPER(TRIM(SUBSTITUTE(AB332,"  "," ")))</f>
        <v>Standard Class</v>
      </c>
      <c r="AD332" s="3">
        <v>8</v>
      </c>
      <c r="AE332" s="3">
        <v>1910.31</v>
      </c>
      <c r="AF332" s="3">
        <v>0.15</v>
      </c>
      <c r="AG332" s="17">
        <v>0.15</v>
      </c>
      <c r="AH332" s="6" t="str">
        <f t="shared" si="43"/>
        <v>Valid</v>
      </c>
      <c r="AI332" s="3">
        <v>12990.11</v>
      </c>
      <c r="AJ332" s="3">
        <v>10200.799999999999</v>
      </c>
      <c r="AK332" s="3">
        <v>2789.31</v>
      </c>
      <c r="AL332" s="3" t="s">
        <v>34</v>
      </c>
      <c r="AM332" s="6" t="str">
        <f>PROPER(TRIM(SUBSTITUTE(AL332,".","")))</f>
        <v>Paid</v>
      </c>
      <c r="AN332" s="3" t="s">
        <v>35</v>
      </c>
      <c r="AO332" s="8" t="str">
        <f>PROPER(TRIM(SUBSTITUTE(AN332,".","")))</f>
        <v>Completed</v>
      </c>
      <c r="AP332" t="str">
        <f>IF(COUNTIF($A$2:$A$933, A332) &gt; 1, "Duplicate ID", "Unique")</f>
        <v>Unique</v>
      </c>
      <c r="AR332">
        <f t="shared" si="44"/>
        <v>12990.108</v>
      </c>
      <c r="AS332">
        <f t="shared" si="45"/>
        <v>2789.3080000000009</v>
      </c>
      <c r="AT332" s="15">
        <f t="shared" si="46"/>
        <v>0.2147255434673831</v>
      </c>
      <c r="AU332" t="str">
        <f t="shared" si="47"/>
        <v>Clean</v>
      </c>
      <c r="AV332" s="8" t="str">
        <f t="shared" si="48"/>
        <v>Active</v>
      </c>
    </row>
    <row r="333" spans="1:48">
      <c r="A333" s="3" t="s">
        <v>3373</v>
      </c>
      <c r="B333" s="3" t="s">
        <v>3374</v>
      </c>
      <c r="C333" s="9">
        <f>IFERROR(DATEVALUE(TEXT(B333,"DD/MM/YYYY")), IF(ISNUMBER(B333), B333, ""))</f>
        <v>45567</v>
      </c>
      <c r="D333" s="9" t="str">
        <f>IF(B333="","Missing", IF(AND(ISNUMBER(B333)=FALSE, C333=""),"Invalid - Could Not Parse", IF(AND(ISNUMBER(B333)=FALSE, C333&lt;&gt;""),"Text - Converted to Date", IF(ISNUMBER(B333),"Valid","Check"))))</f>
        <v>Text - Converted to Date</v>
      </c>
      <c r="E333" s="5">
        <f t="shared" si="41"/>
        <v>10</v>
      </c>
      <c r="F333" s="5">
        <f t="shared" si="42"/>
        <v>2024</v>
      </c>
      <c r="G333" s="3" t="s">
        <v>1611</v>
      </c>
      <c r="H333" s="9">
        <f>IFERROR(DATEVALUE(TEXT(G333,"DD/MM/YYYY")), IF(ISNUMBER(G333), G333, ""))</f>
        <v>45338</v>
      </c>
      <c r="I333" s="9" t="str">
        <f>IF(G333="","Missing", IF(AND(ISNUMBER(G333)=FALSE, H333=""),"Invalid - Could Not Parse", IF(AND(ISNUMBER(G333)=FALSE, H333&lt;&gt;""),"Text - Converted to Date", IF(ISNUMBER(G333),"Valid","Check"))))</f>
        <v>Text - Converted to Date</v>
      </c>
      <c r="J333" s="9" t="str">
        <f>IF(OR(C333="", H333=""), "Cannot Check - Date Missing", IF(H333&lt;C333, "Invalid - Ship Before Order", "Valid"))</f>
        <v>Invalid - Ship Before Order</v>
      </c>
      <c r="K333" s="5" t="str">
        <f>IF(OR(C333="", H333=""), "", IF(H333&lt;C333, "", H333-C333))</f>
        <v/>
      </c>
      <c r="L333" s="3" t="s">
        <v>3375</v>
      </c>
      <c r="M333" s="3" t="s">
        <v>25</v>
      </c>
      <c r="N333" s="4" t="str">
        <f>TRIM(SUBSTITUTE(M333,"_"," "))</f>
        <v>Karan Malhotra</v>
      </c>
      <c r="O333" s="3" t="s">
        <v>26</v>
      </c>
      <c r="P333" s="6" t="str">
        <f>PROPER(TRIM(SUBSTITUTE(O333,".","")))</f>
        <v>Consumer</v>
      </c>
      <c r="Q333" s="3" t="s">
        <v>73</v>
      </c>
      <c r="R333" s="7" t="str">
        <f>PROPER(TRIM(SUBSTITUTE(Q333,"  "," ")))</f>
        <v>West</v>
      </c>
      <c r="S333" s="3" t="s">
        <v>249</v>
      </c>
      <c r="T333" s="6" t="str">
        <f>PROPER(TRIM(SUBSTITUTE(S333,"  "," ")))</f>
        <v>Goa</v>
      </c>
      <c r="U333" s="3" t="s">
        <v>250</v>
      </c>
      <c r="V333" s="6" t="str">
        <f>PROPER(TRIM(SUBSTITUTE(U333,"  "," ")))</f>
        <v>Panaji</v>
      </c>
      <c r="W333" s="3" t="s">
        <v>45</v>
      </c>
      <c r="X333" s="6" t="str">
        <f>PROPER(TRIM(SUBSTITUTE(W333,"  "," ")))</f>
        <v>Furniture</v>
      </c>
      <c r="Y333" s="3" t="s">
        <v>65</v>
      </c>
      <c r="Z333" s="6" t="str">
        <f>PROPER(TRIM(SUBSTITUTE(Y333,"  "," ")))</f>
        <v>Furnishings</v>
      </c>
      <c r="AA333" s="3" t="s">
        <v>3376</v>
      </c>
      <c r="AB333" s="3" t="s">
        <v>33</v>
      </c>
      <c r="AC333" s="6" t="str">
        <f>PROPER(TRIM(SUBSTITUTE(AB333,"  "," ")))</f>
        <v>Second Class</v>
      </c>
      <c r="AD333" s="3">
        <v>3</v>
      </c>
      <c r="AE333" s="3">
        <v>253.43</v>
      </c>
      <c r="AF333" s="3">
        <v>0</v>
      </c>
      <c r="AG333" s="17">
        <v>0</v>
      </c>
      <c r="AH333" s="6" t="str">
        <f t="shared" si="43"/>
        <v>Valid</v>
      </c>
      <c r="AI333" s="3">
        <v>760.29</v>
      </c>
      <c r="AJ333" s="3">
        <v>497.77</v>
      </c>
      <c r="AK333" s="3">
        <v>262.52</v>
      </c>
      <c r="AL333" s="3" t="s">
        <v>34</v>
      </c>
      <c r="AM333" s="6" t="str">
        <f>PROPER(TRIM(SUBSTITUTE(AL333,".","")))</f>
        <v>Paid</v>
      </c>
      <c r="AN333" s="3" t="s">
        <v>35</v>
      </c>
      <c r="AO333" s="8" t="str">
        <f>PROPER(TRIM(SUBSTITUTE(AN333,".","")))</f>
        <v>Completed</v>
      </c>
      <c r="AP333" t="str">
        <f>IF(COUNTIF($A$2:$A$933, A333) &gt; 1, "Duplicate ID", "Unique")</f>
        <v>Unique</v>
      </c>
      <c r="AR333">
        <f t="shared" si="44"/>
        <v>760.29</v>
      </c>
      <c r="AS333">
        <f t="shared" si="45"/>
        <v>262.52</v>
      </c>
      <c r="AT333" s="15">
        <f t="shared" si="46"/>
        <v>0.34528929750489945</v>
      </c>
      <c r="AU333" t="str">
        <f t="shared" si="47"/>
        <v>Invalid</v>
      </c>
      <c r="AV333" s="8" t="str">
        <f t="shared" si="48"/>
        <v>Active</v>
      </c>
    </row>
    <row r="334" spans="1:48">
      <c r="A334" s="3" t="s">
        <v>3647</v>
      </c>
      <c r="B334" s="3" t="s">
        <v>3013</v>
      </c>
      <c r="C334" s="9">
        <f>IFERROR(DATEVALUE(TEXT(B334,"DD/MM/YYYY")), IF(ISNUMBER(B334), B334, ""))</f>
        <v>45567</v>
      </c>
      <c r="D334" s="9" t="str">
        <f>IF(B334="","Missing", IF(AND(ISNUMBER(B334)=FALSE, C334=""),"Invalid - Could Not Parse", IF(AND(ISNUMBER(B334)=FALSE, C334&lt;&gt;""),"Text - Converted to Date", IF(ISNUMBER(B334),"Valid","Check"))))</f>
        <v>Text - Converted to Date</v>
      </c>
      <c r="E334" s="5">
        <f t="shared" si="41"/>
        <v>10</v>
      </c>
      <c r="F334" s="5">
        <f t="shared" si="42"/>
        <v>2024</v>
      </c>
      <c r="G334" s="3" t="s">
        <v>3648</v>
      </c>
      <c r="H334" s="9">
        <f>IFERROR(DATEVALUE(TEXT(G334,"DD/MM/YYYY")), IF(ISNUMBER(G334), G334, ""))</f>
        <v>45571</v>
      </c>
      <c r="I334" s="9" t="str">
        <f>IF(G334="","Missing", IF(AND(ISNUMBER(G334)=FALSE, H334=""),"Invalid - Could Not Parse", IF(AND(ISNUMBER(G334)=FALSE, H334&lt;&gt;""),"Text - Converted to Date", IF(ISNUMBER(G334),"Valid","Check"))))</f>
        <v>Text - Converted to Date</v>
      </c>
      <c r="J334" s="9" t="str">
        <f>IF(OR(C334="", H334=""), "Cannot Check - Date Missing", IF(H334&lt;C334, "Invalid - Ship Before Order", "Valid"))</f>
        <v>Valid</v>
      </c>
      <c r="K334" s="5">
        <f>IF(OR(C334="", H334=""), "", IF(H334&lt;C334, "", H334-C334))</f>
        <v>4</v>
      </c>
      <c r="L334" s="3" t="s">
        <v>3649</v>
      </c>
      <c r="M334" s="3" t="s">
        <v>148</v>
      </c>
      <c r="N334" s="4" t="str">
        <f>TRIM(SUBSTITUTE(M334,"_"," "))</f>
        <v>Rahul Verma</v>
      </c>
      <c r="O334" s="3" t="s">
        <v>115</v>
      </c>
      <c r="P334" s="6" t="str">
        <f>PROPER(TRIM(SUBSTITUTE(O334,".","")))</f>
        <v>Home Office</v>
      </c>
      <c r="Q334" s="3" t="s">
        <v>62</v>
      </c>
      <c r="R334" s="7" t="str">
        <f>PROPER(TRIM(SUBSTITUTE(Q334,"  "," ")))</f>
        <v>South</v>
      </c>
      <c r="S334" s="3" t="s">
        <v>229</v>
      </c>
      <c r="T334" s="6" t="str">
        <f>PROPER(TRIM(SUBSTITUTE(S334,"  "," ")))</f>
        <v>Karnataka</v>
      </c>
      <c r="U334" s="3" t="s">
        <v>230</v>
      </c>
      <c r="V334" s="6" t="str">
        <f>PROPER(TRIM(SUBSTITUTE(U334,"  "," ")))</f>
        <v>Bengaluru</v>
      </c>
      <c r="W334" s="3" t="s">
        <v>45</v>
      </c>
      <c r="X334" s="6" t="str">
        <f>PROPER(TRIM(SUBSTITUTE(W334,"  "," ")))</f>
        <v>Furniture</v>
      </c>
      <c r="Y334" s="3" t="s">
        <v>204</v>
      </c>
      <c r="Z334" s="6" t="str">
        <f>PROPER(TRIM(SUBSTITUTE(Y334,"  "," ")))</f>
        <v>Bookcases</v>
      </c>
      <c r="AA334" s="3" t="s">
        <v>3650</v>
      </c>
      <c r="AB334" s="3" t="s">
        <v>48</v>
      </c>
      <c r="AC334" s="6" t="str">
        <f>PROPER(TRIM(SUBSTITUTE(AB334,"  "," ")))</f>
        <v>Same Day</v>
      </c>
      <c r="AD334" s="3">
        <v>8</v>
      </c>
      <c r="AE334" s="3">
        <v>1558.77</v>
      </c>
      <c r="AF334" s="3">
        <v>0.25</v>
      </c>
      <c r="AG334" s="17">
        <v>0.25</v>
      </c>
      <c r="AH334" s="6" t="str">
        <f t="shared" si="43"/>
        <v>Valid</v>
      </c>
      <c r="AI334" s="3">
        <v>9352.6200000000008</v>
      </c>
      <c r="AJ334" s="3">
        <v>5269.41</v>
      </c>
      <c r="AK334" s="3">
        <v>4083.21</v>
      </c>
      <c r="AL334" s="3" t="s">
        <v>34</v>
      </c>
      <c r="AM334" s="6" t="str">
        <f>PROPER(TRIM(SUBSTITUTE(AL334,".","")))</f>
        <v>Paid</v>
      </c>
      <c r="AN334" s="3" t="s">
        <v>35</v>
      </c>
      <c r="AO334" s="8" t="str">
        <f>PROPER(TRIM(SUBSTITUTE(AN334,".","")))</f>
        <v>Completed</v>
      </c>
      <c r="AP334" t="str">
        <f>IF(COUNTIF($A$2:$A$933, A334) &gt; 1, "Duplicate ID", "Unique")</f>
        <v>Unique</v>
      </c>
      <c r="AR334">
        <f t="shared" si="44"/>
        <v>9352.619999999999</v>
      </c>
      <c r="AS334">
        <f t="shared" si="45"/>
        <v>4083.2099999999991</v>
      </c>
      <c r="AT334" s="15">
        <f t="shared" si="46"/>
        <v>0.43658461479243243</v>
      </c>
      <c r="AU334" t="str">
        <f t="shared" si="47"/>
        <v>Clean</v>
      </c>
      <c r="AV334" s="8" t="str">
        <f t="shared" si="48"/>
        <v>Active</v>
      </c>
    </row>
    <row r="335" spans="1:48">
      <c r="A335" s="3" t="s">
        <v>2173</v>
      </c>
      <c r="B335" s="3" t="s">
        <v>2174</v>
      </c>
      <c r="C335" s="9">
        <f>IFERROR(DATEVALUE(TEXT(B335,"DD/MM/YYYY")), IF(ISNUMBER(B335), B335, ""))</f>
        <v>45568</v>
      </c>
      <c r="D335" s="9" t="str">
        <f>IF(B335="","Missing", IF(AND(ISNUMBER(B335)=FALSE, C335=""),"Invalid - Could Not Parse", IF(AND(ISNUMBER(B335)=FALSE, C335&lt;&gt;""),"Text - Converted to Date", IF(ISNUMBER(B335),"Valid","Check"))))</f>
        <v>Text - Converted to Date</v>
      </c>
      <c r="E335" s="5">
        <f t="shared" si="41"/>
        <v>10</v>
      </c>
      <c r="F335" s="5">
        <f t="shared" si="42"/>
        <v>2024</v>
      </c>
      <c r="G335" s="3" t="s">
        <v>525</v>
      </c>
      <c r="H335" s="9">
        <f>IFERROR(DATEVALUE(TEXT(G335,"DD/MM/YYYY")), IF(ISNUMBER(G335), G335, ""))</f>
        <v>45568</v>
      </c>
      <c r="I335" s="9" t="str">
        <f>IF(G335="","Missing", IF(AND(ISNUMBER(G335)=FALSE, H335=""),"Invalid - Could Not Parse", IF(AND(ISNUMBER(G335)=FALSE, H335&lt;&gt;""),"Text - Converted to Date", IF(ISNUMBER(G335),"Valid","Check"))))</f>
        <v>Text - Converted to Date</v>
      </c>
      <c r="J335" s="9" t="str">
        <f>IF(OR(C335="", H335=""), "Cannot Check - Date Missing", IF(H335&lt;C335, "Invalid - Ship Before Order", "Valid"))</f>
        <v>Valid</v>
      </c>
      <c r="K335" s="5">
        <f>IF(OR(C335="", H335=""), "", IF(H335&lt;C335, "", H335-C335))</f>
        <v>0</v>
      </c>
      <c r="L335" s="3" t="s">
        <v>2175</v>
      </c>
      <c r="M335" s="3" t="s">
        <v>25</v>
      </c>
      <c r="N335" s="4" t="str">
        <f>TRIM(SUBSTITUTE(M335,"_"," "))</f>
        <v>Karan Malhotra</v>
      </c>
      <c r="O335" s="3" t="s">
        <v>26</v>
      </c>
      <c r="P335" s="6" t="str">
        <f>PROPER(TRIM(SUBSTITUTE(O335,".","")))</f>
        <v>Consumer</v>
      </c>
      <c r="Q335" s="3" t="s">
        <v>42</v>
      </c>
      <c r="R335" s="7" t="str">
        <f>PROPER(TRIM(SUBSTITUTE(Q335,"  "," ")))</f>
        <v>East</v>
      </c>
      <c r="S335" s="3" t="s">
        <v>186</v>
      </c>
      <c r="T335" s="6" t="str">
        <f>PROPER(TRIM(SUBSTITUTE(S335,"  "," ")))</f>
        <v>Bihar</v>
      </c>
      <c r="U335" s="3" t="s">
        <v>187</v>
      </c>
      <c r="V335" s="6" t="str">
        <f>PROPER(TRIM(SUBSTITUTE(U335,"  "," ")))</f>
        <v>Patna</v>
      </c>
      <c r="W335" s="3" t="s">
        <v>45</v>
      </c>
      <c r="X335" s="6" t="str">
        <f>PROPER(TRIM(SUBSTITUTE(W335,"  "," ")))</f>
        <v>Furniture</v>
      </c>
      <c r="Y335" s="3" t="s">
        <v>204</v>
      </c>
      <c r="Z335" s="6" t="str">
        <f>PROPER(TRIM(SUBSTITUTE(Y335,"  "," ")))</f>
        <v>Bookcases</v>
      </c>
      <c r="AA335" s="3" t="s">
        <v>2176</v>
      </c>
      <c r="AB335" s="3" t="s">
        <v>67</v>
      </c>
      <c r="AC335" s="6" t="str">
        <f>PROPER(TRIM(SUBSTITUTE(AB335,"  "," ")))</f>
        <v>Standard Class</v>
      </c>
      <c r="AD335" s="3">
        <v>6</v>
      </c>
      <c r="AE335" s="3">
        <v>4217.49</v>
      </c>
      <c r="AF335" s="3">
        <v>0</v>
      </c>
      <c r="AG335" s="17">
        <v>0</v>
      </c>
      <c r="AH335" s="6" t="str">
        <f t="shared" si="43"/>
        <v>Valid</v>
      </c>
      <c r="AI335" s="3">
        <v>25304.94</v>
      </c>
      <c r="AJ335" s="3">
        <v>20771.95</v>
      </c>
      <c r="AK335" s="3">
        <v>4532.99</v>
      </c>
      <c r="AL335" s="3" t="s">
        <v>34</v>
      </c>
      <c r="AM335" s="6" t="str">
        <f>PROPER(TRIM(SUBSTITUTE(AL335,".","")))</f>
        <v>Paid</v>
      </c>
      <c r="AN335" s="3" t="s">
        <v>78</v>
      </c>
      <c r="AO335" s="8" t="str">
        <f>PROPER(TRIM(SUBSTITUTE(AN335,".","")))</f>
        <v>Cancelled</v>
      </c>
      <c r="AP335" t="str">
        <f>IF(COUNTIF($A$2:$A$933, A335) &gt; 1, "Duplicate ID", "Unique")</f>
        <v>Unique</v>
      </c>
      <c r="AR335">
        <f t="shared" si="44"/>
        <v>25304.94</v>
      </c>
      <c r="AS335">
        <f t="shared" si="45"/>
        <v>4532.989999999998</v>
      </c>
      <c r="AT335" s="15">
        <f t="shared" si="46"/>
        <v>0.17913458795002077</v>
      </c>
      <c r="AU335" t="str">
        <f t="shared" si="47"/>
        <v>Clean</v>
      </c>
      <c r="AV335" s="8" t="str">
        <f t="shared" si="48"/>
        <v>Cancelled</v>
      </c>
    </row>
    <row r="336" spans="1:48">
      <c r="A336" s="3" t="s">
        <v>2924</v>
      </c>
      <c r="B336" s="3" t="s">
        <v>2925</v>
      </c>
      <c r="C336" s="9">
        <f>IFERROR(DATEVALUE(TEXT(B336,"DD/MM/YYYY")), IF(ISNUMBER(B336), B336, ""))</f>
        <v>45569</v>
      </c>
      <c r="D336" s="9" t="str">
        <f>IF(B336="","Missing", IF(AND(ISNUMBER(B336)=FALSE, C336=""),"Invalid - Could Not Parse", IF(AND(ISNUMBER(B336)=FALSE, C336&lt;&gt;""),"Text - Converted to Date", IF(ISNUMBER(B336),"Valid","Check"))))</f>
        <v>Text - Converted to Date</v>
      </c>
      <c r="E336" s="5">
        <f t="shared" si="41"/>
        <v>10</v>
      </c>
      <c r="F336" s="5">
        <f t="shared" si="42"/>
        <v>2024</v>
      </c>
      <c r="G336" s="3" t="s">
        <v>2926</v>
      </c>
      <c r="H336" s="9">
        <f>IFERROR(DATEVALUE(TEXT(G336,"DD/MM/YYYY")), IF(ISNUMBER(G336), G336, ""))</f>
        <v>45483</v>
      </c>
      <c r="I336" s="9" t="str">
        <f>IF(G336="","Missing", IF(AND(ISNUMBER(G336)=FALSE, H336=""),"Invalid - Could Not Parse", IF(AND(ISNUMBER(G336)=FALSE, H336&lt;&gt;""),"Text - Converted to Date", IF(ISNUMBER(G336),"Valid","Check"))))</f>
        <v>Text - Converted to Date</v>
      </c>
      <c r="J336" s="9" t="str">
        <f>IF(OR(C336="", H336=""), "Cannot Check - Date Missing", IF(H336&lt;C336, "Invalid - Ship Before Order", "Valid"))</f>
        <v>Invalid - Ship Before Order</v>
      </c>
      <c r="K336" s="5" t="str">
        <f>IF(OR(C336="", H336=""), "", IF(H336&lt;C336, "", H336-C336))</f>
        <v/>
      </c>
      <c r="L336" s="3" t="s">
        <v>2927</v>
      </c>
      <c r="M336" s="3" t="s">
        <v>148</v>
      </c>
      <c r="N336" s="4" t="str">
        <f>TRIM(SUBSTITUTE(M336,"_"," "))</f>
        <v>Rahul Verma</v>
      </c>
      <c r="O336" s="3" t="s">
        <v>108</v>
      </c>
      <c r="P336" s="6" t="str">
        <f>PROPER(TRIM(SUBSTITUTE(O336,".","")))</f>
        <v>Corporate</v>
      </c>
      <c r="Q336" s="3" t="s">
        <v>62</v>
      </c>
      <c r="R336" s="7" t="str">
        <f>PROPER(TRIM(SUBSTITUTE(Q336,"  "," ")))</f>
        <v>South</v>
      </c>
      <c r="S336" s="3" t="s">
        <v>242</v>
      </c>
      <c r="T336" s="6" t="str">
        <f>PROPER(TRIM(SUBSTITUTE(S336,"  "," ")))</f>
        <v>Kerala</v>
      </c>
      <c r="U336" s="3" t="s">
        <v>243</v>
      </c>
      <c r="V336" s="6" t="str">
        <f>PROPER(TRIM(SUBSTITUTE(U336,"  "," ")))</f>
        <v>Kochi</v>
      </c>
      <c r="W336" s="3" t="s">
        <v>30</v>
      </c>
      <c r="X336" s="6" t="str">
        <f>PROPER(TRIM(SUBSTITUTE(W336,"  "," ")))</f>
        <v>Office Supplies</v>
      </c>
      <c r="Y336" s="3" t="s">
        <v>54</v>
      </c>
      <c r="Z336" s="6" t="str">
        <f>PROPER(TRIM(SUBSTITUTE(Y336,"  "," ")))</f>
        <v>Art</v>
      </c>
      <c r="AA336" s="3" t="s">
        <v>2928</v>
      </c>
      <c r="AB336" s="3" t="s">
        <v>33</v>
      </c>
      <c r="AC336" s="6" t="str">
        <f>PROPER(TRIM(SUBSTITUTE(AB336,"  "," ")))</f>
        <v>Second Class</v>
      </c>
      <c r="AD336" s="3">
        <v>2</v>
      </c>
      <c r="AE336" s="3">
        <v>3144.38</v>
      </c>
      <c r="AF336" s="3">
        <v>0.1</v>
      </c>
      <c r="AG336" s="17">
        <v>0.1</v>
      </c>
      <c r="AH336" s="6" t="str">
        <f t="shared" si="43"/>
        <v>Valid</v>
      </c>
      <c r="AI336" s="3">
        <v>5904.57</v>
      </c>
      <c r="AJ336" s="3">
        <v>4337.79</v>
      </c>
      <c r="AK336" s="3">
        <v>1322.09</v>
      </c>
      <c r="AL336" s="3" t="s">
        <v>34</v>
      </c>
      <c r="AM336" s="6" t="str">
        <f>PROPER(TRIM(SUBSTITUTE(AL336,".","")))</f>
        <v>Paid</v>
      </c>
      <c r="AN336" s="3" t="s">
        <v>35</v>
      </c>
      <c r="AO336" s="8" t="str">
        <f>PROPER(TRIM(SUBSTITUTE(AN336,".","")))</f>
        <v>Completed</v>
      </c>
      <c r="AP336" t="str">
        <f>IF(COUNTIF($A$2:$A$933, A336) &gt; 1, "Duplicate ID", "Unique")</f>
        <v>Unique</v>
      </c>
      <c r="AR336">
        <f t="shared" si="44"/>
        <v>5659.884</v>
      </c>
      <c r="AS336">
        <f t="shared" si="45"/>
        <v>1322.0940000000001</v>
      </c>
      <c r="AT336" s="15">
        <f t="shared" si="46"/>
        <v>0.23359029973052453</v>
      </c>
      <c r="AU336" t="str">
        <f t="shared" si="47"/>
        <v>Invalid</v>
      </c>
      <c r="AV336" s="8" t="str">
        <f t="shared" si="48"/>
        <v>Active</v>
      </c>
    </row>
    <row r="337" spans="1:48">
      <c r="A337" s="3" t="s">
        <v>2916</v>
      </c>
      <c r="B337" s="3" t="s">
        <v>2448</v>
      </c>
      <c r="C337" s="9">
        <f>IFERROR(DATEVALUE(TEXT(B337,"DD/MM/YYYY")), IF(ISNUMBER(B337), B337, ""))</f>
        <v>45570</v>
      </c>
      <c r="D337" s="9" t="str">
        <f>IF(B337="","Missing", IF(AND(ISNUMBER(B337)=FALSE, C337=""),"Invalid - Could Not Parse", IF(AND(ISNUMBER(B337)=FALSE, C337&lt;&gt;""),"Text - Converted to Date", IF(ISNUMBER(B337),"Valid","Check"))))</f>
        <v>Text - Converted to Date</v>
      </c>
      <c r="E337" s="5">
        <f t="shared" si="41"/>
        <v>10</v>
      </c>
      <c r="F337" s="5">
        <f t="shared" si="42"/>
        <v>2024</v>
      </c>
      <c r="G337" s="3" t="s">
        <v>2917</v>
      </c>
      <c r="H337" s="9">
        <f>IFERROR(DATEVALUE(TEXT(G337,"DD/MM/YYYY")), IF(ISNUMBER(G337), G337, ""))</f>
        <v>45575</v>
      </c>
      <c r="I337" s="9" t="str">
        <f>IF(G337="","Missing", IF(AND(ISNUMBER(G337)=FALSE, H337=""),"Invalid - Could Not Parse", IF(AND(ISNUMBER(G337)=FALSE, H337&lt;&gt;""),"Text - Converted to Date", IF(ISNUMBER(G337),"Valid","Check"))))</f>
        <v>Text - Converted to Date</v>
      </c>
      <c r="J337" s="9" t="str">
        <f>IF(OR(C337="", H337=""), "Cannot Check - Date Missing", IF(H337&lt;C337, "Invalid - Ship Before Order", "Valid"))</f>
        <v>Valid</v>
      </c>
      <c r="K337" s="5">
        <f>IF(OR(C337="", H337=""), "", IF(H337&lt;C337, "", H337-C337))</f>
        <v>5</v>
      </c>
      <c r="L337" s="3" t="s">
        <v>2918</v>
      </c>
      <c r="M337" s="3" t="s">
        <v>210</v>
      </c>
      <c r="N337" s="4" t="str">
        <f>TRIM(SUBSTITUTE(M337,"_"," "))</f>
        <v>Diya Patel</v>
      </c>
      <c r="O337" s="3" t="s">
        <v>115</v>
      </c>
      <c r="P337" s="6" t="str">
        <f>PROPER(TRIM(SUBSTITUTE(O337,".","")))</f>
        <v>Home Office</v>
      </c>
      <c r="Q337" s="3" t="s">
        <v>73</v>
      </c>
      <c r="R337" s="7" t="str">
        <f>PROPER(TRIM(SUBSTITUTE(Q337,"  "," ")))</f>
        <v>West</v>
      </c>
      <c r="S337" s="3" t="s">
        <v>235</v>
      </c>
      <c r="T337" s="6" t="str">
        <f>PROPER(TRIM(SUBSTITUTE(S337,"  "," ")))</f>
        <v>Gujarat</v>
      </c>
      <c r="U337" s="3" t="s">
        <v>236</v>
      </c>
      <c r="V337" s="6" t="str">
        <f>PROPER(TRIM(SUBSTITUTE(U337,"  "," ")))</f>
        <v>Ahmedabad</v>
      </c>
      <c r="W337" s="3" t="s">
        <v>86</v>
      </c>
      <c r="X337" s="6" t="str">
        <f>PROPER(TRIM(SUBSTITUTE(W337,"  "," ")))</f>
        <v>Technology</v>
      </c>
      <c r="Y337" s="3" t="s">
        <v>382</v>
      </c>
      <c r="Z337" s="6" t="str">
        <f>PROPER(TRIM(SUBSTITUTE(Y337,"  "," ")))</f>
        <v>Machines</v>
      </c>
      <c r="AA337" s="3" t="s">
        <v>2919</v>
      </c>
      <c r="AB337" s="3" t="s">
        <v>48</v>
      </c>
      <c r="AC337" s="6" t="str">
        <f>PROPER(TRIM(SUBSTITUTE(AB337,"  "," ")))</f>
        <v>Same Day</v>
      </c>
      <c r="AD337" s="3">
        <v>9</v>
      </c>
      <c r="AE337" s="3">
        <v>3361.3</v>
      </c>
      <c r="AF337" s="3">
        <v>0.25</v>
      </c>
      <c r="AG337" s="17">
        <v>0.25</v>
      </c>
      <c r="AH337" s="6" t="str">
        <f t="shared" si="43"/>
        <v>Valid</v>
      </c>
      <c r="AI337" s="3">
        <v>22688.78</v>
      </c>
      <c r="AJ337" s="3">
        <v>14672.41</v>
      </c>
      <c r="AK337" s="3">
        <v>8016.37</v>
      </c>
      <c r="AL337" s="3" t="s">
        <v>34</v>
      </c>
      <c r="AM337" s="6" t="str">
        <f>PROPER(TRIM(SUBSTITUTE(AL337,".","")))</f>
        <v>Paid</v>
      </c>
      <c r="AN337" s="3" t="s">
        <v>35</v>
      </c>
      <c r="AO337" s="8" t="str">
        <f>PROPER(TRIM(SUBSTITUTE(AN337,".","")))</f>
        <v>Completed</v>
      </c>
      <c r="AP337" t="str">
        <f>IF(COUNTIF($A$2:$A$933, A337) &gt; 1, "Duplicate ID", "Unique")</f>
        <v>Unique</v>
      </c>
      <c r="AR337">
        <f t="shared" si="44"/>
        <v>22688.775000000001</v>
      </c>
      <c r="AS337">
        <f t="shared" si="45"/>
        <v>8016.3650000000016</v>
      </c>
      <c r="AT337" s="15">
        <f t="shared" si="46"/>
        <v>0.35331854628555315</v>
      </c>
      <c r="AU337" t="str">
        <f t="shared" si="47"/>
        <v>Clean</v>
      </c>
      <c r="AV337" s="8" t="str">
        <f t="shared" si="48"/>
        <v>Active</v>
      </c>
    </row>
    <row r="338" spans="1:48">
      <c r="A338" s="3" t="s">
        <v>3237</v>
      </c>
      <c r="B338" s="3" t="s">
        <v>3238</v>
      </c>
      <c r="C338" s="9">
        <f>IFERROR(DATEVALUE(TEXT(B338,"DD/MM/YYYY")), IF(ISNUMBER(B338), B338, ""))</f>
        <v>45570</v>
      </c>
      <c r="D338" s="9" t="str">
        <f>IF(B338="","Missing", IF(AND(ISNUMBER(B338)=FALSE, C338=""),"Invalid - Could Not Parse", IF(AND(ISNUMBER(B338)=FALSE, C338&lt;&gt;""),"Text - Converted to Date", IF(ISNUMBER(B338),"Valid","Check"))))</f>
        <v>Text - Converted to Date</v>
      </c>
      <c r="E338" s="5">
        <f t="shared" si="41"/>
        <v>10</v>
      </c>
      <c r="F338" s="5">
        <f t="shared" si="42"/>
        <v>2024</v>
      </c>
      <c r="G338" s="3" t="s">
        <v>3239</v>
      </c>
      <c r="H338" s="9">
        <f>IFERROR(DATEVALUE(TEXT(G338,"DD/MM/YYYY")), IF(ISNUMBER(G338), G338, ""))</f>
        <v>45571</v>
      </c>
      <c r="I338" s="9" t="str">
        <f>IF(G338="","Missing", IF(AND(ISNUMBER(G338)=FALSE, H338=""),"Invalid - Could Not Parse", IF(AND(ISNUMBER(G338)=FALSE, H338&lt;&gt;""),"Text - Converted to Date", IF(ISNUMBER(G338),"Valid","Check"))))</f>
        <v>Text - Converted to Date</v>
      </c>
      <c r="J338" s="9" t="str">
        <f>IF(OR(C338="", H338=""), "Cannot Check - Date Missing", IF(H338&lt;C338, "Invalid - Ship Before Order", "Valid"))</f>
        <v>Valid</v>
      </c>
      <c r="K338" s="5">
        <f>IF(OR(C338="", H338=""), "", IF(H338&lt;C338, "", H338-C338))</f>
        <v>1</v>
      </c>
      <c r="L338" s="3" t="s">
        <v>3240</v>
      </c>
      <c r="M338" s="3" t="s">
        <v>180</v>
      </c>
      <c r="N338" s="4" t="str">
        <f>TRIM(SUBSTITUTE(M338,"_"," "))</f>
        <v>Rohan Mehta</v>
      </c>
      <c r="O338" s="3" t="s">
        <v>41</v>
      </c>
      <c r="P338" s="6" t="str">
        <f>PROPER(TRIM(SUBSTITUTE(O338,".","")))</f>
        <v>Small Business</v>
      </c>
      <c r="Q338" s="3" t="s">
        <v>27</v>
      </c>
      <c r="R338" s="7" t="str">
        <f>PROPER(TRIM(SUBSTITUTE(Q338,"  "," ")))</f>
        <v>North</v>
      </c>
      <c r="S338" s="3" t="s">
        <v>154</v>
      </c>
      <c r="T338" s="6" t="str">
        <f>PROPER(TRIM(SUBSTITUTE(S338,"  "," ")))</f>
        <v>Punjab</v>
      </c>
      <c r="U338" s="3" t="s">
        <v>155</v>
      </c>
      <c r="V338" s="6" t="str">
        <f>PROPER(TRIM(SUBSTITUTE(U338,"  "," ")))</f>
        <v>Ludhiana</v>
      </c>
      <c r="W338" s="3" t="s">
        <v>45</v>
      </c>
      <c r="X338" s="6" t="str">
        <f>PROPER(TRIM(SUBSTITUTE(W338,"  "," ")))</f>
        <v>Furniture</v>
      </c>
      <c r="Y338" s="3" t="s">
        <v>46</v>
      </c>
      <c r="Z338" s="6" t="str">
        <f>PROPER(TRIM(SUBSTITUTE(Y338,"  "," ")))</f>
        <v>Tables</v>
      </c>
      <c r="AA338" s="3" t="s">
        <v>3241</v>
      </c>
      <c r="AB338" s="3" t="s">
        <v>67</v>
      </c>
      <c r="AC338" s="6" t="str">
        <f>PROPER(TRIM(SUBSTITUTE(AB338,"  "," ")))</f>
        <v>Standard Class</v>
      </c>
      <c r="AD338" s="3">
        <v>9</v>
      </c>
      <c r="AE338" s="3">
        <v>489.58</v>
      </c>
      <c r="AF338" s="3">
        <v>0.15</v>
      </c>
      <c r="AG338" s="17">
        <v>0.15</v>
      </c>
      <c r="AH338" s="6" t="str">
        <f t="shared" si="43"/>
        <v>Valid</v>
      </c>
      <c r="AI338" s="3">
        <v>3745.29</v>
      </c>
      <c r="AJ338" s="3">
        <v>2302.65</v>
      </c>
      <c r="AK338" s="3">
        <v>1442.64</v>
      </c>
      <c r="AL338" s="3" t="s">
        <v>200</v>
      </c>
      <c r="AM338" s="6" t="str">
        <f>PROPER(TRIM(SUBSTITUTE(AL338,".","")))</f>
        <v>Failed</v>
      </c>
      <c r="AN338" s="3" t="s">
        <v>78</v>
      </c>
      <c r="AO338" s="8" t="str">
        <f>PROPER(TRIM(SUBSTITUTE(AN338,".","")))</f>
        <v>Cancelled</v>
      </c>
      <c r="AP338" t="str">
        <f>IF(COUNTIF($A$2:$A$933, A338) &gt; 1, "Duplicate ID", "Unique")</f>
        <v>Unique</v>
      </c>
      <c r="AR338">
        <f t="shared" si="44"/>
        <v>3745.2870000000003</v>
      </c>
      <c r="AS338">
        <f t="shared" si="45"/>
        <v>1442.6370000000002</v>
      </c>
      <c r="AT338" s="15">
        <f t="shared" si="46"/>
        <v>0.38518730340291679</v>
      </c>
      <c r="AU338" t="str">
        <f t="shared" si="47"/>
        <v>Clean</v>
      </c>
      <c r="AV338" s="8" t="str">
        <f t="shared" si="48"/>
        <v>Cancelled</v>
      </c>
    </row>
    <row r="339" spans="1:48">
      <c r="A339" s="3" t="s">
        <v>682</v>
      </c>
      <c r="B339" s="3" t="s">
        <v>683</v>
      </c>
      <c r="C339" s="9">
        <f>IFERROR(DATEVALUE(TEXT(B339,"DD/MM/YYYY")), IF(ISNUMBER(B339), B339, ""))</f>
        <v>45571</v>
      </c>
      <c r="D339" s="9" t="str">
        <f>IF(B339="","Missing", IF(AND(ISNUMBER(B339)=FALSE, C339=""),"Invalid - Could Not Parse", IF(AND(ISNUMBER(B339)=FALSE, C339&lt;&gt;""),"Text - Converted to Date", IF(ISNUMBER(B339),"Valid","Check"))))</f>
        <v>Text - Converted to Date</v>
      </c>
      <c r="E339" s="5">
        <f t="shared" si="41"/>
        <v>10</v>
      </c>
      <c r="F339" s="5">
        <f t="shared" si="42"/>
        <v>2024</v>
      </c>
      <c r="G339" s="3" t="s">
        <v>684</v>
      </c>
      <c r="H339" s="9">
        <f>IFERROR(DATEVALUE(TEXT(G339,"DD/MM/YYYY")), IF(ISNUMBER(G339), G339, ""))</f>
        <v>45461</v>
      </c>
      <c r="I339" s="9" t="str">
        <f>IF(G339="","Missing", IF(AND(ISNUMBER(G339)=FALSE, H339=""),"Invalid - Could Not Parse", IF(AND(ISNUMBER(G339)=FALSE, H339&lt;&gt;""),"Text - Converted to Date", IF(ISNUMBER(G339),"Valid","Check"))))</f>
        <v>Text - Converted to Date</v>
      </c>
      <c r="J339" s="9" t="str">
        <f>IF(OR(C339="", H339=""), "Cannot Check - Date Missing", IF(H339&lt;C339, "Invalid - Ship Before Order", "Valid"))</f>
        <v>Invalid - Ship Before Order</v>
      </c>
      <c r="K339" s="5" t="str">
        <f>IF(OR(C339="", H339=""), "", IF(H339&lt;C339, "", H339-C339))</f>
        <v/>
      </c>
      <c r="L339" s="3" t="s">
        <v>685</v>
      </c>
      <c r="M339" s="3" t="s">
        <v>686</v>
      </c>
      <c r="N339" s="4" t="str">
        <f>TRIM(SUBSTITUTE(M339,"_"," "))</f>
        <v>Vikram Iyer</v>
      </c>
      <c r="O339" s="3" t="s">
        <v>115</v>
      </c>
      <c r="P339" s="6" t="str">
        <f>PROPER(TRIM(SUBSTITUTE(O339,".","")))</f>
        <v>Home Office</v>
      </c>
      <c r="Q339" s="3" t="s">
        <v>62</v>
      </c>
      <c r="R339" s="7" t="str">
        <f>PROPER(TRIM(SUBSTITUTE(Q339,"  "," ")))</f>
        <v>South</v>
      </c>
      <c r="S339" s="3" t="s">
        <v>100</v>
      </c>
      <c r="T339" s="6" t="str">
        <f>PROPER(TRIM(SUBSTITUTE(S339,"  "," ")))</f>
        <v>Andhra Pradesh</v>
      </c>
      <c r="U339" s="3" t="s">
        <v>101</v>
      </c>
      <c r="V339" s="6" t="str">
        <f>PROPER(TRIM(SUBSTITUTE(U339,"  "," ")))</f>
        <v>Vijayawada</v>
      </c>
      <c r="W339" s="3" t="s">
        <v>86</v>
      </c>
      <c r="X339" s="6" t="str">
        <f>PROPER(TRIM(SUBSTITUTE(W339,"  "," ")))</f>
        <v>Technology</v>
      </c>
      <c r="Y339" s="3" t="s">
        <v>94</v>
      </c>
      <c r="Z339" s="6" t="str">
        <f>PROPER(TRIM(SUBSTITUTE(Y339,"  "," ")))</f>
        <v>Copiers</v>
      </c>
      <c r="AA339" s="3" t="s">
        <v>687</v>
      </c>
      <c r="AB339" s="3" t="s">
        <v>48</v>
      </c>
      <c r="AC339" s="6" t="str">
        <f>PROPER(TRIM(SUBSTITUTE(AB339,"  "," ")))</f>
        <v>Same Day</v>
      </c>
      <c r="AD339" s="3">
        <v>5</v>
      </c>
      <c r="AE339" s="3">
        <v>1580.27</v>
      </c>
      <c r="AF339" s="3">
        <v>0.2</v>
      </c>
      <c r="AG339" s="17">
        <v>0.2</v>
      </c>
      <c r="AH339" s="6" t="str">
        <f t="shared" si="43"/>
        <v>Valid</v>
      </c>
      <c r="AI339" s="3">
        <v>6321.08</v>
      </c>
      <c r="AJ339" s="3">
        <v>4407.22</v>
      </c>
      <c r="AK339" s="3">
        <v>1913.86</v>
      </c>
      <c r="AL339" s="3" t="s">
        <v>34</v>
      </c>
      <c r="AM339" s="6" t="str">
        <f>PROPER(TRIM(SUBSTITUTE(AL339,".","")))</f>
        <v>Paid</v>
      </c>
      <c r="AN339" s="3" t="s">
        <v>35</v>
      </c>
      <c r="AO339" s="8" t="str">
        <f>PROPER(TRIM(SUBSTITUTE(AN339,".","")))</f>
        <v>Completed</v>
      </c>
      <c r="AP339" t="str">
        <f>IF(COUNTIF($A$2:$A$933, A339) &gt; 1, "Duplicate ID", "Unique")</f>
        <v>Unique</v>
      </c>
      <c r="AR339">
        <f t="shared" si="44"/>
        <v>6321.0800000000008</v>
      </c>
      <c r="AS339">
        <f t="shared" si="45"/>
        <v>1913.8600000000006</v>
      </c>
      <c r="AT339" s="15">
        <f t="shared" si="46"/>
        <v>0.30277420947053357</v>
      </c>
      <c r="AU339" t="str">
        <f t="shared" si="47"/>
        <v>Invalid</v>
      </c>
      <c r="AV339" s="8" t="str">
        <f t="shared" si="48"/>
        <v>Active</v>
      </c>
    </row>
    <row r="340" spans="1:48">
      <c r="A340" s="3" t="s">
        <v>2556</v>
      </c>
      <c r="B340" s="3" t="s">
        <v>2557</v>
      </c>
      <c r="C340" s="9">
        <f>IFERROR(DATEVALUE(TEXT(B340,"DD/MM/YYYY")), IF(ISNUMBER(B340), B340, ""))</f>
        <v>45572</v>
      </c>
      <c r="D340" s="9" t="str">
        <f>IF(B340="","Missing", IF(AND(ISNUMBER(B340)=FALSE, C340=""),"Invalid - Could Not Parse", IF(AND(ISNUMBER(B340)=FALSE, C340&lt;&gt;""),"Text - Converted to Date", IF(ISNUMBER(B340),"Valid","Check"))))</f>
        <v>Text - Converted to Date</v>
      </c>
      <c r="E340" s="5">
        <f t="shared" si="41"/>
        <v>10</v>
      </c>
      <c r="F340" s="5">
        <f t="shared" si="42"/>
        <v>2024</v>
      </c>
      <c r="G340" s="3" t="s">
        <v>2558</v>
      </c>
      <c r="H340" s="9">
        <f>IFERROR(DATEVALUE(TEXT(G340,"DD/MM/YYYY")), IF(ISNUMBER(G340), G340, ""))</f>
        <v>45574</v>
      </c>
      <c r="I340" s="9" t="str">
        <f>IF(G340="","Missing", IF(AND(ISNUMBER(G340)=FALSE, H340=""),"Invalid - Could Not Parse", IF(AND(ISNUMBER(G340)=FALSE, H340&lt;&gt;""),"Text - Converted to Date", IF(ISNUMBER(G340),"Valid","Check"))))</f>
        <v>Text - Converted to Date</v>
      </c>
      <c r="J340" s="9" t="str">
        <f>IF(OR(C340="", H340=""), "Cannot Check - Date Missing", IF(H340&lt;C340, "Invalid - Ship Before Order", "Valid"))</f>
        <v>Valid</v>
      </c>
      <c r="K340" s="5">
        <f>IF(OR(C340="", H340=""), "", IF(H340&lt;C340, "", H340-C340))</f>
        <v>2</v>
      </c>
      <c r="L340" s="3" t="s">
        <v>2559</v>
      </c>
      <c r="M340" s="3" t="s">
        <v>210</v>
      </c>
      <c r="N340" s="4" t="str">
        <f>TRIM(SUBSTITUTE(M340,"_"," "))</f>
        <v>Diya Patel</v>
      </c>
      <c r="O340" s="3" t="s">
        <v>26</v>
      </c>
      <c r="P340" s="6" t="str">
        <f>PROPER(TRIM(SUBSTITUTE(O340,".","")))</f>
        <v>Consumer</v>
      </c>
      <c r="Q340" s="3" t="s">
        <v>62</v>
      </c>
      <c r="R340" s="7" t="str">
        <f>PROPER(TRIM(SUBSTITUTE(Q340,"  "," ")))</f>
        <v>South</v>
      </c>
      <c r="S340" s="3" t="s">
        <v>339</v>
      </c>
      <c r="T340" s="6" t="str">
        <f>PROPER(TRIM(SUBSTITUTE(S340,"  "," ")))</f>
        <v>Tamil Nadu</v>
      </c>
      <c r="U340" s="3" t="s">
        <v>340</v>
      </c>
      <c r="V340" s="6" t="str">
        <f>PROPER(TRIM(SUBSTITUTE(U340,"  "," ")))</f>
        <v>Chennai</v>
      </c>
      <c r="W340" s="3" t="s">
        <v>30</v>
      </c>
      <c r="X340" s="6" t="str">
        <f>PROPER(TRIM(SUBSTITUTE(W340,"  "," ")))</f>
        <v>Office Supplies</v>
      </c>
      <c r="Y340" s="3" t="s">
        <v>198</v>
      </c>
      <c r="Z340" s="6" t="str">
        <f>PROPER(TRIM(SUBSTITUTE(Y340,"  "," ")))</f>
        <v>Binders</v>
      </c>
      <c r="AA340" s="3" t="s">
        <v>2560</v>
      </c>
      <c r="AB340" s="3" t="s">
        <v>67</v>
      </c>
      <c r="AC340" s="6" t="str">
        <f>PROPER(TRIM(SUBSTITUTE(AB340,"  "," ")))</f>
        <v>Standard Class</v>
      </c>
      <c r="AD340" s="3">
        <v>9</v>
      </c>
      <c r="AE340" s="3">
        <v>3457.09</v>
      </c>
      <c r="AF340" s="3">
        <v>0.05</v>
      </c>
      <c r="AG340" s="17">
        <v>0.05</v>
      </c>
      <c r="AH340" s="6" t="str">
        <f t="shared" si="43"/>
        <v>Valid</v>
      </c>
      <c r="AI340" s="3">
        <v>29558.12</v>
      </c>
      <c r="AJ340" s="3">
        <v>21302.13</v>
      </c>
      <c r="AK340" s="3">
        <v>8255.99</v>
      </c>
      <c r="AL340" s="3" t="s">
        <v>137</v>
      </c>
      <c r="AM340" s="6" t="str">
        <f>PROPER(TRIM(SUBSTITUTE(AL340,".","")))</f>
        <v>Pending</v>
      </c>
      <c r="AN340" s="3" t="s">
        <v>125</v>
      </c>
      <c r="AO340" s="8" t="str">
        <f>PROPER(TRIM(SUBSTITUTE(AN340,".","")))</f>
        <v>Returned</v>
      </c>
      <c r="AP340" t="str">
        <f>IF(COUNTIF($A$2:$A$933, A340) &gt; 1, "Duplicate ID", "Unique")</f>
        <v>Unique</v>
      </c>
      <c r="AR340">
        <f t="shared" si="44"/>
        <v>29558.119500000001</v>
      </c>
      <c r="AS340">
        <f t="shared" si="45"/>
        <v>8255.9894999999997</v>
      </c>
      <c r="AT340" s="15">
        <f t="shared" si="46"/>
        <v>0.27931376013281223</v>
      </c>
      <c r="AU340" t="str">
        <f t="shared" si="47"/>
        <v>Clean</v>
      </c>
      <c r="AV340" s="8" t="str">
        <f t="shared" si="48"/>
        <v>Active</v>
      </c>
    </row>
    <row r="341" spans="1:48">
      <c r="A341" s="3" t="s">
        <v>3365</v>
      </c>
      <c r="B341" s="3" t="s">
        <v>2557</v>
      </c>
      <c r="C341" s="9">
        <f>IFERROR(DATEVALUE(TEXT(B341,"DD/MM/YYYY")), IF(ISNUMBER(B341), B341, ""))</f>
        <v>45572</v>
      </c>
      <c r="D341" s="9" t="str">
        <f>IF(B341="","Missing", IF(AND(ISNUMBER(B341)=FALSE, C341=""),"Invalid - Could Not Parse", IF(AND(ISNUMBER(B341)=FALSE, C341&lt;&gt;""),"Text - Converted to Date", IF(ISNUMBER(B341),"Valid","Check"))))</f>
        <v>Text - Converted to Date</v>
      </c>
      <c r="E341" s="5">
        <f t="shared" si="41"/>
        <v>10</v>
      </c>
      <c r="F341" s="5">
        <f t="shared" si="42"/>
        <v>2024</v>
      </c>
      <c r="G341" s="3" t="s">
        <v>3366</v>
      </c>
      <c r="H341" s="9">
        <f>IFERROR(DATEVALUE(TEXT(G341,"DD/MM/YYYY")), IF(ISNUMBER(G341), G341, ""))</f>
        <v>45575</v>
      </c>
      <c r="I341" s="9" t="str">
        <f>IF(G341="","Missing", IF(AND(ISNUMBER(G341)=FALSE, H341=""),"Invalid - Could Not Parse", IF(AND(ISNUMBER(G341)=FALSE, H341&lt;&gt;""),"Text - Converted to Date", IF(ISNUMBER(G341),"Valid","Check"))))</f>
        <v>Text - Converted to Date</v>
      </c>
      <c r="J341" s="9" t="str">
        <f>IF(OR(C341="", H341=""), "Cannot Check - Date Missing", IF(H341&lt;C341, "Invalid - Ship Before Order", "Valid"))</f>
        <v>Valid</v>
      </c>
      <c r="K341" s="5">
        <f>IF(OR(C341="", H341=""), "", IF(H341&lt;C341, "", H341-C341))</f>
        <v>3</v>
      </c>
      <c r="L341" s="3" t="s">
        <v>3367</v>
      </c>
      <c r="M341" s="3" t="s">
        <v>83</v>
      </c>
      <c r="N341" s="4" t="str">
        <f>TRIM(SUBSTITUTE(M341,"_"," "))</f>
        <v>Vikram Iyer</v>
      </c>
      <c r="O341" s="3" t="s">
        <v>26</v>
      </c>
      <c r="P341" s="6" t="str">
        <f>PROPER(TRIM(SUBSTITUTE(O341,".","")))</f>
        <v>Consumer</v>
      </c>
      <c r="Q341" s="3" t="s">
        <v>42</v>
      </c>
      <c r="R341" s="7" t="str">
        <f>PROPER(TRIM(SUBSTITUTE(Q341,"  "," ")))</f>
        <v>East</v>
      </c>
      <c r="S341" s="3" t="s">
        <v>121</v>
      </c>
      <c r="T341" s="6" t="str">
        <f>PROPER(TRIM(SUBSTITUTE(S341,"  "," ")))</f>
        <v>West Bengal</v>
      </c>
      <c r="U341" s="3" t="s">
        <v>122</v>
      </c>
      <c r="V341" s="6" t="str">
        <f>PROPER(TRIM(SUBSTITUTE(U341,"  "," ")))</f>
        <v>Kolkata</v>
      </c>
      <c r="W341" s="3" t="s">
        <v>45</v>
      </c>
      <c r="X341" s="6" t="str">
        <f>PROPER(TRIM(SUBSTITUTE(W341,"  "," ")))</f>
        <v>Furniture</v>
      </c>
      <c r="Y341" s="3" t="s">
        <v>76</v>
      </c>
      <c r="Z341" s="6" t="str">
        <f>PROPER(TRIM(SUBSTITUTE(Y341,"  "," ")))</f>
        <v>Chairs</v>
      </c>
      <c r="AA341" s="3" t="s">
        <v>3368</v>
      </c>
      <c r="AB341" s="3" t="s">
        <v>33</v>
      </c>
      <c r="AC341" s="6" t="str">
        <f>PROPER(TRIM(SUBSTITUTE(AB341,"  "," ")))</f>
        <v>Second Class</v>
      </c>
      <c r="AD341" s="3">
        <v>9</v>
      </c>
      <c r="AE341" s="3">
        <v>481.51</v>
      </c>
      <c r="AF341" s="3"/>
      <c r="AG341" s="18">
        <f>IF(ISBLANK(AF341), 0, AF341)</f>
        <v>0</v>
      </c>
      <c r="AH341" s="6" t="str">
        <f t="shared" si="43"/>
        <v>Missing</v>
      </c>
      <c r="AI341" s="3">
        <v>4333.59</v>
      </c>
      <c r="AJ341" s="3">
        <v>2533.59</v>
      </c>
      <c r="AK341" s="3">
        <v>1800</v>
      </c>
      <c r="AL341" s="3" t="s">
        <v>124</v>
      </c>
      <c r="AM341" s="6" t="str">
        <f>PROPER(TRIM(SUBSTITUTE(AL341,".","")))</f>
        <v>Refunded</v>
      </c>
      <c r="AN341" s="3" t="s">
        <v>78</v>
      </c>
      <c r="AO341" s="8" t="str">
        <f>PROPER(TRIM(SUBSTITUTE(AN341,".","")))</f>
        <v>Cancelled</v>
      </c>
      <c r="AP341" t="str">
        <f>IF(COUNTIF($A$2:$A$933, A341) &gt; 1, "Duplicate ID", "Unique")</f>
        <v>Unique</v>
      </c>
      <c r="AR341">
        <f t="shared" si="44"/>
        <v>4333.59</v>
      </c>
      <c r="AS341">
        <f t="shared" si="45"/>
        <v>1800</v>
      </c>
      <c r="AT341" s="15">
        <f t="shared" si="46"/>
        <v>0.41536001329152039</v>
      </c>
      <c r="AU341" t="str">
        <f t="shared" si="47"/>
        <v>Warning</v>
      </c>
      <c r="AV341" s="8" t="str">
        <f t="shared" si="48"/>
        <v>Refund</v>
      </c>
    </row>
    <row r="342" spans="1:48">
      <c r="A342" s="3" t="s">
        <v>4054</v>
      </c>
      <c r="B342" s="3" t="s">
        <v>3777</v>
      </c>
      <c r="C342" s="9">
        <f>IFERROR(DATEVALUE(TEXT(B342,"DD/MM/YYYY")), IF(ISNUMBER(B342), B342, ""))</f>
        <v>45573</v>
      </c>
      <c r="D342" s="9" t="str">
        <f>IF(B342="","Missing", IF(AND(ISNUMBER(B342)=FALSE, C342=""),"Invalid - Could Not Parse", IF(AND(ISNUMBER(B342)=FALSE, C342&lt;&gt;""),"Text - Converted to Date", IF(ISNUMBER(B342),"Valid","Check"))))</f>
        <v>Text - Converted to Date</v>
      </c>
      <c r="E342" s="5">
        <f t="shared" si="41"/>
        <v>10</v>
      </c>
      <c r="F342" s="5">
        <f t="shared" si="42"/>
        <v>2024</v>
      </c>
      <c r="G342" s="3" t="s">
        <v>2558</v>
      </c>
      <c r="H342" s="9">
        <f>IFERROR(DATEVALUE(TEXT(G342,"DD/MM/YYYY")), IF(ISNUMBER(G342), G342, ""))</f>
        <v>45574</v>
      </c>
      <c r="I342" s="9" t="str">
        <f>IF(G342="","Missing", IF(AND(ISNUMBER(G342)=FALSE, H342=""),"Invalid - Could Not Parse", IF(AND(ISNUMBER(G342)=FALSE, H342&lt;&gt;""),"Text - Converted to Date", IF(ISNUMBER(G342),"Valid","Check"))))</f>
        <v>Text - Converted to Date</v>
      </c>
      <c r="J342" s="9" t="str">
        <f>IF(OR(C342="", H342=""), "Cannot Check - Date Missing", IF(H342&lt;C342, "Invalid - Ship Before Order", "Valid"))</f>
        <v>Valid</v>
      </c>
      <c r="K342" s="5">
        <f>IF(OR(C342="", H342=""), "", IF(H342&lt;C342, "", H342-C342))</f>
        <v>1</v>
      </c>
      <c r="L342" s="3" t="s">
        <v>4055</v>
      </c>
      <c r="M342" s="3" t="s">
        <v>366</v>
      </c>
      <c r="N342" s="4" t="str">
        <f>TRIM(SUBSTITUTE(M342,"_"," "))</f>
        <v>Kabir Singh</v>
      </c>
      <c r="O342" s="3" t="s">
        <v>108</v>
      </c>
      <c r="P342" s="6" t="str">
        <f>PROPER(TRIM(SUBSTITUTE(O342,".","")))</f>
        <v>Corporate</v>
      </c>
      <c r="Q342" s="3" t="s">
        <v>62</v>
      </c>
      <c r="R342" s="7" t="str">
        <f>PROPER(TRIM(SUBSTITUTE(Q342,"  "," ")))</f>
        <v>South</v>
      </c>
      <c r="S342" s="3" t="s">
        <v>339</v>
      </c>
      <c r="T342" s="6" t="str">
        <f>PROPER(TRIM(SUBSTITUTE(S342,"  "," ")))</f>
        <v>Tamil Nadu</v>
      </c>
      <c r="U342" s="3" t="s">
        <v>340</v>
      </c>
      <c r="V342" s="6" t="str">
        <f>PROPER(TRIM(SUBSTITUTE(U342,"  "," ")))</f>
        <v>Chennai</v>
      </c>
      <c r="W342" s="3" t="s">
        <v>86</v>
      </c>
      <c r="X342" s="6" t="str">
        <f>PROPER(TRIM(SUBSTITUTE(W342,"  "," ")))</f>
        <v>Technology</v>
      </c>
      <c r="Y342" s="3" t="s">
        <v>382</v>
      </c>
      <c r="Z342" s="6" t="str">
        <f>PROPER(TRIM(SUBSTITUTE(Y342,"  "," ")))</f>
        <v>Machines</v>
      </c>
      <c r="AA342" s="3" t="s">
        <v>4056</v>
      </c>
      <c r="AB342" s="3" t="s">
        <v>48</v>
      </c>
      <c r="AC342" s="6" t="str">
        <f>PROPER(TRIM(SUBSTITUTE(AB342,"  "," ")))</f>
        <v>Same Day</v>
      </c>
      <c r="AD342" s="3">
        <v>5</v>
      </c>
      <c r="AE342" s="3">
        <v>2407.9699999999998</v>
      </c>
      <c r="AF342" s="3">
        <v>0.1</v>
      </c>
      <c r="AG342" s="17">
        <v>0.1</v>
      </c>
      <c r="AH342" s="6" t="str">
        <f t="shared" si="43"/>
        <v>Valid</v>
      </c>
      <c r="AI342" s="3">
        <v>10835.86</v>
      </c>
      <c r="AJ342" s="3">
        <v>6419.92</v>
      </c>
      <c r="AK342" s="3">
        <v>4415.9399999999996</v>
      </c>
      <c r="AL342" s="3" t="s">
        <v>200</v>
      </c>
      <c r="AM342" s="6" t="str">
        <f>PROPER(TRIM(SUBSTITUTE(AL342,".","")))</f>
        <v>Failed</v>
      </c>
      <c r="AN342" s="3" t="s">
        <v>78</v>
      </c>
      <c r="AO342" s="8" t="str">
        <f>PROPER(TRIM(SUBSTITUTE(AN342,".","")))</f>
        <v>Cancelled</v>
      </c>
      <c r="AP342" t="str">
        <f>IF(COUNTIF($A$2:$A$933, A342) &gt; 1, "Duplicate ID", "Unique")</f>
        <v>Unique</v>
      </c>
      <c r="AR342">
        <f t="shared" si="44"/>
        <v>10835.865</v>
      </c>
      <c r="AS342">
        <f t="shared" si="45"/>
        <v>4415.9449999999997</v>
      </c>
      <c r="AT342" s="15">
        <f t="shared" si="46"/>
        <v>0.40753045557507406</v>
      </c>
      <c r="AU342" t="str">
        <f t="shared" si="47"/>
        <v>Clean</v>
      </c>
      <c r="AV342" s="8" t="str">
        <f t="shared" si="48"/>
        <v>Cancelled</v>
      </c>
    </row>
    <row r="343" spans="1:48">
      <c r="A343" s="3" t="s">
        <v>297</v>
      </c>
      <c r="B343" s="3" t="s">
        <v>298</v>
      </c>
      <c r="C343" s="9">
        <f>IFERROR(DATEVALUE(TEXT(B343,"DD/MM/YYYY")), IF(ISNUMBER(B343), B343, ""))</f>
        <v>45575</v>
      </c>
      <c r="D343" s="9" t="str">
        <f>IF(B343="","Missing", IF(AND(ISNUMBER(B343)=FALSE, C343=""),"Invalid - Could Not Parse", IF(AND(ISNUMBER(B343)=FALSE, C343&lt;&gt;""),"Text - Converted to Date", IF(ISNUMBER(B343),"Valid","Check"))))</f>
        <v>Text - Converted to Date</v>
      </c>
      <c r="E343" s="5">
        <f t="shared" si="41"/>
        <v>10</v>
      </c>
      <c r="F343" s="5">
        <f t="shared" si="42"/>
        <v>2024</v>
      </c>
      <c r="G343" s="3" t="s">
        <v>299</v>
      </c>
      <c r="H343" s="9">
        <f>IFERROR(DATEVALUE(TEXT(G343,"DD/MM/YYYY")), IF(ISNUMBER(G343), G343, ""))</f>
        <v>45581</v>
      </c>
      <c r="I343" s="9" t="str">
        <f>IF(G343="","Missing", IF(AND(ISNUMBER(G343)=FALSE, H343=""),"Invalid - Could Not Parse", IF(AND(ISNUMBER(G343)=FALSE, H343&lt;&gt;""),"Text - Converted to Date", IF(ISNUMBER(G343),"Valid","Check"))))</f>
        <v>Text - Converted to Date</v>
      </c>
      <c r="J343" s="9" t="str">
        <f>IF(OR(C343="", H343=""), "Cannot Check - Date Missing", IF(H343&lt;C343, "Invalid - Ship Before Order", "Valid"))</f>
        <v>Valid</v>
      </c>
      <c r="K343" s="5">
        <f>IF(OR(C343="", H343=""), "", IF(H343&lt;C343, "", H343-C343))</f>
        <v>6</v>
      </c>
      <c r="L343" s="3" t="s">
        <v>300</v>
      </c>
      <c r="M343" s="3" t="s">
        <v>53</v>
      </c>
      <c r="N343" s="4" t="str">
        <f>TRIM(SUBSTITUTE(M343,"_"," "))</f>
        <v>Isha Nair</v>
      </c>
      <c r="O343" s="3" t="s">
        <v>115</v>
      </c>
      <c r="P343" s="6" t="str">
        <f>PROPER(TRIM(SUBSTITUTE(O343,".","")))</f>
        <v>Home Office</v>
      </c>
      <c r="Q343" s="3" t="s">
        <v>73</v>
      </c>
      <c r="R343" s="7" t="str">
        <f>PROPER(TRIM(SUBSTITUTE(Q343,"  "," ")))</f>
        <v>West</v>
      </c>
      <c r="S343" s="3" t="s">
        <v>28</v>
      </c>
      <c r="T343" s="6" t="str">
        <f>PROPER(TRIM(SUBSTITUTE(S343,"  "," ")))</f>
        <v>Rajasthan</v>
      </c>
      <c r="U343" s="3" t="s">
        <v>135</v>
      </c>
      <c r="V343" s="6" t="str">
        <f>PROPER(TRIM(SUBSTITUTE(U343,"  "," ")))</f>
        <v>Udaipur</v>
      </c>
      <c r="W343" s="3" t="s">
        <v>86</v>
      </c>
      <c r="X343" s="6" t="str">
        <f>PROPER(TRIM(SUBSTITUTE(W343,"  "," ")))</f>
        <v>Technology</v>
      </c>
      <c r="Y343" s="3" t="s">
        <v>94</v>
      </c>
      <c r="Z343" s="6" t="str">
        <f>PROPER(TRIM(SUBSTITUTE(Y343,"  "," ")))</f>
        <v>Copiers</v>
      </c>
      <c r="AA343" s="3" t="s">
        <v>301</v>
      </c>
      <c r="AB343" s="3" t="s">
        <v>67</v>
      </c>
      <c r="AC343" s="6" t="str">
        <f>PROPER(TRIM(SUBSTITUTE(AB343,"  "," ")))</f>
        <v>Standard Class</v>
      </c>
      <c r="AD343" s="3">
        <v>7</v>
      </c>
      <c r="AE343" s="3">
        <v>2509.27</v>
      </c>
      <c r="AF343" s="3">
        <v>0.2</v>
      </c>
      <c r="AG343" s="17">
        <v>0.2</v>
      </c>
      <c r="AH343" s="6" t="str">
        <f t="shared" si="43"/>
        <v>Valid</v>
      </c>
      <c r="AI343" s="3">
        <v>14051.91</v>
      </c>
      <c r="AJ343" s="3">
        <v>11990.37</v>
      </c>
      <c r="AK343" s="3">
        <v>2061.54</v>
      </c>
      <c r="AL343" s="3" t="s">
        <v>34</v>
      </c>
      <c r="AM343" s="6" t="str">
        <f>PROPER(TRIM(SUBSTITUTE(AL343,".","")))</f>
        <v>Paid</v>
      </c>
      <c r="AN343" s="3" t="s">
        <v>35</v>
      </c>
      <c r="AO343" s="8" t="str">
        <f>PROPER(TRIM(SUBSTITUTE(AN343,".","")))</f>
        <v>Completed</v>
      </c>
      <c r="AP343" t="str">
        <f>IF(COUNTIF($A$2:$A$933, A343) &gt; 1, "Duplicate ID", "Unique")</f>
        <v>Unique</v>
      </c>
      <c r="AR343">
        <f t="shared" si="44"/>
        <v>14051.912</v>
      </c>
      <c r="AS343">
        <f t="shared" si="45"/>
        <v>2061.5419999999995</v>
      </c>
      <c r="AT343" s="15">
        <f t="shared" si="46"/>
        <v>0.14670900301681361</v>
      </c>
      <c r="AU343" t="str">
        <f t="shared" si="47"/>
        <v>Clean</v>
      </c>
      <c r="AV343" s="8" t="str">
        <f t="shared" si="48"/>
        <v>Active</v>
      </c>
    </row>
    <row r="344" spans="1:48">
      <c r="A344" s="3" t="s">
        <v>3680</v>
      </c>
      <c r="B344" s="3" t="s">
        <v>3366</v>
      </c>
      <c r="C344" s="9">
        <f>IFERROR(DATEVALUE(TEXT(B344,"DD/MM/YYYY")), IF(ISNUMBER(B344), B344, ""))</f>
        <v>45575</v>
      </c>
      <c r="D344" s="9" t="str">
        <f>IF(B344="","Missing", IF(AND(ISNUMBER(B344)=FALSE, C344=""),"Invalid - Could Not Parse", IF(AND(ISNUMBER(B344)=FALSE, C344&lt;&gt;""),"Text - Converted to Date", IF(ISNUMBER(B344),"Valid","Check"))))</f>
        <v>Text - Converted to Date</v>
      </c>
      <c r="E344" s="5">
        <f t="shared" si="41"/>
        <v>10</v>
      </c>
      <c r="F344" s="5">
        <f t="shared" si="42"/>
        <v>2024</v>
      </c>
      <c r="G344" s="3" t="s">
        <v>2543</v>
      </c>
      <c r="H344" s="9">
        <f>IFERROR(DATEVALUE(TEXT(G344,"DD/MM/YYYY")), IF(ISNUMBER(G344), G344, ""))</f>
        <v>45582</v>
      </c>
      <c r="I344" s="9" t="str">
        <f>IF(G344="","Missing", IF(AND(ISNUMBER(G344)=FALSE, H344=""),"Invalid - Could Not Parse", IF(AND(ISNUMBER(G344)=FALSE, H344&lt;&gt;""),"Text - Converted to Date", IF(ISNUMBER(G344),"Valid","Check"))))</f>
        <v>Text - Converted to Date</v>
      </c>
      <c r="J344" s="9" t="str">
        <f>IF(OR(C344="", H344=""), "Cannot Check - Date Missing", IF(H344&lt;C344, "Invalid - Ship Before Order", "Valid"))</f>
        <v>Valid</v>
      </c>
      <c r="K344" s="5">
        <f>IF(OR(C344="", H344=""), "", IF(H344&lt;C344, "", H344-C344))</f>
        <v>7</v>
      </c>
      <c r="L344" s="3" t="s">
        <v>3681</v>
      </c>
      <c r="M344" s="3" t="s">
        <v>53</v>
      </c>
      <c r="N344" s="4" t="str">
        <f>TRIM(SUBSTITUTE(M344,"_"," "))</f>
        <v>Isha Nair</v>
      </c>
      <c r="O344" s="3" t="s">
        <v>115</v>
      </c>
      <c r="P344" s="6" t="str">
        <f>PROPER(TRIM(SUBSTITUTE(O344,".","")))</f>
        <v>Home Office</v>
      </c>
      <c r="Q344" s="3" t="s">
        <v>27</v>
      </c>
      <c r="R344" s="7" t="str">
        <f>PROPER(TRIM(SUBSTITUTE(Q344,"  "," ")))</f>
        <v>North</v>
      </c>
      <c r="S344" s="3" t="s">
        <v>323</v>
      </c>
      <c r="T344" s="6" t="str">
        <f>PROPER(TRIM(SUBSTITUTE(S344,"  "," ")))</f>
        <v>Haryana</v>
      </c>
      <c r="U344" s="3" t="s">
        <v>324</v>
      </c>
      <c r="V344" s="6" t="str">
        <f>PROPER(TRIM(SUBSTITUTE(U344,"  "," ")))</f>
        <v>Gurugram</v>
      </c>
      <c r="W344" s="3" t="s">
        <v>86</v>
      </c>
      <c r="X344" s="6" t="str">
        <f>PROPER(TRIM(SUBSTITUTE(W344,"  "," ")))</f>
        <v>Technology</v>
      </c>
      <c r="Y344" s="3" t="s">
        <v>87</v>
      </c>
      <c r="Z344" s="6" t="str">
        <f>PROPER(TRIM(SUBSTITUTE(Y344,"  "," ")))</f>
        <v>Accessories</v>
      </c>
      <c r="AA344" s="3" t="s">
        <v>3682</v>
      </c>
      <c r="AB344" s="3"/>
      <c r="AC344" s="11" t="str">
        <f>IF(ISBLANK(AB344), "Unknown", AB344)</f>
        <v>Unknown</v>
      </c>
      <c r="AD344" s="3">
        <v>5</v>
      </c>
      <c r="AE344" s="3">
        <v>967.41</v>
      </c>
      <c r="AF344" s="3">
        <v>0.05</v>
      </c>
      <c r="AG344" s="17">
        <v>0.05</v>
      </c>
      <c r="AH344" s="6" t="str">
        <f t="shared" si="43"/>
        <v>Valid</v>
      </c>
      <c r="AI344" s="3">
        <v>4595.2</v>
      </c>
      <c r="AJ344" s="3">
        <v>3887.41</v>
      </c>
      <c r="AK344" s="3">
        <v>707.79</v>
      </c>
      <c r="AL344" s="3" t="s">
        <v>34</v>
      </c>
      <c r="AM344" s="6" t="str">
        <f>PROPER(TRIM(SUBSTITUTE(AL344,".","")))</f>
        <v>Paid</v>
      </c>
      <c r="AN344" s="3" t="s">
        <v>125</v>
      </c>
      <c r="AO344" s="8" t="str">
        <f>PROPER(TRIM(SUBSTITUTE(AN344,".","")))</f>
        <v>Returned</v>
      </c>
      <c r="AP344" t="str">
        <f>IF(COUNTIF($A$2:$A$933, A344) &gt; 1, "Duplicate ID", "Unique")</f>
        <v>Unique</v>
      </c>
      <c r="AR344">
        <f t="shared" si="44"/>
        <v>4595.1975000000002</v>
      </c>
      <c r="AS344">
        <f t="shared" si="45"/>
        <v>707.78750000000036</v>
      </c>
      <c r="AT344" s="15">
        <f t="shared" si="46"/>
        <v>0.15402765604742785</v>
      </c>
      <c r="AU344" t="str">
        <f t="shared" si="47"/>
        <v>Clean</v>
      </c>
      <c r="AV344" s="8" t="str">
        <f t="shared" si="48"/>
        <v>Active</v>
      </c>
    </row>
    <row r="345" spans="1:48">
      <c r="A345" s="3" t="s">
        <v>212</v>
      </c>
      <c r="B345" s="3" t="s">
        <v>213</v>
      </c>
      <c r="C345" s="9">
        <f>IFERROR(DATEVALUE(TEXT(B345,"DD/MM/YYYY")), IF(ISNUMBER(B345), B345, ""))</f>
        <v>45576</v>
      </c>
      <c r="D345" s="9" t="str">
        <f>IF(B345="","Missing", IF(AND(ISNUMBER(B345)=FALSE, C345=""),"Invalid - Could Not Parse", IF(AND(ISNUMBER(B345)=FALSE, C345&lt;&gt;""),"Text - Converted to Date", IF(ISNUMBER(B345),"Valid","Check"))))</f>
        <v>Text - Converted to Date</v>
      </c>
      <c r="E345" s="5">
        <f t="shared" si="41"/>
        <v>10</v>
      </c>
      <c r="F345" s="5">
        <f t="shared" si="42"/>
        <v>2024</v>
      </c>
      <c r="G345" s="3" t="s">
        <v>214</v>
      </c>
      <c r="H345" s="9">
        <f>IFERROR(DATEVALUE(TEXT(G345,"DD/MM/YYYY")), IF(ISNUMBER(G345), G345, ""))</f>
        <v>45584</v>
      </c>
      <c r="I345" s="9" t="str">
        <f>IF(G345="","Missing", IF(AND(ISNUMBER(G345)=FALSE, H345=""),"Invalid - Could Not Parse", IF(AND(ISNUMBER(G345)=FALSE, H345&lt;&gt;""),"Text - Converted to Date", IF(ISNUMBER(G345),"Valid","Check"))))</f>
        <v>Text - Converted to Date</v>
      </c>
      <c r="J345" s="9" t="str">
        <f>IF(OR(C345="", H345=""), "Cannot Check - Date Missing", IF(H345&lt;C345, "Invalid - Ship Before Order", "Valid"))</f>
        <v>Valid</v>
      </c>
      <c r="K345" s="5">
        <f>IF(OR(C345="", H345=""), "", IF(H345&lt;C345, "", H345-C345))</f>
        <v>8</v>
      </c>
      <c r="L345" s="3" t="s">
        <v>215</v>
      </c>
      <c r="M345" s="3" t="s">
        <v>61</v>
      </c>
      <c r="N345" s="4" t="str">
        <f>TRIM(SUBSTITUTE(M345,"_"," "))</f>
        <v>Arjun Bose</v>
      </c>
      <c r="O345" s="3" t="s">
        <v>108</v>
      </c>
      <c r="P345" s="6" t="str">
        <f>PROPER(TRIM(SUBSTITUTE(O345,".","")))</f>
        <v>Corporate</v>
      </c>
      <c r="Q345" s="3" t="s">
        <v>42</v>
      </c>
      <c r="R345" s="7" t="str">
        <f>PROPER(TRIM(SUBSTITUTE(Q345,"  "," ")))</f>
        <v>East</v>
      </c>
      <c r="S345" s="3" t="s">
        <v>216</v>
      </c>
      <c r="T345" s="6" t="str">
        <f>PROPER(TRIM(SUBSTITUTE(S345,"  "," ")))</f>
        <v>Assam</v>
      </c>
      <c r="U345" s="3" t="s">
        <v>217</v>
      </c>
      <c r="V345" s="6" t="str">
        <f>PROPER(TRIM(SUBSTITUTE(U345,"  "," ")))</f>
        <v>Guwahati</v>
      </c>
      <c r="W345" s="3" t="s">
        <v>86</v>
      </c>
      <c r="X345" s="6" t="str">
        <f>PROPER(TRIM(SUBSTITUTE(W345,"  "," ")))</f>
        <v>Technology</v>
      </c>
      <c r="Y345" s="3" t="s">
        <v>87</v>
      </c>
      <c r="Z345" s="6" t="str">
        <f>PROPER(TRIM(SUBSTITUTE(Y345,"  "," ")))</f>
        <v>Accessories</v>
      </c>
      <c r="AA345" s="3" t="s">
        <v>218</v>
      </c>
      <c r="AB345" s="3" t="s">
        <v>56</v>
      </c>
      <c r="AC345" s="6" t="str">
        <f>PROPER(TRIM(SUBSTITUTE(AB345,"  "," ")))</f>
        <v>First Class</v>
      </c>
      <c r="AD345" s="3">
        <v>2</v>
      </c>
      <c r="AE345" s="3">
        <v>4315.2</v>
      </c>
      <c r="AF345" s="3">
        <v>0.15</v>
      </c>
      <c r="AG345" s="17">
        <v>0.15</v>
      </c>
      <c r="AH345" s="6" t="str">
        <f t="shared" si="43"/>
        <v>Valid</v>
      </c>
      <c r="AI345" s="3">
        <v>7335.84</v>
      </c>
      <c r="AJ345" s="3">
        <v>4968.41</v>
      </c>
      <c r="AK345" s="3">
        <v>2367.4299999999998</v>
      </c>
      <c r="AL345" s="3" t="s">
        <v>34</v>
      </c>
      <c r="AM345" s="6" t="str">
        <f>PROPER(TRIM(SUBSTITUTE(AL345,".","")))</f>
        <v>Paid</v>
      </c>
      <c r="AN345" s="3" t="s">
        <v>35</v>
      </c>
      <c r="AO345" s="8" t="str">
        <f>PROPER(TRIM(SUBSTITUTE(AN345,".","")))</f>
        <v>Completed</v>
      </c>
      <c r="AP345" t="str">
        <f>IF(COUNTIF($A$2:$A$933, A345) &gt; 1, "Duplicate ID", "Unique")</f>
        <v>Unique</v>
      </c>
      <c r="AR345">
        <f t="shared" si="44"/>
        <v>7335.8399999999992</v>
      </c>
      <c r="AS345">
        <f t="shared" si="45"/>
        <v>2367.4299999999994</v>
      </c>
      <c r="AT345" s="15">
        <f t="shared" si="46"/>
        <v>0.32272105171323251</v>
      </c>
      <c r="AU345" t="str">
        <f t="shared" si="47"/>
        <v>Warning</v>
      </c>
      <c r="AV345" s="8" t="str">
        <f t="shared" si="48"/>
        <v>Active</v>
      </c>
    </row>
    <row r="346" spans="1:48">
      <c r="A346" s="3" t="s">
        <v>232</v>
      </c>
      <c r="B346" s="3" t="s">
        <v>213</v>
      </c>
      <c r="C346" s="9">
        <f>IFERROR(DATEVALUE(TEXT(B346,"DD/MM/YYYY")), IF(ISNUMBER(B346), B346, ""))</f>
        <v>45576</v>
      </c>
      <c r="D346" s="9" t="str">
        <f>IF(B346="","Missing", IF(AND(ISNUMBER(B346)=FALSE, C346=""),"Invalid - Could Not Parse", IF(AND(ISNUMBER(B346)=FALSE, C346&lt;&gt;""),"Text - Converted to Date", IF(ISNUMBER(B346),"Valid","Check"))))</f>
        <v>Text - Converted to Date</v>
      </c>
      <c r="E346" s="5">
        <f t="shared" si="41"/>
        <v>10</v>
      </c>
      <c r="F346" s="5">
        <f t="shared" si="42"/>
        <v>2024</v>
      </c>
      <c r="G346" s="3" t="s">
        <v>233</v>
      </c>
      <c r="H346" s="9">
        <f>IFERROR(DATEVALUE(TEXT(G346,"DD/MM/YYYY")), IF(ISNUMBER(G346), G346, ""))</f>
        <v>45583</v>
      </c>
      <c r="I346" s="9" t="str">
        <f>IF(G346="","Missing", IF(AND(ISNUMBER(G346)=FALSE, H346=""),"Invalid - Could Not Parse", IF(AND(ISNUMBER(G346)=FALSE, H346&lt;&gt;""),"Text - Converted to Date", IF(ISNUMBER(G346),"Valid","Check"))))</f>
        <v>Text - Converted to Date</v>
      </c>
      <c r="J346" s="9" t="str">
        <f>IF(OR(C346="", H346=""), "Cannot Check - Date Missing", IF(H346&lt;C346, "Invalid - Ship Before Order", "Valid"))</f>
        <v>Valid</v>
      </c>
      <c r="K346" s="5">
        <f>IF(OR(C346="", H346=""), "", IF(H346&lt;C346, "", H346-C346))</f>
        <v>7</v>
      </c>
      <c r="L346" s="3" t="s">
        <v>234</v>
      </c>
      <c r="M346" s="3" t="s">
        <v>72</v>
      </c>
      <c r="N346" s="4" t="str">
        <f>TRIM(SUBSTITUTE(M346,"_"," "))</f>
        <v>Ananya Rao</v>
      </c>
      <c r="O346" s="3" t="s">
        <v>115</v>
      </c>
      <c r="P346" s="6" t="str">
        <f>PROPER(TRIM(SUBSTITUTE(O346,".","")))</f>
        <v>Home Office</v>
      </c>
      <c r="Q346" s="3" t="s">
        <v>73</v>
      </c>
      <c r="R346" s="7" t="str">
        <f>PROPER(TRIM(SUBSTITUTE(Q346,"  "," ")))</f>
        <v>West</v>
      </c>
      <c r="S346" s="3" t="s">
        <v>235</v>
      </c>
      <c r="T346" s="6" t="str">
        <f>PROPER(TRIM(SUBSTITUTE(S346,"  "," ")))</f>
        <v>Gujarat</v>
      </c>
      <c r="U346" s="3" t="s">
        <v>236</v>
      </c>
      <c r="V346" s="6" t="str">
        <f>PROPER(TRIM(SUBSTITUTE(U346,"  "," ")))</f>
        <v>Ahmedabad</v>
      </c>
      <c r="W346" s="3" t="s">
        <v>86</v>
      </c>
      <c r="X346" s="6" t="str">
        <f>PROPER(TRIM(SUBSTITUTE(W346,"  "," ")))</f>
        <v>Technology</v>
      </c>
      <c r="Y346" s="3" t="s">
        <v>223</v>
      </c>
      <c r="Z346" s="6" t="str">
        <f>PROPER(TRIM(SUBSTITUTE(Y346,"  "," ")))</f>
        <v>Phones</v>
      </c>
      <c r="AA346" s="3" t="s">
        <v>237</v>
      </c>
      <c r="AB346" s="3" t="s">
        <v>33</v>
      </c>
      <c r="AC346" s="6" t="str">
        <f>PROPER(TRIM(SUBSTITUTE(AB346,"  "," ")))</f>
        <v>Second Class</v>
      </c>
      <c r="AD346" s="3">
        <v>2</v>
      </c>
      <c r="AE346" s="3">
        <v>1942.22</v>
      </c>
      <c r="AF346" s="3">
        <v>0.25</v>
      </c>
      <c r="AG346" s="17">
        <v>0.25</v>
      </c>
      <c r="AH346" s="6" t="str">
        <f t="shared" si="43"/>
        <v>Valid</v>
      </c>
      <c r="AI346" s="3">
        <v>2913.33</v>
      </c>
      <c r="AJ346" s="3">
        <v>2122.33</v>
      </c>
      <c r="AK346" s="3">
        <v>791</v>
      </c>
      <c r="AL346" s="3" t="s">
        <v>124</v>
      </c>
      <c r="AM346" s="6" t="str">
        <f>PROPER(TRIM(SUBSTITUTE(AL346,".","")))</f>
        <v>Refunded</v>
      </c>
      <c r="AN346" s="3" t="s">
        <v>78</v>
      </c>
      <c r="AO346" s="8" t="str">
        <f>PROPER(TRIM(SUBSTITUTE(AN346,".","")))</f>
        <v>Cancelled</v>
      </c>
      <c r="AP346" t="str">
        <f>IF(COUNTIF($A$2:$A$933, A346) &gt; 1, "Duplicate ID", "Unique")</f>
        <v>Unique</v>
      </c>
      <c r="AR346">
        <f t="shared" si="44"/>
        <v>2913.33</v>
      </c>
      <c r="AS346">
        <f t="shared" si="45"/>
        <v>791</v>
      </c>
      <c r="AT346" s="15">
        <f t="shared" si="46"/>
        <v>0.27151060813570727</v>
      </c>
      <c r="AU346" t="str">
        <f t="shared" si="47"/>
        <v>Clean</v>
      </c>
      <c r="AV346" s="8" t="str">
        <f t="shared" si="48"/>
        <v>Refund</v>
      </c>
    </row>
    <row r="347" spans="1:48">
      <c r="A347" s="3" t="s">
        <v>444</v>
      </c>
      <c r="B347" s="3" t="s">
        <v>105</v>
      </c>
      <c r="C347" s="9">
        <f>IFERROR(DATEVALUE(TEXT(B347,"DD/MM/YYYY")), IF(ISNUMBER(B347), B347, ""))</f>
        <v>45576</v>
      </c>
      <c r="D347" s="9" t="str">
        <f>IF(B347="","Missing", IF(AND(ISNUMBER(B347)=FALSE, C347=""),"Invalid - Could Not Parse", IF(AND(ISNUMBER(B347)=FALSE, C347&lt;&gt;""),"Text - Converted to Date", IF(ISNUMBER(B347),"Valid","Check"))))</f>
        <v>Text - Converted to Date</v>
      </c>
      <c r="E347" s="5">
        <f t="shared" si="41"/>
        <v>10</v>
      </c>
      <c r="F347" s="5">
        <f t="shared" si="42"/>
        <v>2024</v>
      </c>
      <c r="G347" s="3" t="s">
        <v>445</v>
      </c>
      <c r="H347" s="9">
        <f>IFERROR(DATEVALUE(TEXT(G347,"DD/MM/YYYY")), IF(ISNUMBER(G347), G347, ""))</f>
        <v>45609</v>
      </c>
      <c r="I347" s="9" t="str">
        <f>IF(G347="","Missing", IF(AND(ISNUMBER(G347)=FALSE, H347=""),"Invalid - Could Not Parse", IF(AND(ISNUMBER(G347)=FALSE, H347&lt;&gt;""),"Text - Converted to Date", IF(ISNUMBER(G347),"Valid","Check"))))</f>
        <v>Text - Converted to Date</v>
      </c>
      <c r="J347" s="9" t="str">
        <f>IF(OR(C347="", H347=""), "Cannot Check - Date Missing", IF(H347&lt;C347, "Invalid - Ship Before Order", "Valid"))</f>
        <v>Valid</v>
      </c>
      <c r="K347" s="5">
        <f>IF(OR(C347="", H347=""), "", IF(H347&lt;C347, "", H347-C347))</f>
        <v>33</v>
      </c>
      <c r="L347" s="3" t="s">
        <v>446</v>
      </c>
      <c r="M347" s="3" t="s">
        <v>53</v>
      </c>
      <c r="N347" s="4" t="str">
        <f>TRIM(SUBSTITUTE(M347,"_"," "))</f>
        <v>Isha Nair</v>
      </c>
      <c r="O347" s="3" t="s">
        <v>108</v>
      </c>
      <c r="P347" s="6" t="str">
        <f>PROPER(TRIM(SUBSTITUTE(O347,".","")))</f>
        <v>Corporate</v>
      </c>
      <c r="Q347" s="3" t="s">
        <v>42</v>
      </c>
      <c r="R347" s="7" t="str">
        <f>PROPER(TRIM(SUBSTITUTE(Q347,"  "," ")))</f>
        <v>East</v>
      </c>
      <c r="S347" s="3" t="s">
        <v>311</v>
      </c>
      <c r="T347" s="6" t="str">
        <f>PROPER(TRIM(SUBSTITUTE(S347,"  "," ")))</f>
        <v>Jharkhand</v>
      </c>
      <c r="U347" s="3" t="s">
        <v>312</v>
      </c>
      <c r="V347" s="6" t="str">
        <f>PROPER(TRIM(SUBSTITUTE(U347,"  "," ")))</f>
        <v>Ranchi</v>
      </c>
      <c r="W347" s="3" t="s">
        <v>30</v>
      </c>
      <c r="X347" s="6" t="str">
        <f>PROPER(TRIM(SUBSTITUTE(W347,"  "," ")))</f>
        <v>Office Supplies</v>
      </c>
      <c r="Y347" s="3" t="s">
        <v>156</v>
      </c>
      <c r="Z347" s="6" t="str">
        <f>PROPER(TRIM(SUBSTITUTE(Y347,"  "," ")))</f>
        <v>Storage</v>
      </c>
      <c r="AA347" s="3" t="s">
        <v>447</v>
      </c>
      <c r="AB347" s="3" t="s">
        <v>33</v>
      </c>
      <c r="AC347" s="6" t="str">
        <f>PROPER(TRIM(SUBSTITUTE(AB347,"  "," ")))</f>
        <v>Second Class</v>
      </c>
      <c r="AD347" s="3">
        <v>9</v>
      </c>
      <c r="AE347" s="3">
        <v>2211.12</v>
      </c>
      <c r="AF347" s="3">
        <v>0</v>
      </c>
      <c r="AG347" s="17">
        <v>0</v>
      </c>
      <c r="AH347" s="6" t="str">
        <f t="shared" si="43"/>
        <v>Valid</v>
      </c>
      <c r="AI347" s="3">
        <v>19900.080000000002</v>
      </c>
      <c r="AJ347" s="3">
        <v>10962.66</v>
      </c>
      <c r="AK347" s="3">
        <v>8937.42</v>
      </c>
      <c r="AL347" s="3" t="s">
        <v>200</v>
      </c>
      <c r="AM347" s="6" t="str">
        <f>PROPER(TRIM(SUBSTITUTE(AL347,".","")))</f>
        <v>Failed</v>
      </c>
      <c r="AN347" s="3" t="s">
        <v>125</v>
      </c>
      <c r="AO347" s="8" t="str">
        <f>PROPER(TRIM(SUBSTITUTE(AN347,".","")))</f>
        <v>Returned</v>
      </c>
      <c r="AP347" t="str">
        <f>IF(COUNTIF($A$2:$A$933, A347) &gt; 1, "Duplicate ID", "Unique")</f>
        <v>Unique</v>
      </c>
      <c r="AR347">
        <f t="shared" si="44"/>
        <v>19900.079999999998</v>
      </c>
      <c r="AS347">
        <f t="shared" si="45"/>
        <v>8937.4199999999983</v>
      </c>
      <c r="AT347" s="15">
        <f t="shared" si="46"/>
        <v>0.44911477742803041</v>
      </c>
      <c r="AU347" t="str">
        <f t="shared" si="47"/>
        <v>Clean</v>
      </c>
      <c r="AV347" s="8" t="str">
        <f t="shared" si="48"/>
        <v>Active</v>
      </c>
    </row>
    <row r="348" spans="1:48">
      <c r="A348" s="3" t="s">
        <v>2711</v>
      </c>
      <c r="B348" s="3" t="s">
        <v>105</v>
      </c>
      <c r="C348" s="9">
        <f>IFERROR(DATEVALUE(TEXT(B348,"DD/MM/YYYY")), IF(ISNUMBER(B348), B348, ""))</f>
        <v>45576</v>
      </c>
      <c r="D348" s="9" t="str">
        <f>IF(B348="","Missing", IF(AND(ISNUMBER(B348)=FALSE, C348=""),"Invalid - Could Not Parse", IF(AND(ISNUMBER(B348)=FALSE, C348&lt;&gt;""),"Text - Converted to Date", IF(ISNUMBER(B348),"Valid","Check"))))</f>
        <v>Text - Converted to Date</v>
      </c>
      <c r="E348" s="5">
        <f t="shared" si="41"/>
        <v>10</v>
      </c>
      <c r="F348" s="5">
        <f t="shared" si="42"/>
        <v>2024</v>
      </c>
      <c r="G348" s="3" t="s">
        <v>2712</v>
      </c>
      <c r="H348" s="9">
        <f>IFERROR(DATEVALUE(TEXT(G348,"DD/MM/YYYY")), IF(ISNUMBER(G348), G348, ""))</f>
        <v>45610</v>
      </c>
      <c r="I348" s="9" t="str">
        <f>IF(G348="","Missing", IF(AND(ISNUMBER(G348)=FALSE, H348=""),"Invalid - Could Not Parse", IF(AND(ISNUMBER(G348)=FALSE, H348&lt;&gt;""),"Text - Converted to Date", IF(ISNUMBER(G348),"Valid","Check"))))</f>
        <v>Text - Converted to Date</v>
      </c>
      <c r="J348" s="9" t="str">
        <f>IF(OR(C348="", H348=""), "Cannot Check - Date Missing", IF(H348&lt;C348, "Invalid - Ship Before Order", "Valid"))</f>
        <v>Valid</v>
      </c>
      <c r="K348" s="5">
        <f>IF(OR(C348="", H348=""), "", IF(H348&lt;C348, "", H348-C348))</f>
        <v>34</v>
      </c>
      <c r="L348" s="3" t="s">
        <v>2713</v>
      </c>
      <c r="M348" s="3" t="s">
        <v>168</v>
      </c>
      <c r="N348" s="4" t="str">
        <f>TRIM(SUBSTITUTE(M348,"_"," "))</f>
        <v>Sneha Kapoor</v>
      </c>
      <c r="O348" s="3" t="s">
        <v>108</v>
      </c>
      <c r="P348" s="6" t="str">
        <f>PROPER(TRIM(SUBSTITUTE(O348,".","")))</f>
        <v>Corporate</v>
      </c>
      <c r="Q348" s="3" t="s">
        <v>62</v>
      </c>
      <c r="R348" s="7" t="str">
        <f>PROPER(TRIM(SUBSTITUTE(Q348,"  "," ")))</f>
        <v>South</v>
      </c>
      <c r="S348" s="3" t="s">
        <v>100</v>
      </c>
      <c r="T348" s="6" t="str">
        <f>PROPER(TRIM(SUBSTITUTE(S348,"  "," ")))</f>
        <v>Andhra Pradesh</v>
      </c>
      <c r="U348" s="3" t="s">
        <v>101</v>
      </c>
      <c r="V348" s="6" t="str">
        <f>PROPER(TRIM(SUBSTITUTE(U348,"  "," ")))</f>
        <v>Vijayawada</v>
      </c>
      <c r="W348" s="3" t="s">
        <v>45</v>
      </c>
      <c r="X348" s="6" t="str">
        <f>PROPER(TRIM(SUBSTITUTE(W348,"  "," ")))</f>
        <v>Furniture</v>
      </c>
      <c r="Y348" s="3" t="s">
        <v>46</v>
      </c>
      <c r="Z348" s="6" t="str">
        <f>PROPER(TRIM(SUBSTITUTE(Y348,"  "," ")))</f>
        <v>Tables</v>
      </c>
      <c r="AA348" s="3" t="s">
        <v>2714</v>
      </c>
      <c r="AB348" s="3" t="s">
        <v>56</v>
      </c>
      <c r="AC348" s="6" t="str">
        <f>PROPER(TRIM(SUBSTITUTE(AB348,"  "," ")))</f>
        <v>First Class</v>
      </c>
      <c r="AD348" s="3">
        <v>2</v>
      </c>
      <c r="AE348" s="3">
        <v>921.34</v>
      </c>
      <c r="AF348" s="3">
        <v>0.2</v>
      </c>
      <c r="AG348" s="17">
        <v>0.2</v>
      </c>
      <c r="AH348" s="6" t="str">
        <f t="shared" si="43"/>
        <v>Valid</v>
      </c>
      <c r="AI348" s="3">
        <v>1474.14</v>
      </c>
      <c r="AJ348" s="3">
        <v>968.46</v>
      </c>
      <c r="AK348" s="3">
        <v>505.68</v>
      </c>
      <c r="AL348" s="3" t="s">
        <v>34</v>
      </c>
      <c r="AM348" s="6" t="str">
        <f>PROPER(TRIM(SUBSTITUTE(AL348,".","")))</f>
        <v>Paid</v>
      </c>
      <c r="AN348" s="3" t="s">
        <v>35</v>
      </c>
      <c r="AO348" s="8" t="str">
        <f>PROPER(TRIM(SUBSTITUTE(AN348,".","")))</f>
        <v>Completed</v>
      </c>
      <c r="AP348" t="str">
        <f>IF(COUNTIF($A$2:$A$933, A348) &gt; 1, "Duplicate ID", "Unique")</f>
        <v>Unique</v>
      </c>
      <c r="AR348">
        <f t="shared" si="44"/>
        <v>1474.1440000000002</v>
      </c>
      <c r="AS348">
        <f t="shared" si="45"/>
        <v>505.6840000000002</v>
      </c>
      <c r="AT348" s="15">
        <f t="shared" si="46"/>
        <v>0.34303568715132315</v>
      </c>
      <c r="AU348" t="str">
        <f t="shared" si="47"/>
        <v>Clean</v>
      </c>
      <c r="AV348" s="8" t="str">
        <f t="shared" si="48"/>
        <v>Active</v>
      </c>
    </row>
    <row r="349" spans="1:48">
      <c r="A349" s="3" t="s">
        <v>2669</v>
      </c>
      <c r="B349" s="3" t="s">
        <v>2670</v>
      </c>
      <c r="C349" s="9">
        <f>IFERROR(DATEVALUE(TEXT(B349,"DD/MM/YYYY")), IF(ISNUMBER(B349), B349, ""))</f>
        <v>45577</v>
      </c>
      <c r="D349" s="9" t="str">
        <f>IF(B349="","Missing", IF(AND(ISNUMBER(B349)=FALSE, C349=""),"Invalid - Could Not Parse", IF(AND(ISNUMBER(B349)=FALSE, C349&lt;&gt;""),"Text - Converted to Date", IF(ISNUMBER(B349),"Valid","Check"))))</f>
        <v>Text - Converted to Date</v>
      </c>
      <c r="E349" s="5">
        <f t="shared" si="41"/>
        <v>10</v>
      </c>
      <c r="F349" s="5">
        <f t="shared" si="42"/>
        <v>2024</v>
      </c>
      <c r="G349" s="3" t="s">
        <v>2671</v>
      </c>
      <c r="H349" s="9">
        <f>IFERROR(DATEVALUE(TEXT(G349,"DD/MM/YYYY")), IF(ISNUMBER(G349), G349, ""))</f>
        <v>45582</v>
      </c>
      <c r="I349" s="9" t="str">
        <f>IF(G349="","Missing", IF(AND(ISNUMBER(G349)=FALSE, H349=""),"Invalid - Could Not Parse", IF(AND(ISNUMBER(G349)=FALSE, H349&lt;&gt;""),"Text - Converted to Date", IF(ISNUMBER(G349),"Valid","Check"))))</f>
        <v>Text - Converted to Date</v>
      </c>
      <c r="J349" s="9" t="str">
        <f>IF(OR(C349="", H349=""), "Cannot Check - Date Missing", IF(H349&lt;C349, "Invalid - Ship Before Order", "Valid"))</f>
        <v>Valid</v>
      </c>
      <c r="K349" s="5">
        <f>IF(OR(C349="", H349=""), "", IF(H349&lt;C349, "", H349-C349))</f>
        <v>5</v>
      </c>
      <c r="L349" s="3" t="s">
        <v>2672</v>
      </c>
      <c r="M349" s="3" t="s">
        <v>61</v>
      </c>
      <c r="N349" s="4" t="str">
        <f>TRIM(SUBSTITUTE(M349,"_"," "))</f>
        <v>Arjun Bose</v>
      </c>
      <c r="O349" s="3" t="s">
        <v>26</v>
      </c>
      <c r="P349" s="6" t="str">
        <f>PROPER(TRIM(SUBSTITUTE(O349,".","")))</f>
        <v>Consumer</v>
      </c>
      <c r="Q349" s="3"/>
      <c r="R349" s="6" t="str">
        <f>IF(ISBLANK(Q349), "Unknown", Q349)</f>
        <v>Unknown</v>
      </c>
      <c r="S349" s="3" t="s">
        <v>311</v>
      </c>
      <c r="T349" s="6" t="str">
        <f>PROPER(TRIM(SUBSTITUTE(S349,"  "," ")))</f>
        <v>Jharkhand</v>
      </c>
      <c r="U349" s="3" t="s">
        <v>312</v>
      </c>
      <c r="V349" s="6" t="str">
        <f>PROPER(TRIM(SUBSTITUTE(U349,"  "," ")))</f>
        <v>Ranchi</v>
      </c>
      <c r="W349" s="3" t="s">
        <v>45</v>
      </c>
      <c r="X349" s="6" t="str">
        <f>PROPER(TRIM(SUBSTITUTE(W349,"  "," ")))</f>
        <v>Furniture</v>
      </c>
      <c r="Y349" s="3" t="s">
        <v>65</v>
      </c>
      <c r="Z349" s="6" t="str">
        <f>PROPER(TRIM(SUBSTITUTE(Y349,"  "," ")))</f>
        <v>Furnishings</v>
      </c>
      <c r="AA349" s="3" t="s">
        <v>2673</v>
      </c>
      <c r="AB349" s="3" t="s">
        <v>67</v>
      </c>
      <c r="AC349" s="6" t="str">
        <f>PROPER(TRIM(SUBSTITUTE(AB349,"  "," ")))</f>
        <v>Standard Class</v>
      </c>
      <c r="AD349" s="3">
        <v>4</v>
      </c>
      <c r="AE349" s="3">
        <v>1071.22</v>
      </c>
      <c r="AF349" s="3">
        <v>0.05</v>
      </c>
      <c r="AG349" s="17">
        <v>0.05</v>
      </c>
      <c r="AH349" s="6" t="str">
        <f t="shared" si="43"/>
        <v>Valid</v>
      </c>
      <c r="AI349" s="3">
        <v>4070.64</v>
      </c>
      <c r="AJ349" s="3">
        <v>2831.62</v>
      </c>
      <c r="AK349" s="3">
        <v>1239.02</v>
      </c>
      <c r="AL349" s="3" t="s">
        <v>34</v>
      </c>
      <c r="AM349" s="6" t="str">
        <f>PROPER(TRIM(SUBSTITUTE(AL349,".","")))</f>
        <v>Paid</v>
      </c>
      <c r="AN349" s="3" t="s">
        <v>35</v>
      </c>
      <c r="AO349" s="8" t="str">
        <f>PROPER(TRIM(SUBSTITUTE(AN349,".","")))</f>
        <v>Completed</v>
      </c>
      <c r="AP349" t="str">
        <f>IF(COUNTIF($A$2:$A$933, A349) &gt; 1, "Duplicate ID", "Unique")</f>
        <v>Unique</v>
      </c>
      <c r="AR349">
        <f t="shared" si="44"/>
        <v>4070.636</v>
      </c>
      <c r="AS349">
        <f t="shared" si="45"/>
        <v>1239.0160000000001</v>
      </c>
      <c r="AT349" s="15">
        <f t="shared" si="46"/>
        <v>0.30437897173807732</v>
      </c>
      <c r="AU349" t="str">
        <f t="shared" si="47"/>
        <v>Clean</v>
      </c>
      <c r="AV349" s="8" t="str">
        <f t="shared" si="48"/>
        <v>Active</v>
      </c>
    </row>
    <row r="350" spans="1:48">
      <c r="A350" s="3" t="s">
        <v>3386</v>
      </c>
      <c r="B350" s="3" t="s">
        <v>3387</v>
      </c>
      <c r="C350" s="9">
        <f>IFERROR(DATEVALUE(TEXT(B350,"DD/MM/YYYY")), IF(ISNUMBER(B350), B350, ""))</f>
        <v>45578</v>
      </c>
      <c r="D350" s="9" t="str">
        <f>IF(B350="","Missing", IF(AND(ISNUMBER(B350)=FALSE, C350=""),"Invalid - Could Not Parse", IF(AND(ISNUMBER(B350)=FALSE, C350&lt;&gt;""),"Text - Converted to Date", IF(ISNUMBER(B350),"Valid","Check"))))</f>
        <v>Text - Converted to Date</v>
      </c>
      <c r="E350" s="5">
        <f t="shared" si="41"/>
        <v>10</v>
      </c>
      <c r="F350" s="5">
        <f t="shared" si="42"/>
        <v>2024</v>
      </c>
      <c r="G350" s="3" t="s">
        <v>3387</v>
      </c>
      <c r="H350" s="9">
        <f>IFERROR(DATEVALUE(TEXT(G350,"DD/MM/YYYY")), IF(ISNUMBER(G350), G350, ""))</f>
        <v>45578</v>
      </c>
      <c r="I350" s="9" t="str">
        <f>IF(G350="","Missing", IF(AND(ISNUMBER(G350)=FALSE, H350=""),"Invalid - Could Not Parse", IF(AND(ISNUMBER(G350)=FALSE, H350&lt;&gt;""),"Text - Converted to Date", IF(ISNUMBER(G350),"Valid","Check"))))</f>
        <v>Text - Converted to Date</v>
      </c>
      <c r="J350" s="9" t="str">
        <f>IF(OR(C350="", H350=""), "Cannot Check - Date Missing", IF(H350&lt;C350, "Invalid - Ship Before Order", "Valid"))</f>
        <v>Valid</v>
      </c>
      <c r="K350" s="5">
        <f>IF(OR(C350="", H350=""), "", IF(H350&lt;C350, "", H350-C350))</f>
        <v>0</v>
      </c>
      <c r="L350" s="3" t="s">
        <v>3388</v>
      </c>
      <c r="M350" s="3" t="s">
        <v>162</v>
      </c>
      <c r="N350" s="4" t="str">
        <f>TRIM(SUBSTITUTE(M350,"_"," "))</f>
        <v>Aarav Sharma</v>
      </c>
      <c r="O350" s="3" t="s">
        <v>41</v>
      </c>
      <c r="P350" s="6" t="str">
        <f>PROPER(TRIM(SUBSTITUTE(O350,".","")))</f>
        <v>Small Business</v>
      </c>
      <c r="Q350" s="3" t="s">
        <v>42</v>
      </c>
      <c r="R350" s="7" t="str">
        <f>PROPER(TRIM(SUBSTITUTE(Q350,"  "," ")))</f>
        <v>East</v>
      </c>
      <c r="S350" s="3" t="s">
        <v>216</v>
      </c>
      <c r="T350" s="6" t="str">
        <f>PROPER(TRIM(SUBSTITUTE(S350,"  "," ")))</f>
        <v>Assam</v>
      </c>
      <c r="U350" s="3" t="s">
        <v>217</v>
      </c>
      <c r="V350" s="6" t="str">
        <f>PROPER(TRIM(SUBSTITUTE(U350,"  "," ")))</f>
        <v>Guwahati</v>
      </c>
      <c r="W350" s="3" t="s">
        <v>86</v>
      </c>
      <c r="X350" s="6" t="str">
        <f>PROPER(TRIM(SUBSTITUTE(W350,"  "," ")))</f>
        <v>Technology</v>
      </c>
      <c r="Y350" s="3" t="s">
        <v>87</v>
      </c>
      <c r="Z350" s="6" t="str">
        <f>PROPER(TRIM(SUBSTITUTE(Y350,"  "," ")))</f>
        <v>Accessories</v>
      </c>
      <c r="AA350" s="3" t="s">
        <v>3389</v>
      </c>
      <c r="AB350" s="3" t="s">
        <v>33</v>
      </c>
      <c r="AC350" s="6" t="str">
        <f>PROPER(TRIM(SUBSTITUTE(AB350,"  "," ")))</f>
        <v>Second Class</v>
      </c>
      <c r="AD350" s="3">
        <v>8</v>
      </c>
      <c r="AE350" s="3">
        <v>3730.66</v>
      </c>
      <c r="AF350" s="3">
        <v>0.05</v>
      </c>
      <c r="AG350" s="17">
        <v>0.05</v>
      </c>
      <c r="AH350" s="6" t="str">
        <f t="shared" si="43"/>
        <v>Valid</v>
      </c>
      <c r="AI350" s="3">
        <v>28353.02</v>
      </c>
      <c r="AJ350" s="3">
        <v>19257.849999999999</v>
      </c>
      <c r="AK350" s="3">
        <v>9095.17</v>
      </c>
      <c r="AL350" s="3" t="s">
        <v>34</v>
      </c>
      <c r="AM350" s="6" t="str">
        <f>PROPER(TRIM(SUBSTITUTE(AL350,".","")))</f>
        <v>Paid</v>
      </c>
      <c r="AN350" s="3" t="s">
        <v>35</v>
      </c>
      <c r="AO350" s="8" t="str">
        <f>PROPER(TRIM(SUBSTITUTE(AN350,".","")))</f>
        <v>Completed</v>
      </c>
      <c r="AP350" t="str">
        <f>IF(COUNTIF($A$2:$A$933, A350) &gt; 1, "Duplicate ID", "Unique")</f>
        <v>Unique</v>
      </c>
      <c r="AR350">
        <f t="shared" si="44"/>
        <v>28353.015999999996</v>
      </c>
      <c r="AS350">
        <f t="shared" si="45"/>
        <v>9095.1659999999974</v>
      </c>
      <c r="AT350" s="15">
        <f t="shared" si="46"/>
        <v>0.3207830165228277</v>
      </c>
      <c r="AU350" t="str">
        <f t="shared" si="47"/>
        <v>Warning</v>
      </c>
      <c r="AV350" s="8" t="str">
        <f t="shared" si="48"/>
        <v>Active</v>
      </c>
    </row>
    <row r="351" spans="1:48">
      <c r="A351" s="3" t="s">
        <v>1234</v>
      </c>
      <c r="B351" s="3" t="s">
        <v>1235</v>
      </c>
      <c r="C351" s="9">
        <f>IFERROR(DATEVALUE(TEXT(B351,"DD/MM/YYYY")), IF(ISNUMBER(B351), B351, ""))</f>
        <v>45579</v>
      </c>
      <c r="D351" s="9" t="str">
        <f>IF(B351="","Missing", IF(AND(ISNUMBER(B351)=FALSE, C351=""),"Invalid - Could Not Parse", IF(AND(ISNUMBER(B351)=FALSE, C351&lt;&gt;""),"Text - Converted to Date", IF(ISNUMBER(B351),"Valid","Check"))))</f>
        <v>Text - Converted to Date</v>
      </c>
      <c r="E351" s="5">
        <f t="shared" si="41"/>
        <v>10</v>
      </c>
      <c r="F351" s="5">
        <f t="shared" si="42"/>
        <v>2024</v>
      </c>
      <c r="G351" s="3" t="s">
        <v>1236</v>
      </c>
      <c r="H351" s="9">
        <f>IFERROR(DATEVALUE(MID(G351,4,2) &amp; "/" &amp; LEFT(G351,2) &amp; "/" &amp; RIGHT(G351,4)), IF(ISNUMBER(G351), G351, IFERROR(DATEVALUE(G351), "")))</f>
        <v>45579</v>
      </c>
      <c r="I351" s="9" t="str">
        <f>IF(G351="","Missing", IF(AND(ISNUMBER(G351)=FALSE, H351=""),"Invalid - Could Not Parse", IF(AND(ISNUMBER(G351)=FALSE, H351&lt;&gt;""),"Text - Converted to Date", IF(ISNUMBER(G351),"Valid","Check"))))</f>
        <v>Text - Converted to Date</v>
      </c>
      <c r="J351" s="9" t="str">
        <f>IF(OR(C351="", H351=""), "Cannot Check - Date Missing", IF(H351&lt;C351, "Invalid - Ship Before Order", "Valid"))</f>
        <v>Valid</v>
      </c>
      <c r="K351" s="5">
        <f>IF(OR(C351="", H351=""), "", IF(H351&lt;C351, "", H351-C351))</f>
        <v>0</v>
      </c>
      <c r="L351" s="3" t="s">
        <v>1237</v>
      </c>
      <c r="M351" s="3" t="s">
        <v>83</v>
      </c>
      <c r="N351" s="4" t="str">
        <f>TRIM(SUBSTITUTE(M351,"_"," "))</f>
        <v>Vikram Iyer</v>
      </c>
      <c r="O351" s="3" t="s">
        <v>108</v>
      </c>
      <c r="P351" s="6" t="str">
        <f>PROPER(TRIM(SUBSTITUTE(O351,".","")))</f>
        <v>Corporate</v>
      </c>
      <c r="Q351" s="3" t="s">
        <v>62</v>
      </c>
      <c r="R351" s="7" t="str">
        <f>PROPER(TRIM(SUBSTITUTE(Q351,"  "," ")))</f>
        <v>South</v>
      </c>
      <c r="S351" s="3" t="s">
        <v>229</v>
      </c>
      <c r="T351" s="6" t="str">
        <f>PROPER(TRIM(SUBSTITUTE(S351,"  "," ")))</f>
        <v>Karnataka</v>
      </c>
      <c r="U351" s="3" t="s">
        <v>230</v>
      </c>
      <c r="V351" s="6" t="str">
        <f>PROPER(TRIM(SUBSTITUTE(U351,"  "," ")))</f>
        <v>Bengaluru</v>
      </c>
      <c r="W351" s="3" t="s">
        <v>45</v>
      </c>
      <c r="X351" s="6" t="str">
        <f>PROPER(TRIM(SUBSTITUTE(W351,"  "," ")))</f>
        <v>Furniture</v>
      </c>
      <c r="Y351" s="3" t="s">
        <v>204</v>
      </c>
      <c r="Z351" s="6" t="str">
        <f>PROPER(TRIM(SUBSTITUTE(Y351,"  "," ")))</f>
        <v>Bookcases</v>
      </c>
      <c r="AA351" s="3" t="s">
        <v>1238</v>
      </c>
      <c r="AB351" s="3"/>
      <c r="AC351" s="11" t="str">
        <f>IF(ISBLANK(AB351), "Unknown", AB351)</f>
        <v>Unknown</v>
      </c>
      <c r="AD351" s="3">
        <v>8</v>
      </c>
      <c r="AE351" s="3">
        <v>3904.59</v>
      </c>
      <c r="AF351" s="3">
        <v>0</v>
      </c>
      <c r="AG351" s="17">
        <v>0</v>
      </c>
      <c r="AH351" s="6" t="str">
        <f t="shared" si="43"/>
        <v>Valid</v>
      </c>
      <c r="AI351" s="3">
        <v>31236.720000000001</v>
      </c>
      <c r="AJ351" s="3">
        <v>26377.7</v>
      </c>
      <c r="AK351" s="3">
        <v>4859.0200000000004</v>
      </c>
      <c r="AL351" s="3" t="s">
        <v>34</v>
      </c>
      <c r="AM351" s="6" t="str">
        <f>PROPER(TRIM(SUBSTITUTE(AL351,".","")))</f>
        <v>Paid</v>
      </c>
      <c r="AN351" s="3" t="s">
        <v>35</v>
      </c>
      <c r="AO351" s="8" t="str">
        <f>PROPER(TRIM(SUBSTITUTE(AN351,".","")))</f>
        <v>Completed</v>
      </c>
      <c r="AP351" t="str">
        <f>IF(COUNTIF($A$2:$A$933, A351) &gt; 1, "Duplicate ID", "Unique")</f>
        <v>Unique</v>
      </c>
      <c r="AR351">
        <f t="shared" si="44"/>
        <v>31236.720000000001</v>
      </c>
      <c r="AS351">
        <f t="shared" si="45"/>
        <v>4859.0200000000004</v>
      </c>
      <c r="AT351" s="15">
        <f t="shared" si="46"/>
        <v>0.15555474454424154</v>
      </c>
      <c r="AU351" t="str">
        <f t="shared" si="47"/>
        <v>Clean</v>
      </c>
      <c r="AV351" s="8" t="str">
        <f t="shared" si="48"/>
        <v>Active</v>
      </c>
    </row>
    <row r="352" spans="1:48">
      <c r="A352" s="3" t="s">
        <v>2378</v>
      </c>
      <c r="B352" s="3" t="s">
        <v>2379</v>
      </c>
      <c r="C352" s="9">
        <f>IFERROR(DATEVALUE(TEXT(B352,"DD/MM/YYYY")), IF(ISNUMBER(B352), B352, ""))</f>
        <v>45579</v>
      </c>
      <c r="D352" s="9" t="str">
        <f>IF(B352="","Missing", IF(AND(ISNUMBER(B352)=FALSE, C352=""),"Invalid - Could Not Parse", IF(AND(ISNUMBER(B352)=FALSE, C352&lt;&gt;""),"Text - Converted to Date", IF(ISNUMBER(B352),"Valid","Check"))))</f>
        <v>Text - Converted to Date</v>
      </c>
      <c r="E352" s="5">
        <f t="shared" si="41"/>
        <v>10</v>
      </c>
      <c r="F352" s="5">
        <f t="shared" si="42"/>
        <v>2024</v>
      </c>
      <c r="G352" s="3" t="s">
        <v>2380</v>
      </c>
      <c r="H352" s="9">
        <f>IFERROR(DATEVALUE(TEXT(G352,"DD/MM/YYYY")), IF(ISNUMBER(G352), G352, ""))</f>
        <v>45585</v>
      </c>
      <c r="I352" s="9" t="str">
        <f>IF(G352="","Missing", IF(AND(ISNUMBER(G352)=FALSE, H352=""),"Invalid - Could Not Parse", IF(AND(ISNUMBER(G352)=FALSE, H352&lt;&gt;""),"Text - Converted to Date", IF(ISNUMBER(G352),"Valid","Check"))))</f>
        <v>Text - Converted to Date</v>
      </c>
      <c r="J352" s="9" t="str">
        <f>IF(OR(C352="", H352=""), "Cannot Check - Date Missing", IF(H352&lt;C352, "Invalid - Ship Before Order", "Valid"))</f>
        <v>Valid</v>
      </c>
      <c r="K352" s="5">
        <f>IF(OR(C352="", H352=""), "", IF(H352&lt;C352, "", H352-C352))</f>
        <v>6</v>
      </c>
      <c r="L352" s="3" t="s">
        <v>2381</v>
      </c>
      <c r="M352" s="3" t="s">
        <v>107</v>
      </c>
      <c r="N352" s="4" t="str">
        <f>TRIM(SUBSTITUTE(M352,"_"," "))</f>
        <v>Aditi Sen</v>
      </c>
      <c r="O352" s="3" t="s">
        <v>41</v>
      </c>
      <c r="P352" s="6" t="str">
        <f>PROPER(TRIM(SUBSTITUTE(O352,".","")))</f>
        <v>Small Business</v>
      </c>
      <c r="Q352" s="3" t="s">
        <v>27</v>
      </c>
      <c r="R352" s="7" t="str">
        <f>PROPER(TRIM(SUBSTITUTE(Q352,"  "," ")))</f>
        <v>North</v>
      </c>
      <c r="S352" s="3" t="s">
        <v>28</v>
      </c>
      <c r="T352" s="6" t="str">
        <f>PROPER(TRIM(SUBSTITUTE(S352,"  "," ")))</f>
        <v>Rajasthan</v>
      </c>
      <c r="U352" s="3" t="s">
        <v>29</v>
      </c>
      <c r="V352" s="6" t="str">
        <f>PROPER(TRIM(SUBSTITUTE(U352,"  "," ")))</f>
        <v>Jaipur</v>
      </c>
      <c r="W352" s="3" t="s">
        <v>45</v>
      </c>
      <c r="X352" s="6" t="str">
        <f>PROPER(TRIM(SUBSTITUTE(W352,"  "," ")))</f>
        <v>Furniture</v>
      </c>
      <c r="Y352" s="3" t="s">
        <v>46</v>
      </c>
      <c r="Z352" s="6" t="str">
        <f>PROPER(TRIM(SUBSTITUTE(Y352,"  "," ")))</f>
        <v>Tables</v>
      </c>
      <c r="AA352" s="3" t="s">
        <v>2382</v>
      </c>
      <c r="AB352" s="3" t="s">
        <v>48</v>
      </c>
      <c r="AC352" s="6" t="str">
        <f>PROPER(TRIM(SUBSTITUTE(AB352,"  "," ")))</f>
        <v>Same Day</v>
      </c>
      <c r="AD352" s="3">
        <v>7</v>
      </c>
      <c r="AE352" s="3">
        <v>1547.6</v>
      </c>
      <c r="AF352" s="3">
        <v>0.2</v>
      </c>
      <c r="AG352" s="17">
        <v>0.2</v>
      </c>
      <c r="AH352" s="6" t="str">
        <f t="shared" si="43"/>
        <v>Valid</v>
      </c>
      <c r="AI352" s="3">
        <v>8666.56</v>
      </c>
      <c r="AJ352" s="3">
        <v>5967.44</v>
      </c>
      <c r="AK352" s="3">
        <v>2699.12</v>
      </c>
      <c r="AL352" s="3" t="s">
        <v>34</v>
      </c>
      <c r="AM352" s="6" t="str">
        <f>PROPER(TRIM(SUBSTITUTE(AL352,".","")))</f>
        <v>Paid</v>
      </c>
      <c r="AN352" s="3" t="s">
        <v>35</v>
      </c>
      <c r="AO352" s="8" t="str">
        <f>PROPER(TRIM(SUBSTITUTE(AN352,".","")))</f>
        <v>Completed</v>
      </c>
      <c r="AP352" t="str">
        <f>IF(COUNTIF($A$2:$A$933, A352) &gt; 1, "Duplicate ID", "Unique")</f>
        <v>Unique</v>
      </c>
      <c r="AR352">
        <f t="shared" si="44"/>
        <v>8666.56</v>
      </c>
      <c r="AS352">
        <f t="shared" si="45"/>
        <v>2699.12</v>
      </c>
      <c r="AT352" s="15">
        <f t="shared" si="46"/>
        <v>0.31144075619392242</v>
      </c>
      <c r="AU352" t="str">
        <f t="shared" si="47"/>
        <v>Warning</v>
      </c>
      <c r="AV352" s="8" t="str">
        <f t="shared" si="48"/>
        <v>Active</v>
      </c>
    </row>
    <row r="353" spans="1:48">
      <c r="A353" s="3" t="s">
        <v>2787</v>
      </c>
      <c r="B353" s="3" t="s">
        <v>2788</v>
      </c>
      <c r="C353" s="9">
        <f>IFERROR(DATEVALUE(TEXT(B353,"DD/MM/YYYY")), IF(ISNUMBER(B353), B353, ""))</f>
        <v>45580</v>
      </c>
      <c r="D353" s="9" t="str">
        <f>IF(B353="","Missing", IF(AND(ISNUMBER(B353)=FALSE, C353=""),"Invalid - Could Not Parse", IF(AND(ISNUMBER(B353)=FALSE, C353&lt;&gt;""),"Text - Converted to Date", IF(ISNUMBER(B353),"Valid","Check"))))</f>
        <v>Text - Converted to Date</v>
      </c>
      <c r="E353" s="5">
        <f t="shared" si="41"/>
        <v>10</v>
      </c>
      <c r="F353" s="5">
        <f t="shared" si="42"/>
        <v>2024</v>
      </c>
      <c r="G353" s="3" t="s">
        <v>2789</v>
      </c>
      <c r="H353" s="9">
        <f>IFERROR(DATEVALUE(MID(G353,4,2) &amp; "/" &amp; LEFT(G353,2) &amp; "/" &amp; RIGHT(G353,4)), IF(ISNUMBER(G353), G353, IFERROR(DATEVALUE(G353), "")))</f>
        <v>45585</v>
      </c>
      <c r="I353" s="9" t="str">
        <f>IF(G353="","Missing", IF(AND(ISNUMBER(G353)=FALSE, H353=""),"Invalid - Could Not Parse", IF(AND(ISNUMBER(G353)=FALSE, H353&lt;&gt;""),"Text - Converted to Date", IF(ISNUMBER(G353),"Valid","Check"))))</f>
        <v>Text - Converted to Date</v>
      </c>
      <c r="J353" s="9" t="str">
        <f>IF(OR(C353="", H353=""), "Cannot Check - Date Missing", IF(H353&lt;C353, "Invalid - Ship Before Order", "Valid"))</f>
        <v>Valid</v>
      </c>
      <c r="K353" s="5">
        <f>IF(OR(C353="", H353=""), "", IF(H353&lt;C353, "", H353-C353))</f>
        <v>5</v>
      </c>
      <c r="L353" s="3" t="s">
        <v>2790</v>
      </c>
      <c r="M353" s="3" t="s">
        <v>72</v>
      </c>
      <c r="N353" s="4" t="str">
        <f>TRIM(SUBSTITUTE(M353,"_"," "))</f>
        <v>Ananya Rao</v>
      </c>
      <c r="O353" s="3" t="s">
        <v>26</v>
      </c>
      <c r="P353" s="6" t="str">
        <f>PROPER(TRIM(SUBSTITUTE(O353,".","")))</f>
        <v>Consumer</v>
      </c>
      <c r="Q353" s="3" t="s">
        <v>42</v>
      </c>
      <c r="R353" s="7" t="str">
        <f>PROPER(TRIM(SUBSTITUTE(Q353,"  "," ")))</f>
        <v>East</v>
      </c>
      <c r="S353" s="3" t="s">
        <v>43</v>
      </c>
      <c r="T353" s="6" t="str">
        <f>PROPER(TRIM(SUBSTITUTE(S353,"  "," ")))</f>
        <v>Odisha</v>
      </c>
      <c r="U353" s="3" t="s">
        <v>44</v>
      </c>
      <c r="V353" s="6" t="str">
        <f>PROPER(TRIM(SUBSTITUTE(U353,"  "," ")))</f>
        <v>Bhubaneswar</v>
      </c>
      <c r="W353" s="3" t="s">
        <v>30</v>
      </c>
      <c r="X353" s="6" t="str">
        <f>PROPER(TRIM(SUBSTITUTE(W353,"  "," ")))</f>
        <v>Office Supplies</v>
      </c>
      <c r="Y353" s="3" t="s">
        <v>54</v>
      </c>
      <c r="Z353" s="6" t="str">
        <f>PROPER(TRIM(SUBSTITUTE(Y353,"  "," ")))</f>
        <v>Art</v>
      </c>
      <c r="AA353" s="3" t="s">
        <v>2791</v>
      </c>
      <c r="AB353" s="3" t="s">
        <v>56</v>
      </c>
      <c r="AC353" s="6" t="str">
        <f>PROPER(TRIM(SUBSTITUTE(AB353,"  "," ")))</f>
        <v>First Class</v>
      </c>
      <c r="AD353" s="3">
        <v>5</v>
      </c>
      <c r="AE353" s="3">
        <v>671.24</v>
      </c>
      <c r="AF353" s="3">
        <v>0</v>
      </c>
      <c r="AG353" s="17">
        <v>0</v>
      </c>
      <c r="AH353" s="6" t="str">
        <f t="shared" si="43"/>
        <v>Valid</v>
      </c>
      <c r="AI353" s="3">
        <v>3356.2</v>
      </c>
      <c r="AJ353" s="3">
        <v>2205.7199999999998</v>
      </c>
      <c r="AK353" s="3">
        <v>1150.48</v>
      </c>
      <c r="AL353" s="3" t="s">
        <v>137</v>
      </c>
      <c r="AM353" s="6" t="str">
        <f>PROPER(TRIM(SUBSTITUTE(AL353,".","")))</f>
        <v>Pending</v>
      </c>
      <c r="AN353" s="3" t="s">
        <v>125</v>
      </c>
      <c r="AO353" s="8" t="str">
        <f>PROPER(TRIM(SUBSTITUTE(AN353,".","")))</f>
        <v>Returned</v>
      </c>
      <c r="AP353" t="str">
        <f>IF(COUNTIF($A$2:$A$933, A353) &gt; 1, "Duplicate ID", "Unique")</f>
        <v>Unique</v>
      </c>
      <c r="AR353">
        <f t="shared" si="44"/>
        <v>3356.2</v>
      </c>
      <c r="AS353">
        <f t="shared" si="45"/>
        <v>1150.48</v>
      </c>
      <c r="AT353" s="15">
        <f t="shared" si="46"/>
        <v>0.34279244383528995</v>
      </c>
      <c r="AU353" t="str">
        <f t="shared" si="47"/>
        <v>Clean</v>
      </c>
      <c r="AV353" s="8" t="str">
        <f t="shared" si="48"/>
        <v>Active</v>
      </c>
    </row>
    <row r="354" spans="1:48">
      <c r="A354" s="3" t="s">
        <v>992</v>
      </c>
      <c r="B354" s="3" t="s">
        <v>299</v>
      </c>
      <c r="C354" s="9">
        <f>IFERROR(DATEVALUE(TEXT(B354,"DD/MM/YYYY")), IF(ISNUMBER(B354), B354, ""))</f>
        <v>45581</v>
      </c>
      <c r="D354" s="9" t="str">
        <f>IF(B354="","Missing", IF(AND(ISNUMBER(B354)=FALSE, C354=""),"Invalid - Could Not Parse", IF(AND(ISNUMBER(B354)=FALSE, C354&lt;&gt;""),"Text - Converted to Date", IF(ISNUMBER(B354),"Valid","Check"))))</f>
        <v>Text - Converted to Date</v>
      </c>
      <c r="E354" s="5">
        <f t="shared" si="41"/>
        <v>10</v>
      </c>
      <c r="F354" s="5">
        <f t="shared" si="42"/>
        <v>2024</v>
      </c>
      <c r="G354" s="3" t="s">
        <v>299</v>
      </c>
      <c r="H354" s="9">
        <f>IFERROR(DATEVALUE(TEXT(G354,"DD/MM/YYYY")), IF(ISNUMBER(G354), G354, ""))</f>
        <v>45581</v>
      </c>
      <c r="I354" s="9" t="str">
        <f>IF(G354="","Missing", IF(AND(ISNUMBER(G354)=FALSE, H354=""),"Invalid - Could Not Parse", IF(AND(ISNUMBER(G354)=FALSE, H354&lt;&gt;""),"Text - Converted to Date", IF(ISNUMBER(G354),"Valid","Check"))))</f>
        <v>Text - Converted to Date</v>
      </c>
      <c r="J354" s="9" t="str">
        <f>IF(OR(C354="", H354=""), "Cannot Check - Date Missing", IF(H354&lt;C354, "Invalid - Ship Before Order", "Valid"))</f>
        <v>Valid</v>
      </c>
      <c r="K354" s="5">
        <f>IF(OR(C354="", H354=""), "", IF(H354&lt;C354, "", H354-C354))</f>
        <v>0</v>
      </c>
      <c r="L354" s="3" t="s">
        <v>993</v>
      </c>
      <c r="M354" s="3" t="s">
        <v>72</v>
      </c>
      <c r="N354" s="4" t="str">
        <f>TRIM(SUBSTITUTE(M354,"_"," "))</f>
        <v>Ananya Rao</v>
      </c>
      <c r="O354" s="3" t="s">
        <v>115</v>
      </c>
      <c r="P354" s="6" t="str">
        <f>PROPER(TRIM(SUBSTITUTE(O354,".","")))</f>
        <v>Home Office</v>
      </c>
      <c r="Q354" s="3" t="s">
        <v>42</v>
      </c>
      <c r="R354" s="7" t="str">
        <f>PROPER(TRIM(SUBSTITUTE(Q354,"  "," ")))</f>
        <v>East</v>
      </c>
      <c r="S354" s="3" t="s">
        <v>186</v>
      </c>
      <c r="T354" s="6" t="str">
        <f>PROPER(TRIM(SUBSTITUTE(S354,"  "," ")))</f>
        <v>Bihar</v>
      </c>
      <c r="U354" s="3" t="s">
        <v>187</v>
      </c>
      <c r="V354" s="6" t="str">
        <f>PROPER(TRIM(SUBSTITUTE(U354,"  "," ")))</f>
        <v>Patna</v>
      </c>
      <c r="W354" s="3" t="s">
        <v>86</v>
      </c>
      <c r="X354" s="6" t="str">
        <f>PROPER(TRIM(SUBSTITUTE(W354,"  "," ")))</f>
        <v>Technology</v>
      </c>
      <c r="Y354" s="3" t="s">
        <v>382</v>
      </c>
      <c r="Z354" s="6" t="str">
        <f>PROPER(TRIM(SUBSTITUTE(Y354,"  "," ")))</f>
        <v>Machines</v>
      </c>
      <c r="AA354" s="3" t="s">
        <v>994</v>
      </c>
      <c r="AB354" s="3" t="s">
        <v>67</v>
      </c>
      <c r="AC354" s="6" t="str">
        <f>PROPER(TRIM(SUBSTITUTE(AB354,"  "," ")))</f>
        <v>Standard Class</v>
      </c>
      <c r="AD354" s="3">
        <v>7</v>
      </c>
      <c r="AE354" s="3">
        <v>775.77</v>
      </c>
      <c r="AF354" s="3">
        <v>0</v>
      </c>
      <c r="AG354" s="17">
        <v>0</v>
      </c>
      <c r="AH354" s="6" t="str">
        <f t="shared" si="43"/>
        <v>Valid</v>
      </c>
      <c r="AI354" s="3">
        <v>5430.39</v>
      </c>
      <c r="AJ354" s="3">
        <v>3707.66</v>
      </c>
      <c r="AK354" s="3">
        <v>1722.73</v>
      </c>
      <c r="AL354" s="3" t="s">
        <v>34</v>
      </c>
      <c r="AM354" s="6" t="str">
        <f>PROPER(TRIM(SUBSTITUTE(AL354,".","")))</f>
        <v>Paid</v>
      </c>
      <c r="AN354" s="3" t="s">
        <v>35</v>
      </c>
      <c r="AO354" s="8" t="str">
        <f>PROPER(TRIM(SUBSTITUTE(AN354,".","")))</f>
        <v>Completed</v>
      </c>
      <c r="AP354" t="str">
        <f>IF(COUNTIF($A$2:$A$933, A354) &gt; 1, "Duplicate ID", "Unique")</f>
        <v>Unique</v>
      </c>
      <c r="AR354">
        <f t="shared" si="44"/>
        <v>5430.3899999999994</v>
      </c>
      <c r="AS354">
        <f t="shared" si="45"/>
        <v>1722.7299999999996</v>
      </c>
      <c r="AT354" s="15">
        <f t="shared" si="46"/>
        <v>0.31723872502711586</v>
      </c>
      <c r="AU354" t="str">
        <f t="shared" si="47"/>
        <v>Clean</v>
      </c>
      <c r="AV354" s="8" t="str">
        <f t="shared" si="48"/>
        <v>Active</v>
      </c>
    </row>
    <row r="355" spans="1:48">
      <c r="A355" s="3" t="s">
        <v>643</v>
      </c>
      <c r="B355" s="3" t="s">
        <v>644</v>
      </c>
      <c r="C355" s="9">
        <v>45583</v>
      </c>
      <c r="D355" s="9" t="str">
        <f>IF(B355="","Missing", IF(AND(ISNUMBER(B355)=FALSE, C355=""),"Invalid - Could Not Parse", IF(AND(ISNUMBER(B355)=FALSE, C355&lt;&gt;""),"Text - Converted to Date", IF(ISNUMBER(B355),"Valid","Check"))))</f>
        <v>Text - Converted to Date</v>
      </c>
      <c r="E355" s="5">
        <f t="shared" si="41"/>
        <v>10</v>
      </c>
      <c r="F355" s="5">
        <f t="shared" si="42"/>
        <v>2024</v>
      </c>
      <c r="G355" s="3" t="s">
        <v>645</v>
      </c>
      <c r="H355" s="9">
        <f>IFERROR(DATEVALUE(TEXT(G355,"DD/MM/YYYY")), IF(ISNUMBER(G355), G355, ""))</f>
        <v>45589</v>
      </c>
      <c r="I355" s="9" t="str">
        <f>IF(G355="","Missing", IF(AND(ISNUMBER(G355)=FALSE, H355=""),"Invalid - Could Not Parse", IF(AND(ISNUMBER(G355)=FALSE, H355&lt;&gt;""),"Text - Converted to Date", IF(ISNUMBER(G355),"Valid","Check"))))</f>
        <v>Text - Converted to Date</v>
      </c>
      <c r="J355" s="9" t="str">
        <f>IF(OR(C355="", H355=""), "Cannot Check - Date Missing", IF(H355&lt;C355, "Invalid - Ship Before Order", "Valid"))</f>
        <v>Valid</v>
      </c>
      <c r="K355" s="5">
        <f>IF(OR(C355="", H355=""), "", IF(H355&lt;C355, "", H355-C355))</f>
        <v>6</v>
      </c>
      <c r="L355" s="3" t="s">
        <v>646</v>
      </c>
      <c r="M355" s="3" t="s">
        <v>83</v>
      </c>
      <c r="N355" s="4" t="str">
        <f>TRIM(SUBSTITUTE(M355,"_"," "))</f>
        <v>Vikram Iyer</v>
      </c>
      <c r="O355" s="3" t="s">
        <v>108</v>
      </c>
      <c r="P355" s="6" t="str">
        <f>PROPER(TRIM(SUBSTITUTE(O355,".","")))</f>
        <v>Corporate</v>
      </c>
      <c r="Q355" s="3" t="s">
        <v>62</v>
      </c>
      <c r="R355" s="7" t="str">
        <f>PROPER(TRIM(SUBSTITUTE(Q355,"  "," ")))</f>
        <v>South</v>
      </c>
      <c r="S355" s="3" t="s">
        <v>242</v>
      </c>
      <c r="T355" s="6" t="str">
        <f>PROPER(TRIM(SUBSTITUTE(S355,"  "," ")))</f>
        <v>Kerala</v>
      </c>
      <c r="U355" s="3" t="s">
        <v>243</v>
      </c>
      <c r="V355" s="6" t="str">
        <f>PROPER(TRIM(SUBSTITUTE(U355,"  "," ")))</f>
        <v>Kochi</v>
      </c>
      <c r="W355" s="3" t="s">
        <v>30</v>
      </c>
      <c r="X355" s="6" t="str">
        <f>PROPER(TRIM(SUBSTITUTE(W355,"  "," ")))</f>
        <v>Office Supplies</v>
      </c>
      <c r="Y355" s="3" t="s">
        <v>109</v>
      </c>
      <c r="Z355" s="6" t="str">
        <f>PROPER(TRIM(SUBSTITUTE(Y355,"  "," ")))</f>
        <v>Labels</v>
      </c>
      <c r="AA355" s="3" t="s">
        <v>647</v>
      </c>
      <c r="AB355" s="3" t="s">
        <v>56</v>
      </c>
      <c r="AC355" s="6" t="str">
        <f>PROPER(TRIM(SUBSTITUTE(AB355,"  "," ")))</f>
        <v>First Class</v>
      </c>
      <c r="AD355" s="3">
        <v>2</v>
      </c>
      <c r="AE355" s="3">
        <v>2250.4699999999998</v>
      </c>
      <c r="AF355" s="3">
        <v>0</v>
      </c>
      <c r="AG355" s="17">
        <v>0</v>
      </c>
      <c r="AH355" s="6" t="str">
        <f t="shared" si="43"/>
        <v>Valid</v>
      </c>
      <c r="AI355" s="3">
        <v>4500.9399999999996</v>
      </c>
      <c r="AJ355" s="3">
        <v>2607.73</v>
      </c>
      <c r="AK355" s="3">
        <v>1893.21</v>
      </c>
      <c r="AL355" s="3" t="s">
        <v>124</v>
      </c>
      <c r="AM355" s="6" t="str">
        <f>PROPER(TRIM(SUBSTITUTE(AL355,".","")))</f>
        <v>Refunded</v>
      </c>
      <c r="AN355" s="3" t="s">
        <v>78</v>
      </c>
      <c r="AO355" s="8" t="str">
        <f>PROPER(TRIM(SUBSTITUTE(AN355,".","")))</f>
        <v>Cancelled</v>
      </c>
      <c r="AP355" t="str">
        <f>IF(COUNTIF($A$2:$A$933, A355) &gt; 1, "Duplicate ID", "Unique")</f>
        <v>Unique</v>
      </c>
      <c r="AR355">
        <f t="shared" si="44"/>
        <v>4500.9399999999996</v>
      </c>
      <c r="AS355">
        <f t="shared" si="45"/>
        <v>1893.2099999999996</v>
      </c>
      <c r="AT355" s="15">
        <f t="shared" si="46"/>
        <v>0.42062546934640316</v>
      </c>
      <c r="AU355" t="str">
        <f t="shared" si="47"/>
        <v>Clean</v>
      </c>
      <c r="AV355" s="8" t="str">
        <f t="shared" si="48"/>
        <v>Refund</v>
      </c>
    </row>
    <row r="356" spans="1:48">
      <c r="A356" s="3" t="s">
        <v>3826</v>
      </c>
      <c r="B356" s="3" t="s">
        <v>233</v>
      </c>
      <c r="C356" s="9">
        <f>IFERROR(DATEVALUE(TEXT(B356,"DD/MM/YYYY")), IF(ISNUMBER(B356), B356, ""))</f>
        <v>45583</v>
      </c>
      <c r="D356" s="9" t="str">
        <f>IF(B356="","Missing", IF(AND(ISNUMBER(B356)=FALSE, C356=""),"Invalid - Could Not Parse", IF(AND(ISNUMBER(B356)=FALSE, C356&lt;&gt;""),"Text - Converted to Date", IF(ISNUMBER(B356),"Valid","Check"))))</f>
        <v>Text - Converted to Date</v>
      </c>
      <c r="E356" s="5">
        <f t="shared" si="41"/>
        <v>10</v>
      </c>
      <c r="F356" s="5">
        <f t="shared" si="42"/>
        <v>2024</v>
      </c>
      <c r="G356" s="3" t="s">
        <v>3827</v>
      </c>
      <c r="H356" s="9">
        <f>IFERROR(DATEVALUE(TEXT(G356,"DD/MM/YYYY")), IF(ISNUMBER(G356), G356, ""))</f>
        <v>45587</v>
      </c>
      <c r="I356" s="9" t="str">
        <f>IF(G356="","Missing", IF(AND(ISNUMBER(G356)=FALSE, H356=""),"Invalid - Could Not Parse", IF(AND(ISNUMBER(G356)=FALSE, H356&lt;&gt;""),"Text - Converted to Date", IF(ISNUMBER(G356),"Valid","Check"))))</f>
        <v>Text - Converted to Date</v>
      </c>
      <c r="J356" s="9" t="str">
        <f>IF(OR(C356="", H356=""), "Cannot Check - Date Missing", IF(H356&lt;C356, "Invalid - Ship Before Order", "Valid"))</f>
        <v>Valid</v>
      </c>
      <c r="K356" s="5">
        <f>IF(OR(C356="", H356=""), "", IF(H356&lt;C356, "", H356-C356))</f>
        <v>4</v>
      </c>
      <c r="L356" s="3" t="s">
        <v>3828</v>
      </c>
      <c r="M356" s="3" t="s">
        <v>162</v>
      </c>
      <c r="N356" s="4" t="str">
        <f>TRIM(SUBSTITUTE(M356,"_"," "))</f>
        <v>Aarav Sharma</v>
      </c>
      <c r="O356" s="3" t="s">
        <v>115</v>
      </c>
      <c r="P356" s="6" t="str">
        <f>PROPER(TRIM(SUBSTITUTE(O356,".","")))</f>
        <v>Home Office</v>
      </c>
      <c r="Q356" s="3" t="s">
        <v>62</v>
      </c>
      <c r="R356" s="7" t="str">
        <f>PROPER(TRIM(SUBSTITUTE(Q356,"  "," ")))</f>
        <v>South</v>
      </c>
      <c r="S356" s="3" t="s">
        <v>63</v>
      </c>
      <c r="T356" s="6" t="str">
        <f>PROPER(TRIM(SUBSTITUTE(S356,"  "," ")))</f>
        <v>Telangana</v>
      </c>
      <c r="U356" s="3" t="s">
        <v>64</v>
      </c>
      <c r="V356" s="6" t="str">
        <f>PROPER(TRIM(SUBSTITUTE(U356,"  "," ")))</f>
        <v>Hyderabad</v>
      </c>
      <c r="W356" s="3" t="s">
        <v>30</v>
      </c>
      <c r="X356" s="6" t="str">
        <f>PROPER(TRIM(SUBSTITUTE(W356,"  "," ")))</f>
        <v>Office Supplies</v>
      </c>
      <c r="Y356" s="3" t="s">
        <v>54</v>
      </c>
      <c r="Z356" s="6" t="str">
        <f>PROPER(TRIM(SUBSTITUTE(Y356,"  "," ")))</f>
        <v>Art</v>
      </c>
      <c r="AA356" s="3" t="s">
        <v>3829</v>
      </c>
      <c r="AB356" s="3" t="s">
        <v>56</v>
      </c>
      <c r="AC356" s="6" t="str">
        <f>PROPER(TRIM(SUBSTITUTE(AB356,"  "," ")))</f>
        <v>First Class</v>
      </c>
      <c r="AD356" s="3">
        <v>6</v>
      </c>
      <c r="AE356" s="3">
        <v>674.61</v>
      </c>
      <c r="AF356" s="3">
        <v>0</v>
      </c>
      <c r="AG356" s="17">
        <v>0</v>
      </c>
      <c r="AH356" s="6" t="str">
        <f t="shared" si="43"/>
        <v>Valid</v>
      </c>
      <c r="AI356" s="3">
        <v>4047.66</v>
      </c>
      <c r="AJ356" s="3">
        <v>3078.93</v>
      </c>
      <c r="AK356" s="3">
        <v>1279.79</v>
      </c>
      <c r="AL356" s="3" t="s">
        <v>34</v>
      </c>
      <c r="AM356" s="6" t="str">
        <f>PROPER(TRIM(SUBSTITUTE(AL356,".","")))</f>
        <v>Paid</v>
      </c>
      <c r="AN356" s="3" t="s">
        <v>35</v>
      </c>
      <c r="AO356" s="8" t="str">
        <f>PROPER(TRIM(SUBSTITUTE(AN356,".","")))</f>
        <v>Completed</v>
      </c>
      <c r="AP356" t="str">
        <f>IF(COUNTIF($A$2:$A$933, A356) &gt; 1, "Duplicate ID", "Unique")</f>
        <v>Unique</v>
      </c>
      <c r="AR356">
        <f t="shared" si="44"/>
        <v>4047.66</v>
      </c>
      <c r="AS356">
        <f t="shared" si="45"/>
        <v>968.73</v>
      </c>
      <c r="AT356" s="15">
        <f t="shared" si="46"/>
        <v>0.23933087265234729</v>
      </c>
      <c r="AU356" t="str">
        <f t="shared" si="47"/>
        <v>Clean</v>
      </c>
      <c r="AV356" s="8" t="str">
        <f t="shared" si="48"/>
        <v>Active</v>
      </c>
    </row>
    <row r="357" spans="1:48">
      <c r="A357" s="3" t="s">
        <v>1032</v>
      </c>
      <c r="B357" s="3" t="s">
        <v>1033</v>
      </c>
      <c r="C357" s="9">
        <f>IFERROR(DATEVALUE(TEXT(B357,"DD/MM/YYYY")), IF(ISNUMBER(B357), B357, ""))</f>
        <v>45584</v>
      </c>
      <c r="D357" s="9" t="str">
        <f>IF(B357="","Missing", IF(AND(ISNUMBER(B357)=FALSE, C357=""),"Invalid - Could Not Parse", IF(AND(ISNUMBER(B357)=FALSE, C357&lt;&gt;""),"Text - Converted to Date", IF(ISNUMBER(B357),"Valid","Check"))))</f>
        <v>Text - Converted to Date</v>
      </c>
      <c r="E357" s="5">
        <f t="shared" si="41"/>
        <v>10</v>
      </c>
      <c r="F357" s="5">
        <f t="shared" si="42"/>
        <v>2024</v>
      </c>
      <c r="G357" s="3" t="s">
        <v>645</v>
      </c>
      <c r="H357" s="9">
        <f>IFERROR(DATEVALUE(TEXT(G357,"DD/MM/YYYY")), IF(ISNUMBER(G357), G357, ""))</f>
        <v>45589</v>
      </c>
      <c r="I357" s="9" t="str">
        <f>IF(G357="","Missing", IF(AND(ISNUMBER(G357)=FALSE, H357=""),"Invalid - Could Not Parse", IF(AND(ISNUMBER(G357)=FALSE, H357&lt;&gt;""),"Text - Converted to Date", IF(ISNUMBER(G357),"Valid","Check"))))</f>
        <v>Text - Converted to Date</v>
      </c>
      <c r="J357" s="9" t="str">
        <f>IF(OR(C357="", H357=""), "Cannot Check - Date Missing", IF(H357&lt;C357, "Invalid - Ship Before Order", "Valid"))</f>
        <v>Valid</v>
      </c>
      <c r="K357" s="5">
        <f>IF(OR(C357="", H357=""), "", IF(H357&lt;C357, "", H357-C357))</f>
        <v>5</v>
      </c>
      <c r="L357" s="3" t="s">
        <v>1034</v>
      </c>
      <c r="M357" s="3" t="s">
        <v>168</v>
      </c>
      <c r="N357" s="4" t="str">
        <f>TRIM(SUBSTITUTE(M357,"_"," "))</f>
        <v>Sneha Kapoor</v>
      </c>
      <c r="O357" s="3" t="s">
        <v>41</v>
      </c>
      <c r="P357" s="6" t="str">
        <f>PROPER(TRIM(SUBSTITUTE(O357,".","")))</f>
        <v>Small Business</v>
      </c>
      <c r="Q357" s="3" t="s">
        <v>62</v>
      </c>
      <c r="R357" s="7" t="str">
        <f>PROPER(TRIM(SUBSTITUTE(Q357,"  "," ")))</f>
        <v>South</v>
      </c>
      <c r="S357" s="3" t="s">
        <v>339</v>
      </c>
      <c r="T357" s="6" t="str">
        <f>PROPER(TRIM(SUBSTITUTE(S357,"  "," ")))</f>
        <v>Tamil Nadu</v>
      </c>
      <c r="U357" s="3" t="s">
        <v>340</v>
      </c>
      <c r="V357" s="6" t="str">
        <f>PROPER(TRIM(SUBSTITUTE(U357,"  "," ")))</f>
        <v>Chennai</v>
      </c>
      <c r="W357" s="3" t="s">
        <v>45</v>
      </c>
      <c r="X357" s="6" t="str">
        <f>PROPER(TRIM(SUBSTITUTE(W357,"  "," ")))</f>
        <v>Furniture</v>
      </c>
      <c r="Y357" s="3" t="s">
        <v>204</v>
      </c>
      <c r="Z357" s="6" t="str">
        <f>PROPER(TRIM(SUBSTITUTE(Y357,"  "," ")))</f>
        <v>Bookcases</v>
      </c>
      <c r="AA357" s="3" t="s">
        <v>1035</v>
      </c>
      <c r="AB357" s="3" t="s">
        <v>33</v>
      </c>
      <c r="AC357" s="6" t="str">
        <f>PROPER(TRIM(SUBSTITUTE(AB357,"  "," ")))</f>
        <v>Second Class</v>
      </c>
      <c r="AD357" s="3">
        <v>6</v>
      </c>
      <c r="AE357" s="3">
        <v>4308.3999999999996</v>
      </c>
      <c r="AF357" s="3">
        <v>0.65</v>
      </c>
      <c r="AG357" s="17">
        <v>0.65</v>
      </c>
      <c r="AH357" s="6" t="str">
        <f t="shared" si="43"/>
        <v>Invalid - Above Range</v>
      </c>
      <c r="AI357" s="3">
        <v>25850.400000000001</v>
      </c>
      <c r="AJ357" s="3">
        <v>19397.68</v>
      </c>
      <c r="AK357" s="3">
        <v>6452.72</v>
      </c>
      <c r="AL357" s="3" t="s">
        <v>34</v>
      </c>
      <c r="AM357" s="6" t="str">
        <f>PROPER(TRIM(SUBSTITUTE(AL357,".","")))</f>
        <v>Paid</v>
      </c>
      <c r="AN357" s="3" t="s">
        <v>35</v>
      </c>
      <c r="AO357" s="8" t="str">
        <f>PROPER(TRIM(SUBSTITUTE(AN357,".","")))</f>
        <v>Completed</v>
      </c>
      <c r="AP357" t="str">
        <f>IF(COUNTIF($A$2:$A$933, A357) &gt; 1, "Duplicate ID", "Unique")</f>
        <v>Unique</v>
      </c>
      <c r="AR357">
        <f t="shared" si="44"/>
        <v>9047.64</v>
      </c>
      <c r="AS357">
        <f t="shared" si="45"/>
        <v>-10350.040000000001</v>
      </c>
      <c r="AT357" s="15">
        <f t="shared" si="46"/>
        <v>-1.1439491403283069</v>
      </c>
      <c r="AU357" t="str">
        <f t="shared" si="47"/>
        <v>Invalid</v>
      </c>
      <c r="AV357" s="8" t="str">
        <f t="shared" si="48"/>
        <v>Active</v>
      </c>
    </row>
    <row r="358" spans="1:48">
      <c r="A358" s="3" t="s">
        <v>3292</v>
      </c>
      <c r="B358" s="3" t="s">
        <v>3293</v>
      </c>
      <c r="C358" s="9">
        <f>IFERROR(DATEVALUE(TEXT(B358,"DD/MM/YYYY")), IF(ISNUMBER(B358), B358, ""))</f>
        <v>45584</v>
      </c>
      <c r="D358" s="9" t="str">
        <f>IF(B358="","Missing", IF(AND(ISNUMBER(B358)=FALSE, C358=""),"Invalid - Could Not Parse", IF(AND(ISNUMBER(B358)=FALSE, C358&lt;&gt;""),"Text - Converted to Date", IF(ISNUMBER(B358),"Valid","Check"))))</f>
        <v>Text - Converted to Date</v>
      </c>
      <c r="E358" s="5">
        <f t="shared" si="41"/>
        <v>10</v>
      </c>
      <c r="F358" s="5">
        <f t="shared" si="42"/>
        <v>2024</v>
      </c>
      <c r="G358" s="3" t="s">
        <v>2380</v>
      </c>
      <c r="H358" s="9">
        <f>IFERROR(DATEVALUE(TEXT(G358,"DD/MM/YYYY")), IF(ISNUMBER(G358), G358, ""))</f>
        <v>45585</v>
      </c>
      <c r="I358" s="9" t="str">
        <f>IF(G358="","Missing", IF(AND(ISNUMBER(G358)=FALSE, H358=""),"Invalid - Could Not Parse", IF(AND(ISNUMBER(G358)=FALSE, H358&lt;&gt;""),"Text - Converted to Date", IF(ISNUMBER(G358),"Valid","Check"))))</f>
        <v>Text - Converted to Date</v>
      </c>
      <c r="J358" s="9" t="str">
        <f>IF(OR(C358="", H358=""), "Cannot Check - Date Missing", IF(H358&lt;C358, "Invalid - Ship Before Order", "Valid"))</f>
        <v>Valid</v>
      </c>
      <c r="K358" s="5">
        <f>IF(OR(C358="", H358=""), "", IF(H358&lt;C358, "", H358-C358))</f>
        <v>1</v>
      </c>
      <c r="L358" s="3" t="s">
        <v>3294</v>
      </c>
      <c r="M358" s="3" t="s">
        <v>107</v>
      </c>
      <c r="N358" s="4" t="str">
        <f>TRIM(SUBSTITUTE(M358,"_"," "))</f>
        <v>Aditi Sen</v>
      </c>
      <c r="O358" s="3" t="s">
        <v>108</v>
      </c>
      <c r="P358" s="6" t="str">
        <f>PROPER(TRIM(SUBSTITUTE(O358,".","")))</f>
        <v>Corporate</v>
      </c>
      <c r="Q358" s="3" t="s">
        <v>27</v>
      </c>
      <c r="R358" s="7" t="str">
        <f>PROPER(TRIM(SUBSTITUTE(Q358,"  "," ")))</f>
        <v>North</v>
      </c>
      <c r="S358" s="3" t="s">
        <v>28</v>
      </c>
      <c r="T358" s="6" t="str">
        <f>PROPER(TRIM(SUBSTITUTE(S358,"  "," ")))</f>
        <v>Rajasthan</v>
      </c>
      <c r="U358" s="3" t="s">
        <v>29</v>
      </c>
      <c r="V358" s="6" t="str">
        <f>PROPER(TRIM(SUBSTITUTE(U358,"  "," ")))</f>
        <v>Jaipur</v>
      </c>
      <c r="W358" s="3" t="s">
        <v>45</v>
      </c>
      <c r="X358" s="6" t="str">
        <f>PROPER(TRIM(SUBSTITUTE(W358,"  "," ")))</f>
        <v>Furniture</v>
      </c>
      <c r="Y358" s="3" t="s">
        <v>46</v>
      </c>
      <c r="Z358" s="6" t="str">
        <f>PROPER(TRIM(SUBSTITUTE(Y358,"  "," ")))</f>
        <v>Tables</v>
      </c>
      <c r="AA358" s="3" t="s">
        <v>3295</v>
      </c>
      <c r="AB358" s="3" t="s">
        <v>56</v>
      </c>
      <c r="AC358" s="6" t="str">
        <f>PROPER(TRIM(SUBSTITUTE(AB358,"  "," ")))</f>
        <v>First Class</v>
      </c>
      <c r="AD358" s="3">
        <v>1</v>
      </c>
      <c r="AE358" s="3">
        <v>1150.03</v>
      </c>
      <c r="AF358" s="3">
        <v>0.1</v>
      </c>
      <c r="AG358" s="17">
        <v>0.1</v>
      </c>
      <c r="AH358" s="6" t="str">
        <f t="shared" si="43"/>
        <v>Valid</v>
      </c>
      <c r="AI358" s="3">
        <v>1035.03</v>
      </c>
      <c r="AJ358" s="3">
        <v>854.35</v>
      </c>
      <c r="AK358" s="3">
        <v>180.68</v>
      </c>
      <c r="AL358" s="3" t="s">
        <v>34</v>
      </c>
      <c r="AM358" s="6" t="str">
        <f>PROPER(TRIM(SUBSTITUTE(AL358,".","")))</f>
        <v>Paid</v>
      </c>
      <c r="AN358" s="3" t="s">
        <v>35</v>
      </c>
      <c r="AO358" s="8" t="str">
        <f>PROPER(TRIM(SUBSTITUTE(AN358,".","")))</f>
        <v>Completed</v>
      </c>
      <c r="AP358" t="str">
        <f>IF(COUNTIF($A$2:$A$933, A358) &gt; 1, "Duplicate ID", "Unique")</f>
        <v>Unique</v>
      </c>
      <c r="AR358">
        <f t="shared" si="44"/>
        <v>1035.027</v>
      </c>
      <c r="AS358">
        <f t="shared" si="45"/>
        <v>180.67700000000002</v>
      </c>
      <c r="AT358" s="15">
        <f t="shared" si="46"/>
        <v>0.1745625959516032</v>
      </c>
      <c r="AU358" t="str">
        <f t="shared" si="47"/>
        <v>Clean</v>
      </c>
      <c r="AV358" s="8" t="str">
        <f t="shared" si="48"/>
        <v>Active</v>
      </c>
    </row>
    <row r="359" spans="1:48">
      <c r="A359" s="3" t="s">
        <v>870</v>
      </c>
      <c r="B359" s="3" t="s">
        <v>871</v>
      </c>
      <c r="C359" s="9">
        <v>45587</v>
      </c>
      <c r="D359" s="9" t="str">
        <f>IF(B359="","Missing", IF(AND(ISNUMBER(B359)=FALSE, C359=""),"Invalid - Could Not Parse", IF(AND(ISNUMBER(B359)=FALSE, C359&lt;&gt;""),"Text - Converted to Date", IF(ISNUMBER(B359),"Valid","Check"))))</f>
        <v>Text - Converted to Date</v>
      </c>
      <c r="E359" s="5">
        <f t="shared" si="41"/>
        <v>10</v>
      </c>
      <c r="F359" s="5">
        <f t="shared" si="42"/>
        <v>2024</v>
      </c>
      <c r="G359" s="3" t="s">
        <v>872</v>
      </c>
      <c r="H359" s="9">
        <f>IFERROR(DATEVALUE(TEXT(G359,"DD/MM/YYYY")), IF(ISNUMBER(G359), G359, ""))</f>
        <v>45589</v>
      </c>
      <c r="I359" s="9" t="str">
        <f>IF(G359="","Missing", IF(AND(ISNUMBER(G359)=FALSE, H359=""),"Invalid - Could Not Parse", IF(AND(ISNUMBER(G359)=FALSE, H359&lt;&gt;""),"Text - Converted to Date", IF(ISNUMBER(G359),"Valid","Check"))))</f>
        <v>Text - Converted to Date</v>
      </c>
      <c r="J359" s="9" t="str">
        <f>IF(OR(C359="", H359=""), "Cannot Check - Date Missing", IF(H359&lt;C359, "Invalid - Ship Before Order", "Valid"))</f>
        <v>Valid</v>
      </c>
      <c r="K359" s="5">
        <f>IF(OR(C359="", H359=""), "", IF(H359&lt;C359, "", H359-C359))</f>
        <v>2</v>
      </c>
      <c r="L359" s="3" t="s">
        <v>873</v>
      </c>
      <c r="M359" s="3" t="s">
        <v>180</v>
      </c>
      <c r="N359" s="4" t="str">
        <f>TRIM(SUBSTITUTE(M359,"_"," "))</f>
        <v>Rohan Mehta</v>
      </c>
      <c r="O359" s="3" t="s">
        <v>41</v>
      </c>
      <c r="P359" s="6" t="str">
        <f>PROPER(TRIM(SUBSTITUTE(O359,".","")))</f>
        <v>Small Business</v>
      </c>
      <c r="Q359" s="3" t="s">
        <v>62</v>
      </c>
      <c r="R359" s="7" t="str">
        <f>PROPER(TRIM(SUBSTITUTE(Q359,"  "," ")))</f>
        <v>South</v>
      </c>
      <c r="S359" s="3" t="s">
        <v>100</v>
      </c>
      <c r="T359" s="6" t="str">
        <f>PROPER(TRIM(SUBSTITUTE(S359,"  "," ")))</f>
        <v>Andhra Pradesh</v>
      </c>
      <c r="U359" s="3" t="s">
        <v>101</v>
      </c>
      <c r="V359" s="6" t="str">
        <f>PROPER(TRIM(SUBSTITUTE(U359,"  "," ")))</f>
        <v>Vijayawada</v>
      </c>
      <c r="W359" s="3" t="s">
        <v>45</v>
      </c>
      <c r="X359" s="6" t="str">
        <f>PROPER(TRIM(SUBSTITUTE(W359,"  "," ")))</f>
        <v>Furniture</v>
      </c>
      <c r="Y359" s="3" t="s">
        <v>204</v>
      </c>
      <c r="Z359" s="6" t="str">
        <f>PROPER(TRIM(SUBSTITUTE(Y359,"  "," ")))</f>
        <v>Bookcases</v>
      </c>
      <c r="AA359" s="3" t="s">
        <v>874</v>
      </c>
      <c r="AB359" s="3" t="s">
        <v>67</v>
      </c>
      <c r="AC359" s="6" t="str">
        <f>PROPER(TRIM(SUBSTITUTE(AB359,"  "," ")))</f>
        <v>Standard Class</v>
      </c>
      <c r="AD359" s="3">
        <v>3</v>
      </c>
      <c r="AE359" s="3">
        <v>915.84</v>
      </c>
      <c r="AF359" s="3">
        <v>0.15</v>
      </c>
      <c r="AG359" s="17">
        <v>0.15</v>
      </c>
      <c r="AH359" s="6" t="str">
        <f t="shared" si="43"/>
        <v>Valid</v>
      </c>
      <c r="AI359" s="3">
        <v>2335.39</v>
      </c>
      <c r="AJ359" s="3">
        <v>1466.15</v>
      </c>
      <c r="AK359" s="3">
        <v>869.24</v>
      </c>
      <c r="AL359" s="3" t="s">
        <v>34</v>
      </c>
      <c r="AM359" s="6" t="str">
        <f>PROPER(TRIM(SUBSTITUTE(AL359,".","")))</f>
        <v>Paid</v>
      </c>
      <c r="AN359" s="3" t="s">
        <v>35</v>
      </c>
      <c r="AO359" s="8" t="str">
        <f>PROPER(TRIM(SUBSTITUTE(AN359,".","")))</f>
        <v>Completed</v>
      </c>
      <c r="AP359" t="str">
        <f>IF(COUNTIF($A$2:$A$933, A359) &gt; 1, "Duplicate ID", "Unique")</f>
        <v>Unique</v>
      </c>
      <c r="AR359">
        <f t="shared" si="44"/>
        <v>2335.3919999999998</v>
      </c>
      <c r="AS359">
        <f t="shared" si="45"/>
        <v>869.24199999999973</v>
      </c>
      <c r="AT359" s="15">
        <f t="shared" si="46"/>
        <v>0.3722038955344541</v>
      </c>
      <c r="AU359" t="str">
        <f t="shared" si="47"/>
        <v>Clean</v>
      </c>
      <c r="AV359" s="8" t="str">
        <f t="shared" si="48"/>
        <v>Active</v>
      </c>
    </row>
    <row r="360" spans="1:48">
      <c r="A360" s="3" t="s">
        <v>2874</v>
      </c>
      <c r="B360" s="3" t="s">
        <v>2875</v>
      </c>
      <c r="C360" s="9">
        <f>IFERROR(DATEVALUE(TEXT(B360,"DD/MM/YYYY")), IF(ISNUMBER(B360), B360, ""))</f>
        <v>45588</v>
      </c>
      <c r="D360" s="9" t="str">
        <f>IF(B360="","Missing", IF(AND(ISNUMBER(B360)=FALSE, C360=""),"Invalid - Could Not Parse", IF(AND(ISNUMBER(B360)=FALSE, C360&lt;&gt;""),"Text - Converted to Date", IF(ISNUMBER(B360),"Valid","Check"))))</f>
        <v>Text - Converted to Date</v>
      </c>
      <c r="E360" s="5">
        <f t="shared" si="41"/>
        <v>10</v>
      </c>
      <c r="F360" s="5">
        <f t="shared" si="42"/>
        <v>2024</v>
      </c>
      <c r="G360" s="3" t="s">
        <v>2876</v>
      </c>
      <c r="H360" s="9">
        <f>IFERROR(DATEVALUE(TEXT(G360,"DD/MM/YYYY")), IF(ISNUMBER(G360), G360, ""))</f>
        <v>45595</v>
      </c>
      <c r="I360" s="9" t="str">
        <f>IF(G360="","Missing", IF(AND(ISNUMBER(G360)=FALSE, H360=""),"Invalid - Could Not Parse", IF(AND(ISNUMBER(G360)=FALSE, H360&lt;&gt;""),"Text - Converted to Date", IF(ISNUMBER(G360),"Valid","Check"))))</f>
        <v>Text - Converted to Date</v>
      </c>
      <c r="J360" s="9" t="str">
        <f>IF(OR(C360="", H360=""), "Cannot Check - Date Missing", IF(H360&lt;C360, "Invalid - Ship Before Order", "Valid"))</f>
        <v>Valid</v>
      </c>
      <c r="K360" s="5">
        <f>IF(OR(C360="", H360=""), "", IF(H360&lt;C360, "", H360-C360))</f>
        <v>7</v>
      </c>
      <c r="L360" s="3" t="s">
        <v>2877</v>
      </c>
      <c r="M360" s="3" t="s">
        <v>162</v>
      </c>
      <c r="N360" s="4" t="str">
        <f>TRIM(SUBSTITUTE(M360,"_"," "))</f>
        <v>Aarav Sharma</v>
      </c>
      <c r="O360" s="3" t="s">
        <v>26</v>
      </c>
      <c r="P360" s="6" t="str">
        <f>PROPER(TRIM(SUBSTITUTE(O360,".","")))</f>
        <v>Consumer</v>
      </c>
      <c r="Q360" s="3" t="s">
        <v>42</v>
      </c>
      <c r="R360" s="7" t="str">
        <f>PROPER(TRIM(SUBSTITUTE(Q360,"  "," ")))</f>
        <v>East</v>
      </c>
      <c r="S360" s="3" t="s">
        <v>311</v>
      </c>
      <c r="T360" s="6" t="str">
        <f>PROPER(TRIM(SUBSTITUTE(S360,"  "," ")))</f>
        <v>Jharkhand</v>
      </c>
      <c r="U360" s="3" t="s">
        <v>312</v>
      </c>
      <c r="V360" s="6" t="str">
        <f>PROPER(TRIM(SUBSTITUTE(U360,"  "," ")))</f>
        <v>Ranchi</v>
      </c>
      <c r="W360" s="3" t="s">
        <v>86</v>
      </c>
      <c r="X360" s="6" t="str">
        <f>PROPER(TRIM(SUBSTITUTE(W360,"  "," ")))</f>
        <v>Technology</v>
      </c>
      <c r="Y360" s="3" t="s">
        <v>94</v>
      </c>
      <c r="Z360" s="6" t="str">
        <f>PROPER(TRIM(SUBSTITUTE(Y360,"  "," ")))</f>
        <v>Copiers</v>
      </c>
      <c r="AA360" s="3" t="s">
        <v>2878</v>
      </c>
      <c r="AB360" s="3" t="s">
        <v>33</v>
      </c>
      <c r="AC360" s="6" t="str">
        <f>PROPER(TRIM(SUBSTITUTE(AB360,"  "," ")))</f>
        <v>Second Class</v>
      </c>
      <c r="AD360" s="3">
        <v>9</v>
      </c>
      <c r="AE360" s="3">
        <v>3423.82</v>
      </c>
      <c r="AF360" s="3">
        <v>0.15</v>
      </c>
      <c r="AG360" s="17">
        <v>0.15</v>
      </c>
      <c r="AH360" s="6" t="str">
        <f t="shared" si="43"/>
        <v>Valid</v>
      </c>
      <c r="AI360" s="3">
        <v>26192.22</v>
      </c>
      <c r="AJ360" s="3">
        <v>20795.55</v>
      </c>
      <c r="AK360" s="3">
        <v>5396.67</v>
      </c>
      <c r="AL360" s="3" t="s">
        <v>34</v>
      </c>
      <c r="AM360" s="6" t="str">
        <f>PROPER(TRIM(SUBSTITUTE(AL360,".","")))</f>
        <v>Paid</v>
      </c>
      <c r="AN360" s="3" t="s">
        <v>35</v>
      </c>
      <c r="AO360" s="8" t="str">
        <f>PROPER(TRIM(SUBSTITUTE(AN360,".","")))</f>
        <v>Completed</v>
      </c>
      <c r="AP360" t="str">
        <f>IF(COUNTIF($A$2:$A$933, A360) &gt; 1, "Duplicate ID", "Unique")</f>
        <v>Unique</v>
      </c>
      <c r="AR360">
        <f t="shared" si="44"/>
        <v>26192.223000000002</v>
      </c>
      <c r="AS360">
        <f t="shared" si="45"/>
        <v>5396.6730000000025</v>
      </c>
      <c r="AT360" s="15">
        <f t="shared" si="46"/>
        <v>0.20604104508426041</v>
      </c>
      <c r="AU360" t="str">
        <f t="shared" si="47"/>
        <v>Clean</v>
      </c>
      <c r="AV360" s="8" t="str">
        <f t="shared" si="48"/>
        <v>Active</v>
      </c>
    </row>
    <row r="361" spans="1:48">
      <c r="A361" s="3" t="s">
        <v>3460</v>
      </c>
      <c r="B361" s="3" t="s">
        <v>3461</v>
      </c>
      <c r="C361" s="9">
        <f>IFERROR(DATEVALUE(TEXT(B361,"DD/MM/YYYY")), IF(ISNUMBER(B361), B361, ""))</f>
        <v>45589</v>
      </c>
      <c r="D361" s="9" t="str">
        <f>IF(B361="","Missing", IF(AND(ISNUMBER(B361)=FALSE, C361=""),"Invalid - Could Not Parse", IF(AND(ISNUMBER(B361)=FALSE, C361&lt;&gt;""),"Text - Converted to Date", IF(ISNUMBER(B361),"Valid","Check"))))</f>
        <v>Text - Converted to Date</v>
      </c>
      <c r="E361" s="5">
        <f t="shared" si="41"/>
        <v>10</v>
      </c>
      <c r="F361" s="5">
        <f t="shared" si="42"/>
        <v>2024</v>
      </c>
      <c r="G361" s="3" t="s">
        <v>3462</v>
      </c>
      <c r="H361" s="9">
        <f>IFERROR(DATEVALUE(TEXT(G361,"DD/MM/YYYY")), IF(ISNUMBER(G361), G361, ""))</f>
        <v>45593</v>
      </c>
      <c r="I361" s="9" t="str">
        <f>IF(G361="","Missing", IF(AND(ISNUMBER(G361)=FALSE, H361=""),"Invalid - Could Not Parse", IF(AND(ISNUMBER(G361)=FALSE, H361&lt;&gt;""),"Text - Converted to Date", IF(ISNUMBER(G361),"Valid","Check"))))</f>
        <v>Text - Converted to Date</v>
      </c>
      <c r="J361" s="9" t="str">
        <f>IF(OR(C361="", H361=""), "Cannot Check - Date Missing", IF(H361&lt;C361, "Invalid - Ship Before Order", "Valid"))</f>
        <v>Valid</v>
      </c>
      <c r="K361" s="5">
        <f>IF(OR(C361="", H361=""), "", IF(H361&lt;C361, "", H361-C361))</f>
        <v>4</v>
      </c>
      <c r="L361" s="3" t="s">
        <v>3463</v>
      </c>
      <c r="M361" s="3" t="s">
        <v>40</v>
      </c>
      <c r="N361" s="4" t="str">
        <f>TRIM(SUBSTITUTE(M361,"_"," "))</f>
        <v>Mira Das</v>
      </c>
      <c r="O361" s="3" t="s">
        <v>41</v>
      </c>
      <c r="P361" s="6" t="str">
        <f>PROPER(TRIM(SUBSTITUTE(O361,".","")))</f>
        <v>Small Business</v>
      </c>
      <c r="Q361" s="3" t="s">
        <v>42</v>
      </c>
      <c r="R361" s="7" t="str">
        <f>PROPER(TRIM(SUBSTITUTE(Q361,"  "," ")))</f>
        <v>East</v>
      </c>
      <c r="S361" s="3" t="s">
        <v>216</v>
      </c>
      <c r="T361" s="6" t="str">
        <f>PROPER(TRIM(SUBSTITUTE(S361,"  "," ")))</f>
        <v>Assam</v>
      </c>
      <c r="U361" s="3" t="s">
        <v>217</v>
      </c>
      <c r="V361" s="6" t="str">
        <f>PROPER(TRIM(SUBSTITUTE(U361,"  "," ")))</f>
        <v>Guwahati</v>
      </c>
      <c r="W361" s="3" t="s">
        <v>86</v>
      </c>
      <c r="X361" s="6" t="str">
        <f>PROPER(TRIM(SUBSTITUTE(W361,"  "," ")))</f>
        <v>Technology</v>
      </c>
      <c r="Y361" s="3" t="s">
        <v>94</v>
      </c>
      <c r="Z361" s="6" t="str">
        <f>PROPER(TRIM(SUBSTITUTE(Y361,"  "," ")))</f>
        <v>Copiers</v>
      </c>
      <c r="AA361" s="3" t="s">
        <v>3464</v>
      </c>
      <c r="AB361" s="3" t="s">
        <v>67</v>
      </c>
      <c r="AC361" s="6" t="str">
        <f>PROPER(TRIM(SUBSTITUTE(AB361,"  "," ")))</f>
        <v>Standard Class</v>
      </c>
      <c r="AD361" s="3">
        <v>3</v>
      </c>
      <c r="AE361" s="3">
        <v>723.59</v>
      </c>
      <c r="AF361" s="3">
        <v>0.2</v>
      </c>
      <c r="AG361" s="17">
        <v>0.2</v>
      </c>
      <c r="AH361" s="6" t="str">
        <f t="shared" si="43"/>
        <v>Valid</v>
      </c>
      <c r="AI361" s="3">
        <v>1736.62</v>
      </c>
      <c r="AJ361" s="3">
        <v>1059.52</v>
      </c>
      <c r="AK361" s="3">
        <v>677.1</v>
      </c>
      <c r="AL361" s="3" t="s">
        <v>34</v>
      </c>
      <c r="AM361" s="6" t="str">
        <f>PROPER(TRIM(SUBSTITUTE(AL361,".","")))</f>
        <v>Paid</v>
      </c>
      <c r="AN361" s="3" t="s">
        <v>35</v>
      </c>
      <c r="AO361" s="8" t="str">
        <f>PROPER(TRIM(SUBSTITUTE(AN361,".","")))</f>
        <v>Completed</v>
      </c>
      <c r="AP361" t="str">
        <f>IF(COUNTIF($A$2:$A$933, A361) &gt; 1, "Duplicate ID", "Unique")</f>
        <v>Unique</v>
      </c>
      <c r="AR361">
        <f t="shared" si="44"/>
        <v>1736.616</v>
      </c>
      <c r="AS361">
        <f t="shared" si="45"/>
        <v>677.096</v>
      </c>
      <c r="AT361" s="15">
        <f t="shared" si="46"/>
        <v>0.38989390861307277</v>
      </c>
      <c r="AU361" t="str">
        <f t="shared" si="47"/>
        <v>Clean</v>
      </c>
      <c r="AV361" s="8" t="str">
        <f t="shared" si="48"/>
        <v>Active</v>
      </c>
    </row>
    <row r="362" spans="1:48">
      <c r="A362" s="3" t="s">
        <v>277</v>
      </c>
      <c r="B362" s="3" t="s">
        <v>278</v>
      </c>
      <c r="C362" s="9">
        <f>IFERROR(DATEVALUE(TEXT(B362,"DD/MM/YYYY")), IF(ISNUMBER(B362), B362, ""))</f>
        <v>45590</v>
      </c>
      <c r="D362" s="9" t="str">
        <f>IF(B362="","Missing", IF(AND(ISNUMBER(B362)=FALSE, C362=""),"Invalid - Could Not Parse", IF(AND(ISNUMBER(B362)=FALSE, C362&lt;&gt;""),"Text - Converted to Date", IF(ISNUMBER(B362),"Valid","Check"))))</f>
        <v>Text - Converted to Date</v>
      </c>
      <c r="E362" s="5">
        <f t="shared" si="41"/>
        <v>10</v>
      </c>
      <c r="F362" s="5">
        <f t="shared" si="42"/>
        <v>2024</v>
      </c>
      <c r="G362" s="3" t="s">
        <v>279</v>
      </c>
      <c r="H362" s="9">
        <f>IFERROR(DATEVALUE(TEXT(G362,"DD/MM/YYYY")), IF(ISNUMBER(G362), G362, ""))</f>
        <v>45593</v>
      </c>
      <c r="I362" s="9" t="str">
        <f>IF(G362="","Missing", IF(AND(ISNUMBER(G362)=FALSE, H362=""),"Invalid - Could Not Parse", IF(AND(ISNUMBER(G362)=FALSE, H362&lt;&gt;""),"Text - Converted to Date", IF(ISNUMBER(G362),"Valid","Check"))))</f>
        <v>Text - Converted to Date</v>
      </c>
      <c r="J362" s="9" t="str">
        <f>IF(OR(C362="", H362=""), "Cannot Check - Date Missing", IF(H362&lt;C362, "Invalid - Ship Before Order", "Valid"))</f>
        <v>Valid</v>
      </c>
      <c r="K362" s="5">
        <f>IF(OR(C362="", H362=""), "", IF(H362&lt;C362, "", H362-C362))</f>
        <v>3</v>
      </c>
      <c r="L362" s="3" t="s">
        <v>280</v>
      </c>
      <c r="M362" s="3" t="s">
        <v>180</v>
      </c>
      <c r="N362" s="4" t="str">
        <f>TRIM(SUBSTITUTE(M362,"_"," "))</f>
        <v>Rohan Mehta</v>
      </c>
      <c r="O362" s="3" t="s">
        <v>108</v>
      </c>
      <c r="P362" s="6" t="str">
        <f>PROPER(TRIM(SUBSTITUTE(O362,".","")))</f>
        <v>Corporate</v>
      </c>
      <c r="Q362" s="3" t="s">
        <v>73</v>
      </c>
      <c r="R362" s="7" t="str">
        <f>PROPER(TRIM(SUBSTITUTE(Q362,"  "," ")))</f>
        <v>West</v>
      </c>
      <c r="S362" s="3" t="s">
        <v>74</v>
      </c>
      <c r="T362" s="6" t="str">
        <f>PROPER(TRIM(SUBSTITUTE(S362,"  "," ")))</f>
        <v>Maharashtra</v>
      </c>
      <c r="U362" s="3" t="s">
        <v>75</v>
      </c>
      <c r="V362" s="6" t="str">
        <f>PROPER(TRIM(SUBSTITUTE(U362,"  "," ")))</f>
        <v>Mumbai</v>
      </c>
      <c r="W362" s="3" t="s">
        <v>45</v>
      </c>
      <c r="X362" s="6" t="str">
        <f>PROPER(TRIM(SUBSTITUTE(W362,"  "," ")))</f>
        <v>Furniture</v>
      </c>
      <c r="Y362" s="3" t="s">
        <v>204</v>
      </c>
      <c r="Z362" s="6" t="str">
        <f>PROPER(TRIM(SUBSTITUTE(Y362,"  "," ")))</f>
        <v>Bookcases</v>
      </c>
      <c r="AA362" s="3" t="s">
        <v>281</v>
      </c>
      <c r="AB362" s="3" t="s">
        <v>33</v>
      </c>
      <c r="AC362" s="6" t="str">
        <f>PROPER(TRIM(SUBSTITUTE(AB362,"  "," ")))</f>
        <v>Second Class</v>
      </c>
      <c r="AD362" s="3">
        <v>3</v>
      </c>
      <c r="AE362" s="3">
        <v>3126.47</v>
      </c>
      <c r="AF362" s="3">
        <v>0</v>
      </c>
      <c r="AG362" s="17">
        <v>0</v>
      </c>
      <c r="AH362" s="6" t="str">
        <f t="shared" si="43"/>
        <v>Valid</v>
      </c>
      <c r="AI362" s="3">
        <v>9379.41</v>
      </c>
      <c r="AJ362" s="3">
        <v>6670.85</v>
      </c>
      <c r="AK362" s="3">
        <v>2708.56</v>
      </c>
      <c r="AL362" s="3" t="s">
        <v>34</v>
      </c>
      <c r="AM362" s="6" t="str">
        <f>PROPER(TRIM(SUBSTITUTE(AL362,".","")))</f>
        <v>Paid</v>
      </c>
      <c r="AN362" s="3" t="s">
        <v>125</v>
      </c>
      <c r="AO362" s="8" t="str">
        <f>PROPER(TRIM(SUBSTITUTE(AN362,".","")))</f>
        <v>Returned</v>
      </c>
      <c r="AP362" t="str">
        <f>IF(COUNTIF($A$2:$A$933, A362) &gt; 1, "Duplicate ID", "Unique")</f>
        <v>Unique</v>
      </c>
      <c r="AR362">
        <f t="shared" si="44"/>
        <v>9379.41</v>
      </c>
      <c r="AS362">
        <f t="shared" si="45"/>
        <v>2708.5599999999995</v>
      </c>
      <c r="AT362" s="15">
        <f t="shared" si="46"/>
        <v>0.28877722585962223</v>
      </c>
      <c r="AU362" t="str">
        <f t="shared" si="47"/>
        <v>Clean</v>
      </c>
      <c r="AV362" s="8" t="str">
        <f t="shared" si="48"/>
        <v>Active</v>
      </c>
    </row>
    <row r="363" spans="1:48">
      <c r="A363" s="3" t="s">
        <v>362</v>
      </c>
      <c r="B363" s="3" t="s">
        <v>363</v>
      </c>
      <c r="C363" s="9">
        <f>IFERROR(DATEVALUE(TEXT(B363,"DD/MM/YYYY")), IF(ISNUMBER(B363), B363, ""))</f>
        <v>45591</v>
      </c>
      <c r="D363" s="9" t="str">
        <f>IF(B363="","Missing", IF(AND(ISNUMBER(B363)=FALSE, C363=""),"Invalid - Could Not Parse", IF(AND(ISNUMBER(B363)=FALSE, C363&lt;&gt;""),"Text - Converted to Date", IF(ISNUMBER(B363),"Valid","Check"))))</f>
        <v>Text - Converted to Date</v>
      </c>
      <c r="E363" s="5">
        <f t="shared" si="41"/>
        <v>10</v>
      </c>
      <c r="F363" s="5">
        <f t="shared" si="42"/>
        <v>2024</v>
      </c>
      <c r="G363" s="3" t="s">
        <v>364</v>
      </c>
      <c r="H363" s="9">
        <f>IFERROR(DATEVALUE(TEXT(G363,"DD/MM/YYYY")), IF(ISNUMBER(G363), G363, ""))</f>
        <v>45593</v>
      </c>
      <c r="I363" s="9" t="str">
        <f>IF(G363="","Missing", IF(AND(ISNUMBER(G363)=FALSE, H363=""),"Invalid - Could Not Parse", IF(AND(ISNUMBER(G363)=FALSE, H363&lt;&gt;""),"Text - Converted to Date", IF(ISNUMBER(G363),"Valid","Check"))))</f>
        <v>Text - Converted to Date</v>
      </c>
      <c r="J363" s="9" t="str">
        <f>IF(OR(C363="", H363=""), "Cannot Check - Date Missing", IF(H363&lt;C363, "Invalid - Ship Before Order", "Valid"))</f>
        <v>Valid</v>
      </c>
      <c r="K363" s="5">
        <f>IF(OR(C363="", H363=""), "", IF(H363&lt;C363, "", H363-C363))</f>
        <v>2</v>
      </c>
      <c r="L363" s="3" t="s">
        <v>365</v>
      </c>
      <c r="M363" s="3" t="s">
        <v>366</v>
      </c>
      <c r="N363" s="4" t="str">
        <f>TRIM(SUBSTITUTE(M363,"_"," "))</f>
        <v>Kabir Singh</v>
      </c>
      <c r="O363" s="3" t="s">
        <v>41</v>
      </c>
      <c r="P363" s="6" t="str">
        <f>PROPER(TRIM(SUBSTITUTE(O363,".","")))</f>
        <v>Small Business</v>
      </c>
      <c r="Q363" s="3" t="s">
        <v>27</v>
      </c>
      <c r="R363" s="7" t="str">
        <f>PROPER(TRIM(SUBSTITUTE(Q363,"  "," ")))</f>
        <v>North</v>
      </c>
      <c r="S363" s="3" t="s">
        <v>28</v>
      </c>
      <c r="T363" s="6" t="str">
        <f>PROPER(TRIM(SUBSTITUTE(S363,"  "," ")))</f>
        <v>Rajasthan</v>
      </c>
      <c r="U363" s="3" t="s">
        <v>29</v>
      </c>
      <c r="V363" s="6" t="str">
        <f>PROPER(TRIM(SUBSTITUTE(U363,"  "," ")))</f>
        <v>Jaipur</v>
      </c>
      <c r="W363" s="3" t="s">
        <v>45</v>
      </c>
      <c r="X363" s="6" t="str">
        <f>PROPER(TRIM(SUBSTITUTE(W363,"  "," ")))</f>
        <v>Furniture</v>
      </c>
      <c r="Y363" s="3" t="s">
        <v>76</v>
      </c>
      <c r="Z363" s="6" t="str">
        <f>PROPER(TRIM(SUBSTITUTE(Y363,"  "," ")))</f>
        <v>Chairs</v>
      </c>
      <c r="AA363" s="3" t="s">
        <v>367</v>
      </c>
      <c r="AB363" s="3" t="s">
        <v>56</v>
      </c>
      <c r="AC363" s="6" t="str">
        <f>PROPER(TRIM(SUBSTITUTE(AB363,"  "," ")))</f>
        <v>First Class</v>
      </c>
      <c r="AD363" s="3">
        <v>9</v>
      </c>
      <c r="AE363" s="3">
        <v>1399.63</v>
      </c>
      <c r="AF363" s="3">
        <v>0</v>
      </c>
      <c r="AG363" s="17">
        <v>0</v>
      </c>
      <c r="AH363" s="6" t="str">
        <f t="shared" si="43"/>
        <v>Valid</v>
      </c>
      <c r="AI363" s="3">
        <v>12596.67</v>
      </c>
      <c r="AJ363" s="3">
        <v>10603.29</v>
      </c>
      <c r="AK363" s="3">
        <v>1993.38</v>
      </c>
      <c r="AL363" s="3" t="s">
        <v>200</v>
      </c>
      <c r="AM363" s="6" t="str">
        <f>PROPER(TRIM(SUBSTITUTE(AL363,".","")))</f>
        <v>Failed</v>
      </c>
      <c r="AN363" s="3" t="s">
        <v>78</v>
      </c>
      <c r="AO363" s="8" t="str">
        <f>PROPER(TRIM(SUBSTITUTE(AN363,".","")))</f>
        <v>Cancelled</v>
      </c>
      <c r="AP363" t="str">
        <f>IF(COUNTIF($A$2:$A$933, A363) &gt; 1, "Duplicate ID", "Unique")</f>
        <v>Unique</v>
      </c>
      <c r="AR363">
        <f t="shared" si="44"/>
        <v>12596.670000000002</v>
      </c>
      <c r="AS363">
        <f t="shared" si="45"/>
        <v>1993.380000000001</v>
      </c>
      <c r="AT363" s="15">
        <f t="shared" si="46"/>
        <v>0.15824658421630483</v>
      </c>
      <c r="AU363" t="str">
        <f t="shared" si="47"/>
        <v>Clean</v>
      </c>
      <c r="AV363" s="8" t="str">
        <f t="shared" si="48"/>
        <v>Cancelled</v>
      </c>
    </row>
    <row r="364" spans="1:48">
      <c r="A364" s="3" t="s">
        <v>519</v>
      </c>
      <c r="B364" s="3" t="s">
        <v>363</v>
      </c>
      <c r="C364" s="9">
        <f>IFERROR(DATEVALUE(TEXT(B364,"DD/MM/YYYY")), IF(ISNUMBER(B364), B364, ""))</f>
        <v>45591</v>
      </c>
      <c r="D364" s="9" t="str">
        <f>IF(B364="","Missing", IF(AND(ISNUMBER(B364)=FALSE, C364=""),"Invalid - Could Not Parse", IF(AND(ISNUMBER(B364)=FALSE, C364&lt;&gt;""),"Text - Converted to Date", IF(ISNUMBER(B364),"Valid","Check"))))</f>
        <v>Text - Converted to Date</v>
      </c>
      <c r="E364" s="5">
        <f t="shared" si="41"/>
        <v>10</v>
      </c>
      <c r="F364" s="5">
        <f t="shared" si="42"/>
        <v>2024</v>
      </c>
      <c r="G364" s="3" t="s">
        <v>520</v>
      </c>
      <c r="H364" s="9">
        <f>IFERROR(DATEVALUE(TEXT(G364,"DD/MM/YYYY")), IF(ISNUMBER(G364), G364, ""))</f>
        <v>45594</v>
      </c>
      <c r="I364" s="9" t="str">
        <f>IF(G364="","Missing", IF(AND(ISNUMBER(G364)=FALSE, H364=""),"Invalid - Could Not Parse", IF(AND(ISNUMBER(G364)=FALSE, H364&lt;&gt;""),"Text - Converted to Date", IF(ISNUMBER(G364),"Valid","Check"))))</f>
        <v>Text - Converted to Date</v>
      </c>
      <c r="J364" s="9" t="str">
        <f>IF(OR(C364="", H364=""), "Cannot Check - Date Missing", IF(H364&lt;C364, "Invalid - Ship Before Order", "Valid"))</f>
        <v>Valid</v>
      </c>
      <c r="K364" s="5">
        <f>IF(OR(C364="", H364=""), "", IF(H364&lt;C364, "", H364-C364))</f>
        <v>3</v>
      </c>
      <c r="L364" s="3" t="s">
        <v>521</v>
      </c>
      <c r="M364" s="3" t="s">
        <v>107</v>
      </c>
      <c r="N364" s="4" t="str">
        <f>TRIM(SUBSTITUTE(M364,"_"," "))</f>
        <v>Aditi Sen</v>
      </c>
      <c r="O364" s="3" t="s">
        <v>115</v>
      </c>
      <c r="P364" s="6" t="str">
        <f>PROPER(TRIM(SUBSTITUTE(O364,".","")))</f>
        <v>Home Office</v>
      </c>
      <c r="Q364" s="3" t="s">
        <v>73</v>
      </c>
      <c r="R364" s="7" t="str">
        <f>PROPER(TRIM(SUBSTITUTE(Q364,"  "," ")))</f>
        <v>West</v>
      </c>
      <c r="S364" s="3" t="s">
        <v>74</v>
      </c>
      <c r="T364" s="6" t="str">
        <f>PROPER(TRIM(SUBSTITUTE(S364,"  "," ")))</f>
        <v>Maharashtra</v>
      </c>
      <c r="U364" s="3" t="s">
        <v>75</v>
      </c>
      <c r="V364" s="6" t="str">
        <f>PROPER(TRIM(SUBSTITUTE(U364,"  "," ")))</f>
        <v>Mumbai</v>
      </c>
      <c r="W364" s="3" t="s">
        <v>45</v>
      </c>
      <c r="X364" s="6" t="str">
        <f>PROPER(TRIM(SUBSTITUTE(W364,"  "," ")))</f>
        <v>Furniture</v>
      </c>
      <c r="Y364" s="3" t="s">
        <v>46</v>
      </c>
      <c r="Z364" s="6" t="str">
        <f>PROPER(TRIM(SUBSTITUTE(Y364,"  "," ")))</f>
        <v>Tables</v>
      </c>
      <c r="AA364" s="3" t="s">
        <v>522</v>
      </c>
      <c r="AB364" s="3" t="s">
        <v>33</v>
      </c>
      <c r="AC364" s="6" t="str">
        <f>PROPER(TRIM(SUBSTITUTE(AB364,"  "," ")))</f>
        <v>Second Class</v>
      </c>
      <c r="AD364" s="3">
        <v>9</v>
      </c>
      <c r="AE364" s="3">
        <v>131.74</v>
      </c>
      <c r="AF364" s="3">
        <v>0.2</v>
      </c>
      <c r="AG364" s="17">
        <v>0.2</v>
      </c>
      <c r="AH364" s="6" t="str">
        <f t="shared" si="43"/>
        <v>Valid</v>
      </c>
      <c r="AI364" s="3">
        <v>948.53</v>
      </c>
      <c r="AJ364" s="3">
        <v>674.62</v>
      </c>
      <c r="AK364" s="3">
        <v>273.91000000000003</v>
      </c>
      <c r="AL364" s="3" t="s">
        <v>34</v>
      </c>
      <c r="AM364" s="6" t="str">
        <f>PROPER(TRIM(SUBSTITUTE(AL364,".","")))</f>
        <v>Paid</v>
      </c>
      <c r="AN364" s="3" t="s">
        <v>35</v>
      </c>
      <c r="AO364" s="8" t="str">
        <f>PROPER(TRIM(SUBSTITUTE(AN364,".","")))</f>
        <v>Completed</v>
      </c>
      <c r="AP364" t="str">
        <f>IF(COUNTIF($A$2:$A$933, A364) &gt; 1, "Duplicate ID", "Unique")</f>
        <v>Unique</v>
      </c>
      <c r="AR364">
        <f t="shared" si="44"/>
        <v>948.52800000000013</v>
      </c>
      <c r="AS364">
        <f t="shared" si="45"/>
        <v>273.90800000000013</v>
      </c>
      <c r="AT364" s="15">
        <f t="shared" si="46"/>
        <v>0.28877165460587362</v>
      </c>
      <c r="AU364" t="str">
        <f t="shared" si="47"/>
        <v>Clean</v>
      </c>
      <c r="AV364" s="8" t="str">
        <f t="shared" si="48"/>
        <v>Active</v>
      </c>
    </row>
    <row r="365" spans="1:48">
      <c r="A365" s="3" t="s">
        <v>629</v>
      </c>
      <c r="B365" s="3" t="s">
        <v>630</v>
      </c>
      <c r="C365" s="9">
        <f>IFERROR(DATEVALUE(TEXT(B365,"DD/MM/YYYY")), IF(ISNUMBER(B365), B365, ""))</f>
        <v>45594</v>
      </c>
      <c r="D365" s="9" t="str">
        <f>IF(B365="","Missing", IF(AND(ISNUMBER(B365)=FALSE, C365=""),"Invalid - Could Not Parse", IF(AND(ISNUMBER(B365)=FALSE, C365&lt;&gt;""),"Text - Converted to Date", IF(ISNUMBER(B365),"Valid","Check"))))</f>
        <v>Text - Converted to Date</v>
      </c>
      <c r="E365" s="5">
        <f t="shared" si="41"/>
        <v>10</v>
      </c>
      <c r="F365" s="5">
        <f t="shared" si="42"/>
        <v>2024</v>
      </c>
      <c r="G365" s="3" t="s">
        <v>631</v>
      </c>
      <c r="H365" s="9">
        <f>IFERROR(DATEVALUE(TEXT(G365,"DD/MM/YYYY")), IF(ISNUMBER(G365), G365, ""))</f>
        <v>45600</v>
      </c>
      <c r="I365" s="9" t="str">
        <f>IF(G365="","Missing", IF(AND(ISNUMBER(G365)=FALSE, H365=""),"Invalid - Could Not Parse", IF(AND(ISNUMBER(G365)=FALSE, H365&lt;&gt;""),"Text - Converted to Date", IF(ISNUMBER(G365),"Valid","Check"))))</f>
        <v>Text - Converted to Date</v>
      </c>
      <c r="J365" s="9" t="str">
        <f>IF(OR(C365="", H365=""), "Cannot Check - Date Missing", IF(H365&lt;C365, "Invalid - Ship Before Order", "Valid"))</f>
        <v>Valid</v>
      </c>
      <c r="K365" s="5">
        <f>IF(OR(C365="", H365=""), "", IF(H365&lt;C365, "", H365-C365))</f>
        <v>6</v>
      </c>
      <c r="L365" s="3" t="s">
        <v>632</v>
      </c>
      <c r="M365" s="3" t="s">
        <v>180</v>
      </c>
      <c r="N365" s="4" t="str">
        <f>TRIM(SUBSTITUTE(M365,"_"," "))</f>
        <v>Rohan Mehta</v>
      </c>
      <c r="O365" s="3" t="s">
        <v>115</v>
      </c>
      <c r="P365" s="6" t="str">
        <f>PROPER(TRIM(SUBSTITUTE(O365,".","")))</f>
        <v>Home Office</v>
      </c>
      <c r="Q365" s="3" t="s">
        <v>42</v>
      </c>
      <c r="R365" s="7" t="str">
        <f>PROPER(TRIM(SUBSTITUTE(Q365,"  "," ")))</f>
        <v>East</v>
      </c>
      <c r="S365" s="3" t="s">
        <v>121</v>
      </c>
      <c r="T365" s="6" t="str">
        <f>PROPER(TRIM(SUBSTITUTE(S365,"  "," ")))</f>
        <v>West Bengal</v>
      </c>
      <c r="U365" s="3" t="s">
        <v>122</v>
      </c>
      <c r="V365" s="6" t="str">
        <f>PROPER(TRIM(SUBSTITUTE(U365,"  "," ")))</f>
        <v>Kolkata</v>
      </c>
      <c r="W365" s="3" t="s">
        <v>45</v>
      </c>
      <c r="X365" s="6" t="str">
        <f>PROPER(TRIM(SUBSTITUTE(W365,"  "," ")))</f>
        <v>Furniture</v>
      </c>
      <c r="Y365" s="3" t="s">
        <v>65</v>
      </c>
      <c r="Z365" s="6" t="str">
        <f>PROPER(TRIM(SUBSTITUTE(Y365,"  "," ")))</f>
        <v>Furnishings</v>
      </c>
      <c r="AA365" s="3" t="s">
        <v>633</v>
      </c>
      <c r="AB365" s="3" t="s">
        <v>56</v>
      </c>
      <c r="AC365" s="6" t="str">
        <f>PROPER(TRIM(SUBSTITUTE(AB365,"  "," ")))</f>
        <v>First Class</v>
      </c>
      <c r="AD365" s="3">
        <v>3</v>
      </c>
      <c r="AE365" s="3">
        <v>4302.8900000000003</v>
      </c>
      <c r="AF365" s="3">
        <v>0.05</v>
      </c>
      <c r="AG365" s="17">
        <v>0.05</v>
      </c>
      <c r="AH365" s="6" t="str">
        <f t="shared" si="43"/>
        <v>Valid</v>
      </c>
      <c r="AI365" s="3">
        <v>12263.24</v>
      </c>
      <c r="AJ365" s="3">
        <v>8925.57</v>
      </c>
      <c r="AK365" s="3">
        <v>3337.67</v>
      </c>
      <c r="AL365" s="3" t="s">
        <v>34</v>
      </c>
      <c r="AM365" s="6" t="str">
        <f>PROPER(TRIM(SUBSTITUTE(AL365,".","")))</f>
        <v>Paid</v>
      </c>
      <c r="AN365" s="3" t="s">
        <v>35</v>
      </c>
      <c r="AO365" s="8" t="str">
        <f>PROPER(TRIM(SUBSTITUTE(AN365,".","")))</f>
        <v>Completed</v>
      </c>
      <c r="AP365" t="str">
        <f>IF(COUNTIF($A$2:$A$933, A365) &gt; 1, "Duplicate ID", "Unique")</f>
        <v>Unique</v>
      </c>
      <c r="AR365">
        <f t="shared" si="44"/>
        <v>12263.236500000001</v>
      </c>
      <c r="AS365">
        <f t="shared" si="45"/>
        <v>3337.6665000000012</v>
      </c>
      <c r="AT365" s="15">
        <f t="shared" si="46"/>
        <v>0.27216848504878799</v>
      </c>
      <c r="AU365" t="str">
        <f t="shared" si="47"/>
        <v>Clean</v>
      </c>
      <c r="AV365" s="8" t="str">
        <f t="shared" si="48"/>
        <v>Active</v>
      </c>
    </row>
    <row r="366" spans="1:48">
      <c r="A366" s="3" t="s">
        <v>1525</v>
      </c>
      <c r="B366" s="3" t="s">
        <v>1526</v>
      </c>
      <c r="C366" s="9">
        <f>IFERROR(DATEVALUE(TEXT(B366,"DD/MM/YYYY")), IF(ISNUMBER(B366), B366, ""))</f>
        <v>45594</v>
      </c>
      <c r="D366" s="9" t="str">
        <f>IF(B366="","Missing", IF(AND(ISNUMBER(B366)=FALSE, C366=""),"Invalid - Could Not Parse", IF(AND(ISNUMBER(B366)=FALSE, C366&lt;&gt;""),"Text - Converted to Date", IF(ISNUMBER(B366),"Valid","Check"))))</f>
        <v>Text - Converted to Date</v>
      </c>
      <c r="E366" s="5">
        <f t="shared" si="41"/>
        <v>10</v>
      </c>
      <c r="F366" s="5">
        <f t="shared" si="42"/>
        <v>2024</v>
      </c>
      <c r="G366" s="3" t="s">
        <v>1527</v>
      </c>
      <c r="H366" s="9">
        <f>IFERROR(DATEVALUE(TEXT(G366,"DD/MM/YYYY")), IF(ISNUMBER(G366), G366, ""))</f>
        <v>45602</v>
      </c>
      <c r="I366" s="9" t="str">
        <f>IF(G366="","Missing", IF(AND(ISNUMBER(G366)=FALSE, H366=""),"Invalid - Could Not Parse", IF(AND(ISNUMBER(G366)=FALSE, H366&lt;&gt;""),"Text - Converted to Date", IF(ISNUMBER(G366),"Valid","Check"))))</f>
        <v>Text - Converted to Date</v>
      </c>
      <c r="J366" s="9" t="str">
        <f>IF(OR(C366="", H366=""), "Cannot Check - Date Missing", IF(H366&lt;C366, "Invalid - Ship Before Order", "Valid"))</f>
        <v>Valid</v>
      </c>
      <c r="K366" s="5">
        <f>IF(OR(C366="", H366=""), "", IF(H366&lt;C366, "", H366-C366))</f>
        <v>8</v>
      </c>
      <c r="L366" s="3" t="s">
        <v>1528</v>
      </c>
      <c r="M366" s="3" t="s">
        <v>168</v>
      </c>
      <c r="N366" s="4" t="str">
        <f>TRIM(SUBSTITUTE(M366,"_"," "))</f>
        <v>Sneha Kapoor</v>
      </c>
      <c r="O366" s="3" t="s">
        <v>108</v>
      </c>
      <c r="P366" s="6" t="str">
        <f>PROPER(TRIM(SUBSTITUTE(O366,".","")))</f>
        <v>Corporate</v>
      </c>
      <c r="Q366" s="3" t="s">
        <v>62</v>
      </c>
      <c r="R366" s="7" t="str">
        <f>PROPER(TRIM(SUBSTITUTE(Q366,"  "," ")))</f>
        <v>South</v>
      </c>
      <c r="S366" s="3" t="s">
        <v>339</v>
      </c>
      <c r="T366" s="6" t="str">
        <f>PROPER(TRIM(SUBSTITUTE(S366,"  "," ")))</f>
        <v>Tamil Nadu</v>
      </c>
      <c r="U366" s="3" t="s">
        <v>340</v>
      </c>
      <c r="V366" s="6" t="str">
        <f>PROPER(TRIM(SUBSTITUTE(U366,"  "," ")))</f>
        <v>Chennai</v>
      </c>
      <c r="W366" s="3" t="s">
        <v>86</v>
      </c>
      <c r="X366" s="6" t="str">
        <f>PROPER(TRIM(SUBSTITUTE(W366,"  "," ")))</f>
        <v>Technology</v>
      </c>
      <c r="Y366" s="3" t="s">
        <v>94</v>
      </c>
      <c r="Z366" s="6" t="str">
        <f>PROPER(TRIM(SUBSTITUTE(Y366,"  "," ")))</f>
        <v>Copiers</v>
      </c>
      <c r="AA366" s="3" t="s">
        <v>1529</v>
      </c>
      <c r="AB366" s="3" t="s">
        <v>48</v>
      </c>
      <c r="AC366" s="6" t="str">
        <f>PROPER(TRIM(SUBSTITUTE(AB366,"  "," ")))</f>
        <v>Same Day</v>
      </c>
      <c r="AD366" s="3">
        <v>6</v>
      </c>
      <c r="AE366" s="3">
        <v>1169.92</v>
      </c>
      <c r="AF366" s="3">
        <v>0.15</v>
      </c>
      <c r="AG366" s="17">
        <v>0.15</v>
      </c>
      <c r="AH366" s="6" t="str">
        <f t="shared" si="43"/>
        <v>Valid</v>
      </c>
      <c r="AI366" s="3">
        <v>5966.59</v>
      </c>
      <c r="AJ366" s="3">
        <v>3994.72</v>
      </c>
      <c r="AK366" s="3">
        <v>1971.87</v>
      </c>
      <c r="AL366" s="3" t="s">
        <v>34</v>
      </c>
      <c r="AM366" s="6" t="str">
        <f>PROPER(TRIM(SUBSTITUTE(AL366,".","")))</f>
        <v>Paid</v>
      </c>
      <c r="AN366" s="3" t="s">
        <v>35</v>
      </c>
      <c r="AO366" s="8" t="str">
        <f>PROPER(TRIM(SUBSTITUTE(AN366,".","")))</f>
        <v>Completed</v>
      </c>
      <c r="AP366" t="str">
        <f>IF(COUNTIF($A$2:$A$933, A366) &gt; 1, "Duplicate ID", "Unique")</f>
        <v>Unique</v>
      </c>
      <c r="AR366">
        <f t="shared" si="44"/>
        <v>5966.5920000000006</v>
      </c>
      <c r="AS366">
        <f t="shared" si="45"/>
        <v>1971.8720000000008</v>
      </c>
      <c r="AT366" s="15">
        <f t="shared" si="46"/>
        <v>0.33048547646629778</v>
      </c>
      <c r="AU366" t="str">
        <f t="shared" si="47"/>
        <v>Clean</v>
      </c>
      <c r="AV366" s="8" t="str">
        <f t="shared" si="48"/>
        <v>Active</v>
      </c>
    </row>
    <row r="367" spans="1:48">
      <c r="A367" s="3" t="s">
        <v>414</v>
      </c>
      <c r="B367" s="3" t="s">
        <v>415</v>
      </c>
      <c r="C367" s="9">
        <f>IFERROR(DATEVALUE(TEXT(B367,"DD/MM/YYYY")), IF(ISNUMBER(B367), B367, ""))</f>
        <v>45595</v>
      </c>
      <c r="D367" s="9" t="str">
        <f>IF(B367="","Missing", IF(AND(ISNUMBER(B367)=FALSE, C367=""),"Invalid - Could Not Parse", IF(AND(ISNUMBER(B367)=FALSE, C367&lt;&gt;""),"Text - Converted to Date", IF(ISNUMBER(B367),"Valid","Check"))))</f>
        <v>Text - Converted to Date</v>
      </c>
      <c r="E367" s="5">
        <f t="shared" si="41"/>
        <v>10</v>
      </c>
      <c r="F367" s="5">
        <f t="shared" si="42"/>
        <v>2024</v>
      </c>
      <c r="G367" s="3" t="s">
        <v>416</v>
      </c>
      <c r="H367" s="9">
        <f>IFERROR(DATEVALUE(TEXT(G367,"DD/MM/YYYY")), IF(ISNUMBER(G367), G367, ""))</f>
        <v>45598</v>
      </c>
      <c r="I367" s="9" t="str">
        <f>IF(G367="","Missing", IF(AND(ISNUMBER(G367)=FALSE, H367=""),"Invalid - Could Not Parse", IF(AND(ISNUMBER(G367)=FALSE, H367&lt;&gt;""),"Text - Converted to Date", IF(ISNUMBER(G367),"Valid","Check"))))</f>
        <v>Text - Converted to Date</v>
      </c>
      <c r="J367" s="9" t="str">
        <f>IF(OR(C367="", H367=""), "Cannot Check - Date Missing", IF(H367&lt;C367, "Invalid - Ship Before Order", "Valid"))</f>
        <v>Valid</v>
      </c>
      <c r="K367" s="5">
        <f>IF(OR(C367="", H367=""), "", IF(H367&lt;C367, "", H367-C367))</f>
        <v>3</v>
      </c>
      <c r="L367" s="3" t="s">
        <v>417</v>
      </c>
      <c r="M367" s="3" t="s">
        <v>168</v>
      </c>
      <c r="N367" s="4" t="str">
        <f>TRIM(SUBSTITUTE(M367,"_"," "))</f>
        <v>Sneha Kapoor</v>
      </c>
      <c r="O367" s="3" t="s">
        <v>115</v>
      </c>
      <c r="P367" s="6" t="str">
        <f>PROPER(TRIM(SUBSTITUTE(O367,".","")))</f>
        <v>Home Office</v>
      </c>
      <c r="Q367" s="3" t="s">
        <v>27</v>
      </c>
      <c r="R367" s="7" t="str">
        <f>PROPER(TRIM(SUBSTITUTE(Q367,"  "," ")))</f>
        <v>North</v>
      </c>
      <c r="S367" s="3" t="s">
        <v>28</v>
      </c>
      <c r="T367" s="6" t="str">
        <f>PROPER(TRIM(SUBSTITUTE(S367,"  "," ")))</f>
        <v>Rajasthan</v>
      </c>
      <c r="U367" s="3" t="s">
        <v>29</v>
      </c>
      <c r="V367" s="6" t="str">
        <f>PROPER(TRIM(SUBSTITUTE(U367,"  "," ")))</f>
        <v>Jaipur</v>
      </c>
      <c r="W367" s="3" t="s">
        <v>86</v>
      </c>
      <c r="X367" s="6" t="str">
        <f>PROPER(TRIM(SUBSTITUTE(W367,"  "," ")))</f>
        <v>Technology</v>
      </c>
      <c r="Y367" s="3" t="s">
        <v>223</v>
      </c>
      <c r="Z367" s="6" t="str">
        <f>PROPER(TRIM(SUBSTITUTE(Y367,"  "," ")))</f>
        <v>Phones</v>
      </c>
      <c r="AA367" s="3" t="s">
        <v>418</v>
      </c>
      <c r="AB367" s="3" t="s">
        <v>67</v>
      </c>
      <c r="AC367" s="6" t="str">
        <f>PROPER(TRIM(SUBSTITUTE(AB367,"  "," ")))</f>
        <v>Standard Class</v>
      </c>
      <c r="AD367" s="3">
        <v>9</v>
      </c>
      <c r="AE367" s="3">
        <v>3042.29</v>
      </c>
      <c r="AF367" s="3">
        <v>0.2</v>
      </c>
      <c r="AG367" s="17">
        <v>0.2</v>
      </c>
      <c r="AH367" s="6" t="str">
        <f t="shared" si="43"/>
        <v>Valid</v>
      </c>
      <c r="AI367" s="3">
        <v>21904.49</v>
      </c>
      <c r="AJ367" s="3">
        <v>13570.55</v>
      </c>
      <c r="AK367" s="3">
        <v>8333.94</v>
      </c>
      <c r="AL367" s="3" t="s">
        <v>34</v>
      </c>
      <c r="AM367" s="6" t="str">
        <f>PROPER(TRIM(SUBSTITUTE(AL367,".","")))</f>
        <v>Paid</v>
      </c>
      <c r="AN367" s="3" t="s">
        <v>35</v>
      </c>
      <c r="AO367" s="8" t="str">
        <f>PROPER(TRIM(SUBSTITUTE(AN367,".","")))</f>
        <v>Completed</v>
      </c>
      <c r="AP367" t="str">
        <f>IF(COUNTIF($A$2:$A$933, A367) &gt; 1, "Duplicate ID", "Unique")</f>
        <v>Unique</v>
      </c>
      <c r="AR367">
        <f t="shared" si="44"/>
        <v>21904.488000000001</v>
      </c>
      <c r="AS367">
        <f t="shared" si="45"/>
        <v>8333.9380000000019</v>
      </c>
      <c r="AT367" s="15">
        <f t="shared" si="46"/>
        <v>0.38046714445003244</v>
      </c>
      <c r="AU367" t="str">
        <f t="shared" si="47"/>
        <v>Clean</v>
      </c>
      <c r="AV367" s="8" t="str">
        <f t="shared" si="48"/>
        <v>Active</v>
      </c>
    </row>
    <row r="368" spans="1:48">
      <c r="A368" s="3" t="s">
        <v>482</v>
      </c>
      <c r="B368" s="3" t="s">
        <v>483</v>
      </c>
      <c r="C368" s="9">
        <f>IFERROR(DATEVALUE(TEXT(B368,"DD/MM/YYYY")), IF(ISNUMBER(B368), B368, ""))</f>
        <v>45599</v>
      </c>
      <c r="D368" s="9" t="str">
        <f>IF(B368="","Missing", IF(AND(ISNUMBER(B368)=FALSE, C368=""),"Invalid - Could Not Parse", IF(AND(ISNUMBER(B368)=FALSE, C368&lt;&gt;""),"Text - Converted to Date", IF(ISNUMBER(B368),"Valid","Check"))))</f>
        <v>Text - Converted to Date</v>
      </c>
      <c r="E368" s="5">
        <f t="shared" si="41"/>
        <v>11</v>
      </c>
      <c r="F368" s="5">
        <f t="shared" si="42"/>
        <v>2024</v>
      </c>
      <c r="G368" s="3" t="s">
        <v>484</v>
      </c>
      <c r="H368" s="9">
        <f>IFERROR(DATEVALUE(TEXT(G368,"DD/MM/YYYY")), IF(ISNUMBER(G368), G368, ""))</f>
        <v>45607</v>
      </c>
      <c r="I368" s="9" t="str">
        <f>IF(G368="","Missing", IF(AND(ISNUMBER(G368)=FALSE, H368=""),"Invalid - Could Not Parse", IF(AND(ISNUMBER(G368)=FALSE, H368&lt;&gt;""),"Text - Converted to Date", IF(ISNUMBER(G368),"Valid","Check"))))</f>
        <v>Text - Converted to Date</v>
      </c>
      <c r="J368" s="9" t="str">
        <f>IF(OR(C368="", H368=""), "Cannot Check - Date Missing", IF(H368&lt;C368, "Invalid - Ship Before Order", "Valid"))</f>
        <v>Valid</v>
      </c>
      <c r="K368" s="5">
        <f>IF(OR(C368="", H368=""), "", IF(H368&lt;C368, "", H368-C368))</f>
        <v>8</v>
      </c>
      <c r="L368" s="3" t="s">
        <v>485</v>
      </c>
      <c r="M368" s="3" t="s">
        <v>72</v>
      </c>
      <c r="N368" s="4" t="str">
        <f>TRIM(SUBSTITUTE(M368,"_"," "))</f>
        <v>Ananya Rao</v>
      </c>
      <c r="O368" s="3" t="s">
        <v>108</v>
      </c>
      <c r="P368" s="6" t="str">
        <f>PROPER(TRIM(SUBSTITUTE(O368,".","")))</f>
        <v>Corporate</v>
      </c>
      <c r="Q368" s="3" t="s">
        <v>42</v>
      </c>
      <c r="R368" s="7" t="str">
        <f>PROPER(TRIM(SUBSTITUTE(Q368,"  "," ")))</f>
        <v>East</v>
      </c>
      <c r="S368" s="3" t="s">
        <v>311</v>
      </c>
      <c r="T368" s="6" t="str">
        <f>PROPER(TRIM(SUBSTITUTE(S368,"  "," ")))</f>
        <v>Jharkhand</v>
      </c>
      <c r="U368" s="3" t="s">
        <v>312</v>
      </c>
      <c r="V368" s="6" t="str">
        <f>PROPER(TRIM(SUBSTITUTE(U368,"  "," ")))</f>
        <v>Ranchi</v>
      </c>
      <c r="W368" s="3" t="s">
        <v>30</v>
      </c>
      <c r="X368" s="6" t="str">
        <f>PROPER(TRIM(SUBSTITUTE(W368,"  "," ")))</f>
        <v>Office Supplies</v>
      </c>
      <c r="Y368" s="3" t="s">
        <v>109</v>
      </c>
      <c r="Z368" s="6" t="str">
        <f>PROPER(TRIM(SUBSTITUTE(Y368,"  "," ")))</f>
        <v>Labels</v>
      </c>
      <c r="AA368" s="3" t="s">
        <v>486</v>
      </c>
      <c r="AB368" s="3" t="s">
        <v>33</v>
      </c>
      <c r="AC368" s="6" t="str">
        <f>PROPER(TRIM(SUBSTITUTE(AB368,"  "," ")))</f>
        <v>Second Class</v>
      </c>
      <c r="AD368" s="3">
        <v>3</v>
      </c>
      <c r="AE368" s="3">
        <v>3406.27</v>
      </c>
      <c r="AF368" s="3">
        <v>0</v>
      </c>
      <c r="AG368" s="17">
        <v>0</v>
      </c>
      <c r="AH368" s="6" t="str">
        <f t="shared" si="43"/>
        <v>Valid</v>
      </c>
      <c r="AI368" s="3">
        <v>10218.81</v>
      </c>
      <c r="AJ368" s="3">
        <v>7616.97</v>
      </c>
      <c r="AK368" s="3">
        <v>2601.84</v>
      </c>
      <c r="AL368" s="3" t="s">
        <v>34</v>
      </c>
      <c r="AM368" s="6" t="str">
        <f>PROPER(TRIM(SUBSTITUTE(AL368,".","")))</f>
        <v>Paid</v>
      </c>
      <c r="AN368" s="3" t="s">
        <v>35</v>
      </c>
      <c r="AO368" s="8" t="str">
        <f>PROPER(TRIM(SUBSTITUTE(AN368,".","")))</f>
        <v>Completed</v>
      </c>
      <c r="AP368" t="str">
        <f>IF(COUNTIF($A$2:$A$933, A368) &gt; 1, "Duplicate ID", "Unique")</f>
        <v>Unique</v>
      </c>
      <c r="AR368">
        <f t="shared" si="44"/>
        <v>10218.81</v>
      </c>
      <c r="AS368">
        <f t="shared" si="45"/>
        <v>2601.8399999999992</v>
      </c>
      <c r="AT368" s="15">
        <f t="shared" si="46"/>
        <v>0.2546128169522674</v>
      </c>
      <c r="AU368" t="str">
        <f t="shared" si="47"/>
        <v>Clean</v>
      </c>
      <c r="AV368" s="8" t="str">
        <f t="shared" si="48"/>
        <v>Active</v>
      </c>
    </row>
    <row r="369" spans="1:48">
      <c r="A369" s="3" t="s">
        <v>751</v>
      </c>
      <c r="B369" s="3" t="s">
        <v>752</v>
      </c>
      <c r="C369" s="9">
        <f>IFERROR(DATEVALUE(TEXT(B369,"DD/MM/YYYY")), IF(ISNUMBER(B369), B369, ""))</f>
        <v>45600</v>
      </c>
      <c r="D369" s="9" t="str">
        <f>IF(B369="","Missing", IF(AND(ISNUMBER(B369)=FALSE, C369=""),"Invalid - Could Not Parse", IF(AND(ISNUMBER(B369)=FALSE, C369&lt;&gt;""),"Text - Converted to Date", IF(ISNUMBER(B369),"Valid","Check"))))</f>
        <v>Text - Converted to Date</v>
      </c>
      <c r="E369" s="5">
        <f t="shared" si="41"/>
        <v>11</v>
      </c>
      <c r="F369" s="5">
        <f t="shared" si="42"/>
        <v>2024</v>
      </c>
      <c r="G369" s="3" t="s">
        <v>752</v>
      </c>
      <c r="H369" s="9">
        <f>IFERROR(DATEVALUE(TEXT(G369,"DD/MM/YYYY")), IF(ISNUMBER(G369), G369, ""))</f>
        <v>45600</v>
      </c>
      <c r="I369" s="9" t="str">
        <f>IF(G369="","Missing", IF(AND(ISNUMBER(G369)=FALSE, H369=""),"Invalid - Could Not Parse", IF(AND(ISNUMBER(G369)=FALSE, H369&lt;&gt;""),"Text - Converted to Date", IF(ISNUMBER(G369),"Valid","Check"))))</f>
        <v>Text - Converted to Date</v>
      </c>
      <c r="J369" s="9" t="str">
        <f>IF(OR(C369="", H369=""), "Cannot Check - Date Missing", IF(H369&lt;C369, "Invalid - Ship Before Order", "Valid"))</f>
        <v>Valid</v>
      </c>
      <c r="K369" s="5">
        <f>IF(OR(C369="", H369=""), "", IF(H369&lt;C369, "", H369-C369))</f>
        <v>0</v>
      </c>
      <c r="L369" s="3" t="s">
        <v>753</v>
      </c>
      <c r="M369" s="3" t="s">
        <v>366</v>
      </c>
      <c r="N369" s="4" t="str">
        <f>TRIM(SUBSTITUTE(M369,"_"," "))</f>
        <v>Kabir Singh</v>
      </c>
      <c r="O369" s="3" t="s">
        <v>108</v>
      </c>
      <c r="P369" s="6" t="str">
        <f>PROPER(TRIM(SUBSTITUTE(O369,".","")))</f>
        <v>Corporate</v>
      </c>
      <c r="Q369" s="3" t="s">
        <v>42</v>
      </c>
      <c r="R369" s="7" t="str">
        <f>PROPER(TRIM(SUBSTITUTE(Q369,"  "," ")))</f>
        <v>East</v>
      </c>
      <c r="S369" s="3" t="s">
        <v>216</v>
      </c>
      <c r="T369" s="6" t="str">
        <f>PROPER(TRIM(SUBSTITUTE(S369,"  "," ")))</f>
        <v>Assam</v>
      </c>
      <c r="U369" s="3" t="s">
        <v>217</v>
      </c>
      <c r="V369" s="6" t="str">
        <f>PROPER(TRIM(SUBSTITUTE(U369,"  "," ")))</f>
        <v>Guwahati</v>
      </c>
      <c r="W369" s="3" t="s">
        <v>86</v>
      </c>
      <c r="X369" s="6" t="str">
        <f>PROPER(TRIM(SUBSTITUTE(W369,"  "," ")))</f>
        <v>Technology</v>
      </c>
      <c r="Y369" s="3" t="s">
        <v>382</v>
      </c>
      <c r="Z369" s="6" t="str">
        <f>PROPER(TRIM(SUBSTITUTE(Y369,"  "," ")))</f>
        <v>Machines</v>
      </c>
      <c r="AA369" s="3" t="s">
        <v>754</v>
      </c>
      <c r="AB369" s="3" t="s">
        <v>56</v>
      </c>
      <c r="AC369" s="6" t="str">
        <f>PROPER(TRIM(SUBSTITUTE(AB369,"  "," ")))</f>
        <v>First Class</v>
      </c>
      <c r="AD369" s="3">
        <v>2</v>
      </c>
      <c r="AE369" s="3">
        <v>533.08000000000004</v>
      </c>
      <c r="AF369" s="3">
        <v>0</v>
      </c>
      <c r="AG369" s="17">
        <v>0</v>
      </c>
      <c r="AH369" s="6" t="str">
        <f t="shared" si="43"/>
        <v>Valid</v>
      </c>
      <c r="AI369" s="3">
        <v>1066.1600000000001</v>
      </c>
      <c r="AJ369" s="3">
        <v>656.3</v>
      </c>
      <c r="AK369" s="3">
        <v>409.86</v>
      </c>
      <c r="AL369" s="3" t="s">
        <v>200</v>
      </c>
      <c r="AM369" s="6" t="str">
        <f>PROPER(TRIM(SUBSTITUTE(AL369,".","")))</f>
        <v>Failed</v>
      </c>
      <c r="AN369" s="3" t="s">
        <v>78</v>
      </c>
      <c r="AO369" s="8" t="str">
        <f>PROPER(TRIM(SUBSTITUTE(AN369,".","")))</f>
        <v>Cancelled</v>
      </c>
      <c r="AP369" t="str">
        <f>IF(COUNTIF($A$2:$A$933, A369) &gt; 1, "Duplicate ID", "Unique")</f>
        <v>Unique</v>
      </c>
      <c r="AR369">
        <f t="shared" si="44"/>
        <v>1066.1600000000001</v>
      </c>
      <c r="AS369">
        <f t="shared" si="45"/>
        <v>409.86000000000013</v>
      </c>
      <c r="AT369" s="15">
        <f t="shared" si="46"/>
        <v>0.38442635251744589</v>
      </c>
      <c r="AU369" t="str">
        <f t="shared" si="47"/>
        <v>Clean</v>
      </c>
      <c r="AV369" s="8" t="str">
        <f t="shared" si="48"/>
        <v>Cancelled</v>
      </c>
    </row>
    <row r="370" spans="1:48">
      <c r="A370" s="3" t="s">
        <v>1338</v>
      </c>
      <c r="B370" s="3" t="s">
        <v>1339</v>
      </c>
      <c r="C370" s="9">
        <f>IFERROR(DATEVALUE(TEXT(B370,"DD/MM/YYYY")), IF(ISNUMBER(B370), B370, ""))</f>
        <v>45601</v>
      </c>
      <c r="D370" s="9" t="str">
        <f>IF(B370="","Missing", IF(AND(ISNUMBER(B370)=FALSE, C370=""),"Invalid - Could Not Parse", IF(AND(ISNUMBER(B370)=FALSE, C370&lt;&gt;""),"Text - Converted to Date", IF(ISNUMBER(B370),"Valid","Check"))))</f>
        <v>Text - Converted to Date</v>
      </c>
      <c r="E370" s="5">
        <f t="shared" si="41"/>
        <v>11</v>
      </c>
      <c r="F370" s="5">
        <f t="shared" si="42"/>
        <v>2024</v>
      </c>
      <c r="G370" s="3" t="s">
        <v>483</v>
      </c>
      <c r="H370" s="9">
        <f>IFERROR(DATEVALUE(TEXT(G370,"DD/MM/YYYY")), IF(ISNUMBER(G370), G370, ""))</f>
        <v>45599</v>
      </c>
      <c r="I370" s="9" t="str">
        <f>IF(G370="","Missing", IF(AND(ISNUMBER(G370)=FALSE, H370=""),"Invalid - Could Not Parse", IF(AND(ISNUMBER(G370)=FALSE, H370&lt;&gt;""),"Text - Converted to Date", IF(ISNUMBER(G370),"Valid","Check"))))</f>
        <v>Text - Converted to Date</v>
      </c>
      <c r="J370" s="9" t="str">
        <f>IF(OR(C370="", H370=""), "Cannot Check - Date Missing", IF(H370&lt;C370, "Invalid - Ship Before Order", "Valid"))</f>
        <v>Invalid - Ship Before Order</v>
      </c>
      <c r="K370" s="5" t="str">
        <f>IF(OR(C370="", H370=""), "", IF(H370&lt;C370, "", H370-C370))</f>
        <v/>
      </c>
      <c r="L370" s="3" t="s">
        <v>1340</v>
      </c>
      <c r="M370" s="3" t="s">
        <v>72</v>
      </c>
      <c r="N370" s="4" t="str">
        <f>TRIM(SUBSTITUTE(M370,"_"," "))</f>
        <v>Ananya Rao</v>
      </c>
      <c r="O370" s="3" t="s">
        <v>26</v>
      </c>
      <c r="P370" s="6" t="str">
        <f>PROPER(TRIM(SUBSTITUTE(O370,".","")))</f>
        <v>Consumer</v>
      </c>
      <c r="Q370" s="3" t="s">
        <v>42</v>
      </c>
      <c r="R370" s="7" t="str">
        <f>PROPER(TRIM(SUBSTITUTE(Q370,"  "," ")))</f>
        <v>East</v>
      </c>
      <c r="S370" s="3" t="s">
        <v>121</v>
      </c>
      <c r="T370" s="6" t="str">
        <f>PROPER(TRIM(SUBSTITUTE(S370,"  "," ")))</f>
        <v>West Bengal</v>
      </c>
      <c r="U370" s="3" t="s">
        <v>122</v>
      </c>
      <c r="V370" s="6" t="str">
        <f>PROPER(TRIM(SUBSTITUTE(U370,"  "," ")))</f>
        <v>Kolkata</v>
      </c>
      <c r="W370" s="3" t="s">
        <v>45</v>
      </c>
      <c r="X370" s="6" t="str">
        <f>PROPER(TRIM(SUBSTITUTE(W370,"  "," ")))</f>
        <v>Furniture</v>
      </c>
      <c r="Y370" s="3" t="s">
        <v>46</v>
      </c>
      <c r="Z370" s="6" t="str">
        <f>PROPER(TRIM(SUBSTITUTE(Y370,"  "," ")))</f>
        <v>Tables</v>
      </c>
      <c r="AA370" s="3" t="s">
        <v>1341</v>
      </c>
      <c r="AB370" s="3" t="s">
        <v>56</v>
      </c>
      <c r="AC370" s="6" t="str">
        <f>PROPER(TRIM(SUBSTITUTE(AB370,"  "," ")))</f>
        <v>First Class</v>
      </c>
      <c r="AD370" s="3">
        <v>9</v>
      </c>
      <c r="AE370" s="3">
        <v>2260.61</v>
      </c>
      <c r="AF370" s="3">
        <v>0.05</v>
      </c>
      <c r="AG370" s="17">
        <v>0.05</v>
      </c>
      <c r="AH370" s="6" t="str">
        <f t="shared" si="43"/>
        <v>Valid</v>
      </c>
      <c r="AI370" s="3">
        <v>19328.22</v>
      </c>
      <c r="AJ370" s="3">
        <v>12039.5</v>
      </c>
      <c r="AK370" s="3">
        <v>7288.72</v>
      </c>
      <c r="AL370" s="3" t="s">
        <v>34</v>
      </c>
      <c r="AM370" s="6" t="str">
        <f>PROPER(TRIM(SUBSTITUTE(AL370,".","")))</f>
        <v>Paid</v>
      </c>
      <c r="AN370" s="3" t="s">
        <v>35</v>
      </c>
      <c r="AO370" s="8" t="str">
        <f>PROPER(TRIM(SUBSTITUTE(AN370,".","")))</f>
        <v>Completed</v>
      </c>
      <c r="AP370" t="str">
        <f>IF(COUNTIF($A$2:$A$933, A370) &gt; 1, "Duplicate ID", "Unique")</f>
        <v>Unique</v>
      </c>
      <c r="AR370">
        <f t="shared" si="44"/>
        <v>19328.215500000002</v>
      </c>
      <c r="AS370">
        <f t="shared" si="45"/>
        <v>7288.7155000000021</v>
      </c>
      <c r="AT370" s="15">
        <f t="shared" si="46"/>
        <v>0.3771023507058891</v>
      </c>
      <c r="AU370" t="str">
        <f t="shared" si="47"/>
        <v>Invalid</v>
      </c>
      <c r="AV370" s="8" t="str">
        <f t="shared" si="48"/>
        <v>Active</v>
      </c>
    </row>
    <row r="371" spans="1:48">
      <c r="A371" s="3" t="s">
        <v>3559</v>
      </c>
      <c r="B371" s="3" t="s">
        <v>3560</v>
      </c>
      <c r="C371" s="9">
        <f>IFERROR(DATEVALUE(TEXT(B371,"DD/MM/YYYY")), IF(ISNUMBER(B371), B371, ""))</f>
        <v>45601</v>
      </c>
      <c r="D371" s="9" t="str">
        <f>IF(B371="","Missing", IF(AND(ISNUMBER(B371)=FALSE, C371=""),"Invalid - Could Not Parse", IF(AND(ISNUMBER(B371)=FALSE, C371&lt;&gt;""),"Text - Converted to Date", IF(ISNUMBER(B371),"Valid","Check"))))</f>
        <v>Text - Converted to Date</v>
      </c>
      <c r="E371" s="5">
        <f t="shared" si="41"/>
        <v>11</v>
      </c>
      <c r="F371" s="5">
        <f t="shared" si="42"/>
        <v>2024</v>
      </c>
      <c r="G371" s="3" t="s">
        <v>2018</v>
      </c>
      <c r="H371" s="9">
        <f>IFERROR(DATEVALUE(TEXT(G371,"DD/MM/YYYY")), IF(ISNUMBER(G371), G371, ""))</f>
        <v>45425</v>
      </c>
      <c r="I371" s="9" t="str">
        <f>IF(G371="","Missing", IF(AND(ISNUMBER(G371)=FALSE, H371=""),"Invalid - Could Not Parse", IF(AND(ISNUMBER(G371)=FALSE, H371&lt;&gt;""),"Text - Converted to Date", IF(ISNUMBER(G371),"Valid","Check"))))</f>
        <v>Text - Converted to Date</v>
      </c>
      <c r="J371" s="9" t="str">
        <f>IF(OR(C371="", H371=""), "Cannot Check - Date Missing", IF(H371&lt;C371, "Invalid - Ship Before Order", "Valid"))</f>
        <v>Invalid - Ship Before Order</v>
      </c>
      <c r="K371" s="5" t="str">
        <f>IF(OR(C371="", H371=""), "", IF(H371&lt;C371, "", H371-C371))</f>
        <v/>
      </c>
      <c r="L371" s="3" t="s">
        <v>3561</v>
      </c>
      <c r="M371" s="3" t="s">
        <v>142</v>
      </c>
      <c r="N371" s="4" t="str">
        <f>TRIM(SUBSTITUTE(M371,"_"," "))</f>
        <v>Priya Menon</v>
      </c>
      <c r="O371" s="3" t="s">
        <v>115</v>
      </c>
      <c r="P371" s="6" t="str">
        <f>PROPER(TRIM(SUBSTITUTE(O371,".","")))</f>
        <v>Home Office</v>
      </c>
      <c r="Q371" s="3" t="s">
        <v>73</v>
      </c>
      <c r="R371" s="7" t="str">
        <f>PROPER(TRIM(SUBSTITUTE(Q371,"  "," ")))</f>
        <v>West</v>
      </c>
      <c r="S371" s="3" t="s">
        <v>249</v>
      </c>
      <c r="T371" s="6" t="str">
        <f>PROPER(TRIM(SUBSTITUTE(S371,"  "," ")))</f>
        <v>Goa</v>
      </c>
      <c r="U371" s="3" t="s">
        <v>250</v>
      </c>
      <c r="V371" s="6" t="str">
        <f>PROPER(TRIM(SUBSTITUTE(U371,"  "," ")))</f>
        <v>Panaji</v>
      </c>
      <c r="W371" s="3" t="s">
        <v>45</v>
      </c>
      <c r="X371" s="6" t="str">
        <f>PROPER(TRIM(SUBSTITUTE(W371,"  "," ")))</f>
        <v>Furniture</v>
      </c>
      <c r="Y371" s="3" t="s">
        <v>204</v>
      </c>
      <c r="Z371" s="6" t="str">
        <f>PROPER(TRIM(SUBSTITUTE(Y371,"  "," ")))</f>
        <v>Bookcases</v>
      </c>
      <c r="AA371" s="3" t="s">
        <v>3562</v>
      </c>
      <c r="AB371" s="3" t="s">
        <v>48</v>
      </c>
      <c r="AC371" s="6" t="str">
        <f>PROPER(TRIM(SUBSTITUTE(AB371,"  "," ")))</f>
        <v>Same Day</v>
      </c>
      <c r="AD371" s="3">
        <v>3</v>
      </c>
      <c r="AE371" s="3">
        <v>3612.75</v>
      </c>
      <c r="AF371" s="3">
        <v>0.25</v>
      </c>
      <c r="AG371" s="17">
        <v>0.25</v>
      </c>
      <c r="AH371" s="6" t="str">
        <f t="shared" si="43"/>
        <v>Valid</v>
      </c>
      <c r="AI371" s="3">
        <v>8128.69</v>
      </c>
      <c r="AJ371" s="3">
        <v>5071.66</v>
      </c>
      <c r="AK371" s="3">
        <v>3057.03</v>
      </c>
      <c r="AL371" s="3" t="s">
        <v>34</v>
      </c>
      <c r="AM371" s="6" t="str">
        <f>PROPER(TRIM(SUBSTITUTE(AL371,".","")))</f>
        <v>Paid</v>
      </c>
      <c r="AN371" s="3" t="s">
        <v>35</v>
      </c>
      <c r="AO371" s="8" t="str">
        <f>PROPER(TRIM(SUBSTITUTE(AN371,".","")))</f>
        <v>Completed</v>
      </c>
      <c r="AP371" t="str">
        <f>IF(COUNTIF($A$2:$A$933, A371) &gt; 1, "Duplicate ID", "Unique")</f>
        <v>Unique</v>
      </c>
      <c r="AR371">
        <f t="shared" si="44"/>
        <v>8128.6875</v>
      </c>
      <c r="AS371">
        <f t="shared" si="45"/>
        <v>3057.0275000000001</v>
      </c>
      <c r="AT371" s="15">
        <f t="shared" si="46"/>
        <v>0.3760788565189645</v>
      </c>
      <c r="AU371" t="str">
        <f t="shared" si="47"/>
        <v>Invalid</v>
      </c>
      <c r="AV371" s="8" t="str">
        <f t="shared" si="48"/>
        <v>Active</v>
      </c>
    </row>
    <row r="372" spans="1:48">
      <c r="A372" s="3" t="s">
        <v>4070</v>
      </c>
      <c r="B372" s="3" t="s">
        <v>4071</v>
      </c>
      <c r="C372" s="9">
        <f>IFERROR(DATEVALUE(TEXT(B372,"DD/MM/YYYY")), IF(ISNUMBER(B372), B372, ""))</f>
        <v>45601</v>
      </c>
      <c r="D372" s="9" t="str">
        <f>IF(B372="","Missing", IF(AND(ISNUMBER(B372)=FALSE, C372=""),"Invalid - Could Not Parse", IF(AND(ISNUMBER(B372)=FALSE, C372&lt;&gt;""),"Text - Converted to Date", IF(ISNUMBER(B372),"Valid","Check"))))</f>
        <v>Text - Converted to Date</v>
      </c>
      <c r="E372" s="5">
        <f t="shared" si="41"/>
        <v>11</v>
      </c>
      <c r="F372" s="5">
        <f t="shared" si="42"/>
        <v>2024</v>
      </c>
      <c r="G372" s="3" t="s">
        <v>105</v>
      </c>
      <c r="H372" s="9">
        <f>IFERROR(DATEVALUE(TEXT(G372,"DD/MM/YYYY")), IF(ISNUMBER(G372), G372, ""))</f>
        <v>45576</v>
      </c>
      <c r="I372" s="9" t="str">
        <f>IF(G372="","Missing", IF(AND(ISNUMBER(G372)=FALSE, H372=""),"Invalid - Could Not Parse", IF(AND(ISNUMBER(G372)=FALSE, H372&lt;&gt;""),"Text - Converted to Date", IF(ISNUMBER(G372),"Valid","Check"))))</f>
        <v>Text - Converted to Date</v>
      </c>
      <c r="J372" s="9" t="str">
        <f>IF(OR(C372="", H372=""), "Cannot Check - Date Missing", IF(H372&lt;C372, "Invalid - Ship Before Order", "Valid"))</f>
        <v>Invalid - Ship Before Order</v>
      </c>
      <c r="K372" s="5" t="str">
        <f>IF(OR(C372="", H372=""), "", IF(H372&lt;C372, "", H372-C372))</f>
        <v/>
      </c>
      <c r="L372" s="3" t="s">
        <v>4072</v>
      </c>
      <c r="M372" s="3" t="s">
        <v>61</v>
      </c>
      <c r="N372" s="4" t="str">
        <f>TRIM(SUBSTITUTE(M372,"_"," "))</f>
        <v>Arjun Bose</v>
      </c>
      <c r="O372" s="3" t="s">
        <v>26</v>
      </c>
      <c r="P372" s="6" t="str">
        <f>PROPER(TRIM(SUBSTITUTE(O372,".","")))</f>
        <v>Consumer</v>
      </c>
      <c r="Q372" s="3" t="s">
        <v>62</v>
      </c>
      <c r="R372" s="7" t="str">
        <f>PROPER(TRIM(SUBSTITUTE(Q372,"  "," ")))</f>
        <v>South</v>
      </c>
      <c r="S372" s="3" t="s">
        <v>242</v>
      </c>
      <c r="T372" s="6" t="str">
        <f>PROPER(TRIM(SUBSTITUTE(S372,"  "," ")))</f>
        <v>Kerala</v>
      </c>
      <c r="U372" s="3" t="s">
        <v>243</v>
      </c>
      <c r="V372" s="6" t="str">
        <f>PROPER(TRIM(SUBSTITUTE(U372,"  "," ")))</f>
        <v>Kochi</v>
      </c>
      <c r="W372" s="3" t="s">
        <v>45</v>
      </c>
      <c r="X372" s="6" t="str">
        <f>PROPER(TRIM(SUBSTITUTE(W372,"  "," ")))</f>
        <v>Furniture</v>
      </c>
      <c r="Y372" s="3" t="s">
        <v>76</v>
      </c>
      <c r="Z372" s="6" t="str">
        <f>PROPER(TRIM(SUBSTITUTE(Y372,"  "," ")))</f>
        <v>Chairs</v>
      </c>
      <c r="AA372" s="3" t="s">
        <v>4073</v>
      </c>
      <c r="AB372" s="3" t="s">
        <v>48</v>
      </c>
      <c r="AC372" s="6" t="str">
        <f>PROPER(TRIM(SUBSTITUTE(AB372,"  "," ")))</f>
        <v>Same Day</v>
      </c>
      <c r="AD372" s="3">
        <v>4</v>
      </c>
      <c r="AE372" s="3">
        <v>711.18</v>
      </c>
      <c r="AF372" s="3">
        <v>0.15</v>
      </c>
      <c r="AG372" s="17">
        <v>0.15</v>
      </c>
      <c r="AH372" s="6" t="str">
        <f t="shared" si="43"/>
        <v>Valid</v>
      </c>
      <c r="AI372" s="3">
        <v>2418.0100000000002</v>
      </c>
      <c r="AJ372" s="3">
        <v>1441.89</v>
      </c>
      <c r="AK372" s="3">
        <v>976.12</v>
      </c>
      <c r="AL372" s="3" t="s">
        <v>137</v>
      </c>
      <c r="AM372" s="6" t="str">
        <f>PROPER(TRIM(SUBSTITUTE(AL372,".","")))</f>
        <v>Pending</v>
      </c>
      <c r="AN372" s="3" t="s">
        <v>125</v>
      </c>
      <c r="AO372" s="8" t="str">
        <f>PROPER(TRIM(SUBSTITUTE(AN372,".","")))</f>
        <v>Returned</v>
      </c>
      <c r="AP372" t="str">
        <f>IF(COUNTIF($A$2:$A$933, A372) &gt; 1, "Duplicate ID", "Unique")</f>
        <v>Unique</v>
      </c>
      <c r="AR372">
        <f t="shared" si="44"/>
        <v>2418.0119999999997</v>
      </c>
      <c r="AS372">
        <f t="shared" si="45"/>
        <v>976.12199999999962</v>
      </c>
      <c r="AT372" s="15">
        <f t="shared" si="46"/>
        <v>0.40368782288921634</v>
      </c>
      <c r="AU372" t="str">
        <f t="shared" si="47"/>
        <v>Invalid</v>
      </c>
      <c r="AV372" s="8" t="str">
        <f t="shared" si="48"/>
        <v>Active</v>
      </c>
    </row>
    <row r="373" spans="1:48">
      <c r="A373" s="3" t="s">
        <v>1535</v>
      </c>
      <c r="B373" s="3" t="s">
        <v>1527</v>
      </c>
      <c r="C373" s="9">
        <f>IFERROR(DATEVALUE(TEXT(B373,"DD/MM/YYYY")), IF(ISNUMBER(B373), B373, ""))</f>
        <v>45602</v>
      </c>
      <c r="D373" s="9" t="str">
        <f>IF(B373="","Missing", IF(AND(ISNUMBER(B373)=FALSE, C373=""),"Invalid - Could Not Parse", IF(AND(ISNUMBER(B373)=FALSE, C373&lt;&gt;""),"Text - Converted to Date", IF(ISNUMBER(B373),"Valid","Check"))))</f>
        <v>Text - Converted to Date</v>
      </c>
      <c r="E373" s="5">
        <f t="shared" si="41"/>
        <v>11</v>
      </c>
      <c r="F373" s="5">
        <f t="shared" si="42"/>
        <v>2024</v>
      </c>
      <c r="G373" s="3" t="s">
        <v>1536</v>
      </c>
      <c r="H373" s="9">
        <f>IFERROR(DATEVALUE(TEXT(G373,"DD/MM/YYYY")), IF(ISNUMBER(G373), G373, ""))</f>
        <v>45608</v>
      </c>
      <c r="I373" s="9" t="str">
        <f>IF(G373="","Missing", IF(AND(ISNUMBER(G373)=FALSE, H373=""),"Invalid - Could Not Parse", IF(AND(ISNUMBER(G373)=FALSE, H373&lt;&gt;""),"Text - Converted to Date", IF(ISNUMBER(G373),"Valid","Check"))))</f>
        <v>Text - Converted to Date</v>
      </c>
      <c r="J373" s="9" t="str">
        <f>IF(OR(C373="", H373=""), "Cannot Check - Date Missing", IF(H373&lt;C373, "Invalid - Ship Before Order", "Valid"))</f>
        <v>Valid</v>
      </c>
      <c r="K373" s="5">
        <f>IF(OR(C373="", H373=""), "", IF(H373&lt;C373, "", H373-C373))</f>
        <v>6</v>
      </c>
      <c r="L373" s="3" t="s">
        <v>1537</v>
      </c>
      <c r="M373" s="3" t="s">
        <v>148</v>
      </c>
      <c r="N373" s="4" t="str">
        <f>TRIM(SUBSTITUTE(M373,"_"," "))</f>
        <v>Rahul Verma</v>
      </c>
      <c r="O373" s="3" t="s">
        <v>41</v>
      </c>
      <c r="P373" s="6" t="str">
        <f>PROPER(TRIM(SUBSTITUTE(O373,".","")))</f>
        <v>Small Business</v>
      </c>
      <c r="Q373" s="3" t="s">
        <v>73</v>
      </c>
      <c r="R373" s="7" t="str">
        <f>PROPER(TRIM(SUBSTITUTE(Q373,"  "," ")))</f>
        <v>West</v>
      </c>
      <c r="S373" s="3" t="s">
        <v>235</v>
      </c>
      <c r="T373" s="6" t="str">
        <f>PROPER(TRIM(SUBSTITUTE(S373,"  "," ")))</f>
        <v>Gujarat</v>
      </c>
      <c r="U373" s="3" t="s">
        <v>236</v>
      </c>
      <c r="V373" s="6" t="str">
        <f>PROPER(TRIM(SUBSTITUTE(U373,"  "," ")))</f>
        <v>Ahmedabad</v>
      </c>
      <c r="W373" s="3" t="s">
        <v>86</v>
      </c>
      <c r="X373" s="6" t="str">
        <f>PROPER(TRIM(SUBSTITUTE(W373,"  "," ")))</f>
        <v>Technology</v>
      </c>
      <c r="Y373" s="3" t="s">
        <v>87</v>
      </c>
      <c r="Z373" s="6" t="str">
        <f>PROPER(TRIM(SUBSTITUTE(Y373,"  "," ")))</f>
        <v>Accessories</v>
      </c>
      <c r="AA373" s="3" t="s">
        <v>1538</v>
      </c>
      <c r="AB373" s="3" t="s">
        <v>67</v>
      </c>
      <c r="AC373" s="6" t="str">
        <f>PROPER(TRIM(SUBSTITUTE(AB373,"  "," ")))</f>
        <v>Standard Class</v>
      </c>
      <c r="AD373" s="3">
        <v>7</v>
      </c>
      <c r="AE373" s="3">
        <v>1719.05</v>
      </c>
      <c r="AF373" s="3">
        <v>0.1</v>
      </c>
      <c r="AG373" s="17">
        <v>0.1</v>
      </c>
      <c r="AH373" s="6" t="str">
        <f t="shared" si="43"/>
        <v>Valid</v>
      </c>
      <c r="AI373" s="3">
        <v>10830.02</v>
      </c>
      <c r="AJ373" s="3">
        <v>7055.31</v>
      </c>
      <c r="AK373" s="3">
        <v>3774.71</v>
      </c>
      <c r="AL373" s="3" t="s">
        <v>34</v>
      </c>
      <c r="AM373" s="6" t="str">
        <f>PROPER(TRIM(SUBSTITUTE(AL373,".","")))</f>
        <v>Paid</v>
      </c>
      <c r="AN373" s="3" t="s">
        <v>35</v>
      </c>
      <c r="AO373" s="8" t="str">
        <f>PROPER(TRIM(SUBSTITUTE(AN373,".","")))</f>
        <v>Completed</v>
      </c>
      <c r="AP373" t="str">
        <f>IF(COUNTIF($A$2:$A$933, A373) &gt; 1, "Duplicate ID", "Unique")</f>
        <v>Unique</v>
      </c>
      <c r="AR373">
        <f t="shared" si="44"/>
        <v>10830.015000000001</v>
      </c>
      <c r="AS373">
        <f t="shared" si="45"/>
        <v>3774.7050000000008</v>
      </c>
      <c r="AT373" s="15">
        <f t="shared" si="46"/>
        <v>0.34854106850267524</v>
      </c>
      <c r="AU373" t="str">
        <f t="shared" si="47"/>
        <v>Clean</v>
      </c>
      <c r="AV373" s="8" t="str">
        <f t="shared" si="48"/>
        <v>Active</v>
      </c>
    </row>
    <row r="374" spans="1:48">
      <c r="A374" s="3" t="s">
        <v>1935</v>
      </c>
      <c r="B374" s="3" t="s">
        <v>1936</v>
      </c>
      <c r="C374" s="9">
        <f>IFERROR(DATEVALUE(TEXT(B374,"DD/MM/YYYY")), IF(ISNUMBER(B374), B374, ""))</f>
        <v>45602</v>
      </c>
      <c r="D374" s="9" t="str">
        <f>IF(B374="","Missing", IF(AND(ISNUMBER(B374)=FALSE, C374=""),"Invalid - Could Not Parse", IF(AND(ISNUMBER(B374)=FALSE, C374&lt;&gt;""),"Text - Converted to Date", IF(ISNUMBER(B374),"Valid","Check"))))</f>
        <v>Text - Converted to Date</v>
      </c>
      <c r="E374" s="5">
        <f t="shared" si="41"/>
        <v>11</v>
      </c>
      <c r="F374" s="5">
        <f t="shared" si="42"/>
        <v>2024</v>
      </c>
      <c r="G374" s="3" t="s">
        <v>484</v>
      </c>
      <c r="H374" s="9">
        <f>IFERROR(DATEVALUE(TEXT(G374,"DD/MM/YYYY")), IF(ISNUMBER(G374), G374, ""))</f>
        <v>45607</v>
      </c>
      <c r="I374" s="9" t="str">
        <f>IF(G374="","Missing", IF(AND(ISNUMBER(G374)=FALSE, H374=""),"Invalid - Could Not Parse", IF(AND(ISNUMBER(G374)=FALSE, H374&lt;&gt;""),"Text - Converted to Date", IF(ISNUMBER(G374),"Valid","Check"))))</f>
        <v>Text - Converted to Date</v>
      </c>
      <c r="J374" s="9" t="str">
        <f>IF(OR(C374="", H374=""), "Cannot Check - Date Missing", IF(H374&lt;C374, "Invalid - Ship Before Order", "Valid"))</f>
        <v>Valid</v>
      </c>
      <c r="K374" s="5">
        <f>IF(OR(C374="", H374=""), "", IF(H374&lt;C374, "", H374-C374))</f>
        <v>5</v>
      </c>
      <c r="L374" s="3" t="s">
        <v>1937</v>
      </c>
      <c r="M374" s="3" t="s">
        <v>53</v>
      </c>
      <c r="N374" s="4" t="str">
        <f>TRIM(SUBSTITUTE(M374,"_"," "))</f>
        <v>Isha Nair</v>
      </c>
      <c r="O374" s="3" t="s">
        <v>26</v>
      </c>
      <c r="P374" s="6" t="str">
        <f>PROPER(TRIM(SUBSTITUTE(O374,".","")))</f>
        <v>Consumer</v>
      </c>
      <c r="Q374" s="3" t="s">
        <v>73</v>
      </c>
      <c r="R374" s="7" t="str">
        <f>PROPER(TRIM(SUBSTITUTE(Q374,"  "," ")))</f>
        <v>West</v>
      </c>
      <c r="S374" s="3" t="s">
        <v>235</v>
      </c>
      <c r="T374" s="6" t="str">
        <f>PROPER(TRIM(SUBSTITUTE(S374,"  "," ")))</f>
        <v>Gujarat</v>
      </c>
      <c r="U374" s="3" t="s">
        <v>236</v>
      </c>
      <c r="V374" s="6" t="str">
        <f>PROPER(TRIM(SUBSTITUTE(U374,"  "," ")))</f>
        <v>Ahmedabad</v>
      </c>
      <c r="W374" s="3" t="s">
        <v>45</v>
      </c>
      <c r="X374" s="6" t="str">
        <f>PROPER(TRIM(SUBSTITUTE(W374,"  "," ")))</f>
        <v>Furniture</v>
      </c>
      <c r="Y374" s="3" t="s">
        <v>65</v>
      </c>
      <c r="Z374" s="6" t="str">
        <f>PROPER(TRIM(SUBSTITUTE(Y374,"  "," ")))</f>
        <v>Furnishings</v>
      </c>
      <c r="AA374" s="3" t="s">
        <v>1938</v>
      </c>
      <c r="AB374" s="3" t="s">
        <v>67</v>
      </c>
      <c r="AC374" s="6" t="str">
        <f>PROPER(TRIM(SUBSTITUTE(AB374,"  "," ")))</f>
        <v>Standard Class</v>
      </c>
      <c r="AD374" s="3">
        <v>4</v>
      </c>
      <c r="AE374" s="3">
        <v>1917.26</v>
      </c>
      <c r="AF374" s="3">
        <v>0.2</v>
      </c>
      <c r="AG374" s="17">
        <v>0.2</v>
      </c>
      <c r="AH374" s="6" t="str">
        <f t="shared" si="43"/>
        <v>Valid</v>
      </c>
      <c r="AI374" s="3">
        <v>6135.23</v>
      </c>
      <c r="AJ374" s="3">
        <v>3439.79</v>
      </c>
      <c r="AK374" s="3">
        <v>2695.44</v>
      </c>
      <c r="AL374" s="3" t="s">
        <v>34</v>
      </c>
      <c r="AM374" s="6" t="str">
        <f>PROPER(TRIM(SUBSTITUTE(AL374,".","")))</f>
        <v>Paid</v>
      </c>
      <c r="AN374" s="3" t="s">
        <v>35</v>
      </c>
      <c r="AO374" s="8" t="str">
        <f>PROPER(TRIM(SUBSTITUTE(AN374,".","")))</f>
        <v>Completed</v>
      </c>
      <c r="AP374" t="str">
        <f>IF(COUNTIF($A$2:$A$933, A374) &gt; 1, "Duplicate ID", "Unique")</f>
        <v>Unique</v>
      </c>
      <c r="AR374">
        <f t="shared" si="44"/>
        <v>6135.232</v>
      </c>
      <c r="AS374">
        <f t="shared" si="45"/>
        <v>2695.442</v>
      </c>
      <c r="AT374" s="15">
        <f t="shared" si="46"/>
        <v>0.43933823529411764</v>
      </c>
      <c r="AU374" t="str">
        <f t="shared" si="47"/>
        <v>Clean</v>
      </c>
      <c r="AV374" s="8" t="str">
        <f t="shared" si="48"/>
        <v>Active</v>
      </c>
    </row>
    <row r="375" spans="1:48">
      <c r="A375" s="3" t="s">
        <v>2456</v>
      </c>
      <c r="B375" s="3" t="s">
        <v>2457</v>
      </c>
      <c r="C375" s="9">
        <f>IFERROR(DATEVALUE(TEXT(B375,"DD/MM/YYYY")), IF(ISNUMBER(B375), B375, ""))</f>
        <v>45605</v>
      </c>
      <c r="D375" s="9" t="str">
        <f>IF(B375="","Missing", IF(AND(ISNUMBER(B375)=FALSE, C375=""),"Invalid - Could Not Parse", IF(AND(ISNUMBER(B375)=FALSE, C375&lt;&gt;""),"Text - Converted to Date", IF(ISNUMBER(B375),"Valid","Check"))))</f>
        <v>Text - Converted to Date</v>
      </c>
      <c r="E375" s="5">
        <f t="shared" si="41"/>
        <v>11</v>
      </c>
      <c r="F375" s="5">
        <f t="shared" si="42"/>
        <v>2024</v>
      </c>
      <c r="G375" s="3" t="s">
        <v>1380</v>
      </c>
      <c r="H375" s="9">
        <f>IFERROR(DATEVALUE(TEXT(G375,"DD/MM/YYYY")), IF(ISNUMBER(G375), G375, ""))</f>
        <v>45610</v>
      </c>
      <c r="I375" s="9" t="str">
        <f>IF(G375="","Missing", IF(AND(ISNUMBER(G375)=FALSE, H375=""),"Invalid - Could Not Parse", IF(AND(ISNUMBER(G375)=FALSE, H375&lt;&gt;""),"Text - Converted to Date", IF(ISNUMBER(G375),"Valid","Check"))))</f>
        <v>Text - Converted to Date</v>
      </c>
      <c r="J375" s="9" t="str">
        <f>IF(OR(C375="", H375=""), "Cannot Check - Date Missing", IF(H375&lt;C375, "Invalid - Ship Before Order", "Valid"))</f>
        <v>Valid</v>
      </c>
      <c r="K375" s="5">
        <f>IF(OR(C375="", H375=""), "", IF(H375&lt;C375, "", H375-C375))</f>
        <v>5</v>
      </c>
      <c r="L375" s="3" t="s">
        <v>2458</v>
      </c>
      <c r="M375" s="3" t="s">
        <v>93</v>
      </c>
      <c r="N375" s="4" t="str">
        <f>TRIM(SUBSTITUTE(M375,"_"," "))</f>
        <v>Neha Gupta</v>
      </c>
      <c r="O375" s="3" t="s">
        <v>108</v>
      </c>
      <c r="P375" s="6" t="str">
        <f>PROPER(TRIM(SUBSTITUTE(O375,".","")))</f>
        <v>Corporate</v>
      </c>
      <c r="Q375" s="3" t="s">
        <v>73</v>
      </c>
      <c r="R375" s="7" t="str">
        <f>PROPER(TRIM(SUBSTITUTE(Q375,"  "," ")))</f>
        <v>West</v>
      </c>
      <c r="S375" s="3" t="s">
        <v>84</v>
      </c>
      <c r="T375" s="6" t="str">
        <f>PROPER(TRIM(SUBSTITUTE(S375,"  "," ")))</f>
        <v>Madhya Pradesh</v>
      </c>
      <c r="U375" s="3" t="s">
        <v>85</v>
      </c>
      <c r="V375" s="6" t="str">
        <f>PROPER(TRIM(SUBSTITUTE(U375,"  "," ")))</f>
        <v>Indore</v>
      </c>
      <c r="W375" s="3" t="s">
        <v>30</v>
      </c>
      <c r="X375" s="6" t="str">
        <f>PROPER(TRIM(SUBSTITUTE(W375,"  "," ")))</f>
        <v>Office Supplies</v>
      </c>
      <c r="Y375" s="3" t="s">
        <v>54</v>
      </c>
      <c r="Z375" s="6" t="str">
        <f>PROPER(TRIM(SUBSTITUTE(Y375,"  "," ")))</f>
        <v>Art</v>
      </c>
      <c r="AA375" s="3" t="s">
        <v>2459</v>
      </c>
      <c r="AB375" s="3" t="s">
        <v>56</v>
      </c>
      <c r="AC375" s="6" t="str">
        <f>PROPER(TRIM(SUBSTITUTE(AB375,"  "," ")))</f>
        <v>First Class</v>
      </c>
      <c r="AD375" s="3">
        <v>9</v>
      </c>
      <c r="AE375" s="3">
        <v>2438.29</v>
      </c>
      <c r="AF375" s="3">
        <v>0.2</v>
      </c>
      <c r="AG375" s="17">
        <v>0.2</v>
      </c>
      <c r="AH375" s="6" t="str">
        <f t="shared" si="43"/>
        <v>Valid</v>
      </c>
      <c r="AI375" s="3">
        <v>17555.689999999999</v>
      </c>
      <c r="AJ375" s="3">
        <v>13293.2</v>
      </c>
      <c r="AK375" s="3">
        <v>4262.49</v>
      </c>
      <c r="AL375" s="3" t="s">
        <v>34</v>
      </c>
      <c r="AM375" s="6" t="str">
        <f>PROPER(TRIM(SUBSTITUTE(AL375,".","")))</f>
        <v>Paid</v>
      </c>
      <c r="AN375" s="3" t="s">
        <v>78</v>
      </c>
      <c r="AO375" s="8" t="str">
        <f>PROPER(TRIM(SUBSTITUTE(AN375,".","")))</f>
        <v>Cancelled</v>
      </c>
      <c r="AP375" t="str">
        <f>IF(COUNTIF($A$2:$A$933, A375) &gt; 1, "Duplicate ID", "Unique")</f>
        <v>Unique</v>
      </c>
      <c r="AR375">
        <f t="shared" si="44"/>
        <v>17555.688000000002</v>
      </c>
      <c r="AS375">
        <f t="shared" si="45"/>
        <v>4262.4880000000012</v>
      </c>
      <c r="AT375" s="15">
        <f t="shared" si="46"/>
        <v>0.24279811762432785</v>
      </c>
      <c r="AU375" t="str">
        <f t="shared" si="47"/>
        <v>Clean</v>
      </c>
      <c r="AV375" s="8" t="str">
        <f t="shared" si="48"/>
        <v>Cancelled</v>
      </c>
    </row>
    <row r="376" spans="1:48">
      <c r="A376" s="3" t="s">
        <v>3242</v>
      </c>
      <c r="B376" s="3" t="s">
        <v>877</v>
      </c>
      <c r="C376" s="9">
        <f>IFERROR(DATEVALUE(TEXT(B376,"DD/MM/YYYY")), IF(ISNUMBER(B376), B376, ""))</f>
        <v>45605</v>
      </c>
      <c r="D376" s="9" t="str">
        <f>IF(B376="","Missing", IF(AND(ISNUMBER(B376)=FALSE, C376=""),"Invalid - Could Not Parse", IF(AND(ISNUMBER(B376)=FALSE, C376&lt;&gt;""),"Text - Converted to Date", IF(ISNUMBER(B376),"Valid","Check"))))</f>
        <v>Text - Converted to Date</v>
      </c>
      <c r="E376" s="5">
        <f t="shared" si="41"/>
        <v>11</v>
      </c>
      <c r="F376" s="5">
        <f t="shared" si="42"/>
        <v>2024</v>
      </c>
      <c r="G376" s="3" t="s">
        <v>3243</v>
      </c>
      <c r="H376" s="9">
        <f>IFERROR(DATEVALUE(TEXT(G376,"DD/MM/YYYY")), IF(ISNUMBER(G376), G376, ""))</f>
        <v>45550</v>
      </c>
      <c r="I376" s="9" t="str">
        <f>IF(G376="","Missing", IF(AND(ISNUMBER(G376)=FALSE, H376=""),"Invalid - Could Not Parse", IF(AND(ISNUMBER(G376)=FALSE, H376&lt;&gt;""),"Text - Converted to Date", IF(ISNUMBER(G376),"Valid","Check"))))</f>
        <v>Text - Converted to Date</v>
      </c>
      <c r="J376" s="9" t="str">
        <f>IF(OR(C376="", H376=""), "Cannot Check - Date Missing", IF(H376&lt;C376, "Invalid - Ship Before Order", "Valid"))</f>
        <v>Invalid - Ship Before Order</v>
      </c>
      <c r="K376" s="5" t="str">
        <f>IF(OR(C376="", H376=""), "", IF(H376&lt;C376, "", H376-C376))</f>
        <v/>
      </c>
      <c r="L376" s="3" t="s">
        <v>3244</v>
      </c>
      <c r="M376" s="3" t="s">
        <v>168</v>
      </c>
      <c r="N376" s="4" t="str">
        <f>TRIM(SUBSTITUTE(M376,"_"," "))</f>
        <v>Sneha Kapoor</v>
      </c>
      <c r="O376" s="3" t="s">
        <v>108</v>
      </c>
      <c r="P376" s="6" t="str">
        <f>PROPER(TRIM(SUBSTITUTE(O376,".","")))</f>
        <v>Corporate</v>
      </c>
      <c r="Q376" s="3" t="s">
        <v>62</v>
      </c>
      <c r="R376" s="7" t="str">
        <f>PROPER(TRIM(SUBSTITUTE(Q376,"  "," ")))</f>
        <v>South</v>
      </c>
      <c r="S376" s="3" t="s">
        <v>339</v>
      </c>
      <c r="T376" s="6" t="str">
        <f>PROPER(TRIM(SUBSTITUTE(S376,"  "," ")))</f>
        <v>Tamil Nadu</v>
      </c>
      <c r="U376" s="3" t="s">
        <v>340</v>
      </c>
      <c r="V376" s="6" t="str">
        <f>PROPER(TRIM(SUBSTITUTE(U376,"  "," ")))</f>
        <v>Chennai</v>
      </c>
      <c r="W376" s="3" t="s">
        <v>30</v>
      </c>
      <c r="X376" s="6" t="str">
        <f>PROPER(TRIM(SUBSTITUTE(W376,"  "," ")))</f>
        <v>Office Supplies</v>
      </c>
      <c r="Y376" s="3" t="s">
        <v>54</v>
      </c>
      <c r="Z376" s="6" t="str">
        <f>PROPER(TRIM(SUBSTITUTE(Y376,"  "," ")))</f>
        <v>Art</v>
      </c>
      <c r="AA376" s="3" t="s">
        <v>3245</v>
      </c>
      <c r="AB376" s="3" t="s">
        <v>67</v>
      </c>
      <c r="AC376" s="6" t="str">
        <f>PROPER(TRIM(SUBSTITUTE(AB376,"  "," ")))</f>
        <v>Standard Class</v>
      </c>
      <c r="AD376" s="3">
        <v>4</v>
      </c>
      <c r="AE376" s="3">
        <v>865.63</v>
      </c>
      <c r="AF376" s="3">
        <v>0</v>
      </c>
      <c r="AG376" s="17">
        <v>0</v>
      </c>
      <c r="AH376" s="6" t="str">
        <f t="shared" si="43"/>
        <v>Valid</v>
      </c>
      <c r="AI376" s="3">
        <v>3462.52</v>
      </c>
      <c r="AJ376" s="3">
        <v>2797.29</v>
      </c>
      <c r="AK376" s="3">
        <v>665.23</v>
      </c>
      <c r="AL376" s="3" t="s">
        <v>200</v>
      </c>
      <c r="AM376" s="6" t="str">
        <f>PROPER(TRIM(SUBSTITUTE(AL376,".","")))</f>
        <v>Failed</v>
      </c>
      <c r="AN376" s="3" t="s">
        <v>125</v>
      </c>
      <c r="AO376" s="8" t="str">
        <f>PROPER(TRIM(SUBSTITUTE(AN376,".","")))</f>
        <v>Returned</v>
      </c>
      <c r="AP376" t="str">
        <f>IF(COUNTIF($A$2:$A$933, A376) &gt; 1, "Duplicate ID", "Unique")</f>
        <v>Unique</v>
      </c>
      <c r="AR376">
        <f t="shared" si="44"/>
        <v>3462.52</v>
      </c>
      <c r="AS376">
        <f t="shared" si="45"/>
        <v>665.23</v>
      </c>
      <c r="AT376" s="15">
        <f t="shared" si="46"/>
        <v>0.19212307798944123</v>
      </c>
      <c r="AU376" t="str">
        <f t="shared" si="47"/>
        <v>Invalid</v>
      </c>
      <c r="AV376" s="8" t="str">
        <f t="shared" si="48"/>
        <v>Active</v>
      </c>
    </row>
    <row r="377" spans="1:48">
      <c r="A377" s="3" t="s">
        <v>3706</v>
      </c>
      <c r="B377" s="3" t="s">
        <v>3707</v>
      </c>
      <c r="C377" s="9">
        <f>IFERROR(DATEVALUE(TEXT(B377,"DD/MM/YYYY")), IF(ISNUMBER(B377), B377, ""))</f>
        <v>45605</v>
      </c>
      <c r="D377" s="9" t="str">
        <f>IF(B377="","Missing", IF(AND(ISNUMBER(B377)=FALSE, C377=""),"Invalid - Could Not Parse", IF(AND(ISNUMBER(B377)=FALSE, C377&lt;&gt;""),"Text - Converted to Date", IF(ISNUMBER(B377),"Valid","Check"))))</f>
        <v>Text - Converted to Date</v>
      </c>
      <c r="E377" s="5">
        <f t="shared" si="41"/>
        <v>11</v>
      </c>
      <c r="F377" s="5">
        <f t="shared" si="42"/>
        <v>2024</v>
      </c>
      <c r="G377" s="3" t="s">
        <v>3708</v>
      </c>
      <c r="H377" s="9">
        <f>IFERROR(DATEVALUE(TEXT(G377,"DD/MM/YYYY")), IF(ISNUMBER(G377), G377, ""))</f>
        <v>45611</v>
      </c>
      <c r="I377" s="9" t="str">
        <f>IF(G377="","Missing", IF(AND(ISNUMBER(G377)=FALSE, H377=""),"Invalid - Could Not Parse", IF(AND(ISNUMBER(G377)=FALSE, H377&lt;&gt;""),"Text - Converted to Date", IF(ISNUMBER(G377),"Valid","Check"))))</f>
        <v>Text - Converted to Date</v>
      </c>
      <c r="J377" s="9" t="str">
        <f>IF(OR(C377="", H377=""), "Cannot Check - Date Missing", IF(H377&lt;C377, "Invalid - Ship Before Order", "Valid"))</f>
        <v>Valid</v>
      </c>
      <c r="K377" s="5">
        <f>IF(OR(C377="", H377=""), "", IF(H377&lt;C377, "", H377-C377))</f>
        <v>6</v>
      </c>
      <c r="L377" s="3" t="s">
        <v>3709</v>
      </c>
      <c r="M377" s="3" t="s">
        <v>53</v>
      </c>
      <c r="N377" s="4" t="str">
        <f>TRIM(SUBSTITUTE(M377,"_"," "))</f>
        <v>Isha Nair</v>
      </c>
      <c r="O377" s="3" t="s">
        <v>115</v>
      </c>
      <c r="P377" s="6" t="str">
        <f>PROPER(TRIM(SUBSTITUTE(O377,".","")))</f>
        <v>Home Office</v>
      </c>
      <c r="Q377" s="3" t="s">
        <v>27</v>
      </c>
      <c r="R377" s="7" t="str">
        <f>PROPER(TRIM(SUBSTITUTE(Q377,"  "," ")))</f>
        <v>North</v>
      </c>
      <c r="S377" s="3" t="s">
        <v>28</v>
      </c>
      <c r="T377" s="6" t="str">
        <f>PROPER(TRIM(SUBSTITUTE(S377,"  "," ")))</f>
        <v>Rajasthan</v>
      </c>
      <c r="U377" s="3" t="s">
        <v>29</v>
      </c>
      <c r="V377" s="6" t="str">
        <f>PROPER(TRIM(SUBSTITUTE(U377,"  "," ")))</f>
        <v>Jaipur</v>
      </c>
      <c r="W377" s="3" t="s">
        <v>86</v>
      </c>
      <c r="X377" s="6" t="str">
        <f>PROPER(TRIM(SUBSTITUTE(W377,"  "," ")))</f>
        <v>Technology</v>
      </c>
      <c r="Y377" s="3" t="s">
        <v>94</v>
      </c>
      <c r="Z377" s="6" t="str">
        <f>PROPER(TRIM(SUBSTITUTE(Y377,"  "," ")))</f>
        <v>Copiers</v>
      </c>
      <c r="AA377" s="3" t="s">
        <v>3710</v>
      </c>
      <c r="AB377" s="3" t="s">
        <v>67</v>
      </c>
      <c r="AC377" s="6" t="str">
        <f>PROPER(TRIM(SUBSTITUTE(AB377,"  "," ")))</f>
        <v>Standard Class</v>
      </c>
      <c r="AD377" s="3">
        <v>1</v>
      </c>
      <c r="AE377" s="3">
        <v>3665.97</v>
      </c>
      <c r="AF377" s="3">
        <v>0.2</v>
      </c>
      <c r="AG377" s="17">
        <v>0.2</v>
      </c>
      <c r="AH377" s="6" t="str">
        <f t="shared" si="43"/>
        <v>Valid</v>
      </c>
      <c r="AI377" s="3">
        <v>2932.78</v>
      </c>
      <c r="AJ377" s="3">
        <v>1900.35</v>
      </c>
      <c r="AK377" s="3">
        <v>1032.43</v>
      </c>
      <c r="AL377" s="3" t="s">
        <v>200</v>
      </c>
      <c r="AM377" s="6" t="str">
        <f>PROPER(TRIM(SUBSTITUTE(AL377,".","")))</f>
        <v>Failed</v>
      </c>
      <c r="AN377" s="3" t="s">
        <v>78</v>
      </c>
      <c r="AO377" s="8" t="str">
        <f>PROPER(TRIM(SUBSTITUTE(AN377,".","")))</f>
        <v>Cancelled</v>
      </c>
      <c r="AP377" t="str">
        <f>IF(COUNTIF($A$2:$A$933, A377) &gt; 1, "Duplicate ID", "Unique")</f>
        <v>Unique</v>
      </c>
      <c r="AR377">
        <f t="shared" si="44"/>
        <v>2932.7759999999998</v>
      </c>
      <c r="AS377">
        <f t="shared" si="45"/>
        <v>1032.4259999999999</v>
      </c>
      <c r="AT377" s="15">
        <f t="shared" si="46"/>
        <v>0.35203029484692999</v>
      </c>
      <c r="AU377" t="str">
        <f t="shared" si="47"/>
        <v>Clean</v>
      </c>
      <c r="AV377" s="8" t="str">
        <f t="shared" si="48"/>
        <v>Cancelled</v>
      </c>
    </row>
    <row r="378" spans="1:48">
      <c r="A378" s="3" t="s">
        <v>292</v>
      </c>
      <c r="B378" s="3" t="s">
        <v>293</v>
      </c>
      <c r="C378" s="9">
        <f>IFERROR(DATEVALUE(TEXT(B378,"DD/MM/YYYY")), IF(ISNUMBER(B378), B378, ""))</f>
        <v>45608</v>
      </c>
      <c r="D378" s="9" t="str">
        <f>IF(B378="","Missing", IF(AND(ISNUMBER(B378)=FALSE, C378=""),"Invalid - Could Not Parse", IF(AND(ISNUMBER(B378)=FALSE, C378&lt;&gt;""),"Text - Converted to Date", IF(ISNUMBER(B378),"Valid","Check"))))</f>
        <v>Text - Converted to Date</v>
      </c>
      <c r="E378" s="5">
        <f t="shared" si="41"/>
        <v>11</v>
      </c>
      <c r="F378" s="5">
        <f t="shared" si="42"/>
        <v>2024</v>
      </c>
      <c r="G378" s="3" t="s">
        <v>294</v>
      </c>
      <c r="H378" s="9">
        <f>IFERROR(DATEVALUE(TEXT(G378,"DD/MM/YYYY")), IF(ISNUMBER(G378), G378, ""))</f>
        <v>45637</v>
      </c>
      <c r="I378" s="9" t="str">
        <f>IF(G378="","Missing", IF(AND(ISNUMBER(G378)=FALSE, H378=""),"Invalid - Could Not Parse", IF(AND(ISNUMBER(G378)=FALSE, H378&lt;&gt;""),"Text - Converted to Date", IF(ISNUMBER(G378),"Valid","Check"))))</f>
        <v>Text - Converted to Date</v>
      </c>
      <c r="J378" s="9" t="str">
        <f>IF(OR(C378="", H378=""), "Cannot Check - Date Missing", IF(H378&lt;C378, "Invalid - Ship Before Order", "Valid"))</f>
        <v>Valid</v>
      </c>
      <c r="K378" s="5">
        <f>IF(OR(C378="", H378=""), "", IF(H378&lt;C378, "", H378-C378))</f>
        <v>29</v>
      </c>
      <c r="L378" s="3" t="s">
        <v>295</v>
      </c>
      <c r="M378" s="3" t="s">
        <v>40</v>
      </c>
      <c r="N378" s="4" t="str">
        <f>TRIM(SUBSTITUTE(M378,"_"," "))</f>
        <v>Mira Das</v>
      </c>
      <c r="O378" s="3" t="s">
        <v>41</v>
      </c>
      <c r="P378" s="6" t="str">
        <f>PROPER(TRIM(SUBSTITUTE(O378,".","")))</f>
        <v>Small Business</v>
      </c>
      <c r="Q378" s="3" t="s">
        <v>73</v>
      </c>
      <c r="R378" s="7" t="str">
        <f>PROPER(TRIM(SUBSTITUTE(Q378,"  "," ")))</f>
        <v>West</v>
      </c>
      <c r="S378" s="3" t="s">
        <v>84</v>
      </c>
      <c r="T378" s="6" t="str">
        <f>PROPER(TRIM(SUBSTITUTE(S378,"  "," ")))</f>
        <v>Madhya Pradesh</v>
      </c>
      <c r="U378" s="3" t="s">
        <v>85</v>
      </c>
      <c r="V378" s="6" t="str">
        <f>PROPER(TRIM(SUBSTITUTE(U378,"  "," ")))</f>
        <v>Indore</v>
      </c>
      <c r="W378" s="3" t="s">
        <v>86</v>
      </c>
      <c r="X378" s="6" t="str">
        <f>PROPER(TRIM(SUBSTITUTE(W378,"  "," ")))</f>
        <v>Technology</v>
      </c>
      <c r="Y378" s="3" t="s">
        <v>94</v>
      </c>
      <c r="Z378" s="6" t="str">
        <f>PROPER(TRIM(SUBSTITUTE(Y378,"  "," ")))</f>
        <v>Copiers</v>
      </c>
      <c r="AA378" s="3" t="s">
        <v>296</v>
      </c>
      <c r="AB378" s="3" t="s">
        <v>56</v>
      </c>
      <c r="AC378" s="6" t="str">
        <f>PROPER(TRIM(SUBSTITUTE(AB378,"  "," ")))</f>
        <v>First Class</v>
      </c>
      <c r="AD378" s="3">
        <v>4</v>
      </c>
      <c r="AE378" s="3">
        <v>1370.92</v>
      </c>
      <c r="AF378" s="3">
        <v>0.1</v>
      </c>
      <c r="AG378" s="17">
        <v>0.1</v>
      </c>
      <c r="AH378" s="6" t="str">
        <f t="shared" si="43"/>
        <v>Valid</v>
      </c>
      <c r="AI378" s="3">
        <v>4935.3100000000004</v>
      </c>
      <c r="AJ378" s="3">
        <v>3374.77</v>
      </c>
      <c r="AK378" s="3">
        <v>1560.54</v>
      </c>
      <c r="AL378" s="3" t="s">
        <v>137</v>
      </c>
      <c r="AM378" s="6" t="str">
        <f>PROPER(TRIM(SUBSTITUTE(AL378,".","")))</f>
        <v>Pending</v>
      </c>
      <c r="AN378" s="3" t="s">
        <v>125</v>
      </c>
      <c r="AO378" s="8" t="str">
        <f>PROPER(TRIM(SUBSTITUTE(AN378,".","")))</f>
        <v>Returned</v>
      </c>
      <c r="AP378" t="str">
        <f>IF(COUNTIF($A$2:$A$933, A378) &gt; 1, "Duplicate ID", "Unique")</f>
        <v>Unique</v>
      </c>
      <c r="AR378">
        <f t="shared" si="44"/>
        <v>4935.3120000000008</v>
      </c>
      <c r="AS378">
        <f t="shared" si="45"/>
        <v>1560.5420000000008</v>
      </c>
      <c r="AT378" s="15">
        <f t="shared" si="46"/>
        <v>0.31619925954022776</v>
      </c>
      <c r="AU378" t="str">
        <f t="shared" si="47"/>
        <v>Clean</v>
      </c>
      <c r="AV378" s="8" t="str">
        <f t="shared" si="48"/>
        <v>Active</v>
      </c>
    </row>
    <row r="379" spans="1:48">
      <c r="A379" s="3" t="s">
        <v>1640</v>
      </c>
      <c r="B379" s="3" t="s">
        <v>1536</v>
      </c>
      <c r="C379" s="9">
        <f>IFERROR(DATEVALUE(TEXT(B379,"DD/MM/YYYY")), IF(ISNUMBER(B379), B379, ""))</f>
        <v>45608</v>
      </c>
      <c r="D379" s="9" t="str">
        <f>IF(B379="","Missing", IF(AND(ISNUMBER(B379)=FALSE, C379=""),"Invalid - Could Not Parse", IF(AND(ISNUMBER(B379)=FALSE, C379&lt;&gt;""),"Text - Converted to Date", IF(ISNUMBER(B379),"Valid","Check"))))</f>
        <v>Text - Converted to Date</v>
      </c>
      <c r="E379" s="5">
        <f t="shared" si="41"/>
        <v>11</v>
      </c>
      <c r="F379" s="5">
        <f t="shared" si="42"/>
        <v>2024</v>
      </c>
      <c r="G379" s="3" t="s">
        <v>1641</v>
      </c>
      <c r="H379" s="9">
        <f>IFERROR(DATEVALUE(TEXT(G379,"DD/MM/YYYY")), IF(ISNUMBER(G379), G379, ""))</f>
        <v>45608</v>
      </c>
      <c r="I379" s="9" t="str">
        <f>IF(G379="","Missing", IF(AND(ISNUMBER(G379)=FALSE, H379=""),"Invalid - Could Not Parse", IF(AND(ISNUMBER(G379)=FALSE, H379&lt;&gt;""),"Text - Converted to Date", IF(ISNUMBER(G379),"Valid","Check"))))</f>
        <v>Text - Converted to Date</v>
      </c>
      <c r="J379" s="9" t="str">
        <f>IF(OR(C379="", H379=""), "Cannot Check - Date Missing", IF(H379&lt;C379, "Invalid - Ship Before Order", "Valid"))</f>
        <v>Valid</v>
      </c>
      <c r="K379" s="5">
        <f>IF(OR(C379="", H379=""), "", IF(H379&lt;C379, "", H379-C379))</f>
        <v>0</v>
      </c>
      <c r="L379" s="3" t="s">
        <v>1642</v>
      </c>
      <c r="M379" s="3" t="s">
        <v>53</v>
      </c>
      <c r="N379" s="4" t="str">
        <f>TRIM(SUBSTITUTE(M379,"_"," "))</f>
        <v>Isha Nair</v>
      </c>
      <c r="O379" s="3" t="s">
        <v>26</v>
      </c>
      <c r="P379" s="6" t="str">
        <f>PROPER(TRIM(SUBSTITUTE(O379,".","")))</f>
        <v>Consumer</v>
      </c>
      <c r="Q379" s="3" t="s">
        <v>27</v>
      </c>
      <c r="R379" s="7" t="str">
        <f>PROPER(TRIM(SUBSTITUTE(Q379,"  "," ")))</f>
        <v>North</v>
      </c>
      <c r="S379" s="3" t="s">
        <v>174</v>
      </c>
      <c r="T379" s="6" t="str">
        <f>PROPER(TRIM(SUBSTITUTE(S379,"  "," ")))</f>
        <v>Uttar Pradesh</v>
      </c>
      <c r="U379" s="3" t="s">
        <v>175</v>
      </c>
      <c r="V379" s="6" t="str">
        <f>PROPER(TRIM(SUBSTITUTE(U379,"  "," ")))</f>
        <v>Noida</v>
      </c>
      <c r="W379" s="3" t="s">
        <v>86</v>
      </c>
      <c r="X379" s="6" t="str">
        <f>PROPER(TRIM(SUBSTITUTE(W379,"  "," ")))</f>
        <v>Technology</v>
      </c>
      <c r="Y379" s="3" t="s">
        <v>223</v>
      </c>
      <c r="Z379" s="6" t="str">
        <f>PROPER(TRIM(SUBSTITUTE(Y379,"  "," ")))</f>
        <v>Phones</v>
      </c>
      <c r="AA379" s="3" t="s">
        <v>1643</v>
      </c>
      <c r="AB379" s="3" t="s">
        <v>33</v>
      </c>
      <c r="AC379" s="6" t="str">
        <f>PROPER(TRIM(SUBSTITUTE(AB379,"  "," ")))</f>
        <v>Second Class</v>
      </c>
      <c r="AD379" s="3">
        <v>6</v>
      </c>
      <c r="AE379" s="3">
        <v>1369.48</v>
      </c>
      <c r="AF379" s="3">
        <v>0.15</v>
      </c>
      <c r="AG379" s="17">
        <v>0.15</v>
      </c>
      <c r="AH379" s="6" t="str">
        <f t="shared" si="43"/>
        <v>Valid</v>
      </c>
      <c r="AI379" s="3">
        <v>6984.35</v>
      </c>
      <c r="AJ379" s="3">
        <v>4023.63</v>
      </c>
      <c r="AK379" s="3">
        <v>2960.72</v>
      </c>
      <c r="AL379" s="3" t="s">
        <v>34</v>
      </c>
      <c r="AM379" s="6" t="str">
        <f>PROPER(TRIM(SUBSTITUTE(AL379,".","")))</f>
        <v>Paid</v>
      </c>
      <c r="AN379" s="3" t="s">
        <v>35</v>
      </c>
      <c r="AO379" s="8" t="str">
        <f>PROPER(TRIM(SUBSTITUTE(AN379,".","")))</f>
        <v>Completed</v>
      </c>
      <c r="AP379" t="str">
        <f>IF(COUNTIF($A$2:$A$933, A379) &gt; 1, "Duplicate ID", "Unique")</f>
        <v>Unique</v>
      </c>
      <c r="AR379">
        <f t="shared" si="44"/>
        <v>6984.3480000000009</v>
      </c>
      <c r="AS379">
        <f t="shared" si="45"/>
        <v>2960.7180000000008</v>
      </c>
      <c r="AT379" s="15">
        <f t="shared" si="46"/>
        <v>0.42390757161584736</v>
      </c>
      <c r="AU379" t="str">
        <f t="shared" si="47"/>
        <v>Clean</v>
      </c>
      <c r="AV379" s="8" t="str">
        <f t="shared" si="48"/>
        <v>Active</v>
      </c>
    </row>
    <row r="380" spans="1:48">
      <c r="A380" s="3" t="s">
        <v>2314</v>
      </c>
      <c r="B380" s="3" t="s">
        <v>2315</v>
      </c>
      <c r="C380" s="9">
        <f>IFERROR(DATEVALUE(TEXT(B380,"DD/MM/YYYY")), IF(ISNUMBER(B380), B380, ""))</f>
        <v>45609</v>
      </c>
      <c r="D380" s="9" t="str">
        <f>IF(B380="","Missing", IF(AND(ISNUMBER(B380)=FALSE, C380=""),"Invalid - Could Not Parse", IF(AND(ISNUMBER(B380)=FALSE, C380&lt;&gt;""),"Text - Converted to Date", IF(ISNUMBER(B380),"Valid","Check"))))</f>
        <v>Text - Converted to Date</v>
      </c>
      <c r="E380" s="5">
        <f t="shared" si="41"/>
        <v>11</v>
      </c>
      <c r="F380" s="5">
        <f t="shared" si="42"/>
        <v>2024</v>
      </c>
      <c r="G380" s="3" t="s">
        <v>445</v>
      </c>
      <c r="H380" s="9">
        <f>IFERROR(DATEVALUE(TEXT(G380,"DD/MM/YYYY")), IF(ISNUMBER(G380), G380, ""))</f>
        <v>45609</v>
      </c>
      <c r="I380" s="9" t="str">
        <f>IF(G380="","Missing", IF(AND(ISNUMBER(G380)=FALSE, H380=""),"Invalid - Could Not Parse", IF(AND(ISNUMBER(G380)=FALSE, H380&lt;&gt;""),"Text - Converted to Date", IF(ISNUMBER(G380),"Valid","Check"))))</f>
        <v>Text - Converted to Date</v>
      </c>
      <c r="J380" s="9" t="str">
        <f>IF(OR(C380="", H380=""), "Cannot Check - Date Missing", IF(H380&lt;C380, "Invalid - Ship Before Order", "Valid"))</f>
        <v>Valid</v>
      </c>
      <c r="K380" s="5">
        <f>IF(OR(C380="", H380=""), "", IF(H380&lt;C380, "", H380-C380))</f>
        <v>0</v>
      </c>
      <c r="L380" s="3" t="s">
        <v>2316</v>
      </c>
      <c r="M380" s="3" t="s">
        <v>142</v>
      </c>
      <c r="N380" s="4" t="str">
        <f>TRIM(SUBSTITUTE(M380,"_"," "))</f>
        <v>Priya Menon</v>
      </c>
      <c r="O380" s="3" t="s">
        <v>26</v>
      </c>
      <c r="P380" s="6" t="str">
        <f>PROPER(TRIM(SUBSTITUTE(O380,".","")))</f>
        <v>Consumer</v>
      </c>
      <c r="Q380" s="3" t="s">
        <v>73</v>
      </c>
      <c r="R380" s="7" t="str">
        <f>PROPER(TRIM(SUBSTITUTE(Q380,"  "," ")))</f>
        <v>West</v>
      </c>
      <c r="S380" s="3" t="s">
        <v>249</v>
      </c>
      <c r="T380" s="6" t="str">
        <f>PROPER(TRIM(SUBSTITUTE(S380,"  "," ")))</f>
        <v>Goa</v>
      </c>
      <c r="U380" s="3" t="s">
        <v>250</v>
      </c>
      <c r="V380" s="6" t="str">
        <f>PROPER(TRIM(SUBSTITUTE(U380,"  "," ")))</f>
        <v>Panaji</v>
      </c>
      <c r="W380" s="3" t="s">
        <v>86</v>
      </c>
      <c r="X380" s="6" t="str">
        <f>PROPER(TRIM(SUBSTITUTE(W380,"  "," ")))</f>
        <v>Technology</v>
      </c>
      <c r="Y380" s="3" t="s">
        <v>94</v>
      </c>
      <c r="Z380" s="6" t="str">
        <f>PROPER(TRIM(SUBSTITUTE(Y380,"  "," ")))</f>
        <v>Copiers</v>
      </c>
      <c r="AA380" s="3" t="s">
        <v>2317</v>
      </c>
      <c r="AB380" s="3" t="s">
        <v>67</v>
      </c>
      <c r="AC380" s="6" t="str">
        <f>PROPER(TRIM(SUBSTITUTE(AB380,"  "," ")))</f>
        <v>Standard Class</v>
      </c>
      <c r="AD380" s="3">
        <v>6</v>
      </c>
      <c r="AE380" s="3">
        <v>191.45</v>
      </c>
      <c r="AF380" s="3">
        <v>0.2</v>
      </c>
      <c r="AG380" s="17">
        <v>0.2</v>
      </c>
      <c r="AH380" s="6" t="str">
        <f t="shared" si="43"/>
        <v>Valid</v>
      </c>
      <c r="AI380" s="3">
        <v>918.96</v>
      </c>
      <c r="AJ380" s="3">
        <v>554.17999999999995</v>
      </c>
      <c r="AK380" s="3">
        <v>364.78</v>
      </c>
      <c r="AL380" s="3" t="s">
        <v>34</v>
      </c>
      <c r="AM380" s="6" t="str">
        <f>PROPER(TRIM(SUBSTITUTE(AL380,".","")))</f>
        <v>Paid</v>
      </c>
      <c r="AN380" s="3" t="s">
        <v>35</v>
      </c>
      <c r="AO380" s="8" t="str">
        <f>PROPER(TRIM(SUBSTITUTE(AN380,".","")))</f>
        <v>Completed</v>
      </c>
      <c r="AP380" t="str">
        <f>IF(COUNTIF($A$2:$A$933, A380) &gt; 1, "Duplicate ID", "Unique")</f>
        <v>Unique</v>
      </c>
      <c r="AR380">
        <f t="shared" si="44"/>
        <v>918.95999999999992</v>
      </c>
      <c r="AS380">
        <f t="shared" si="45"/>
        <v>364.78</v>
      </c>
      <c r="AT380" s="15">
        <f t="shared" si="46"/>
        <v>0.39694872464525116</v>
      </c>
      <c r="AU380" t="str">
        <f t="shared" si="47"/>
        <v>Clean</v>
      </c>
      <c r="AV380" s="8" t="str">
        <f t="shared" si="48"/>
        <v>Active</v>
      </c>
    </row>
    <row r="381" spans="1:48">
      <c r="A381" s="3" t="s">
        <v>1379</v>
      </c>
      <c r="B381" s="3" t="s">
        <v>1380</v>
      </c>
      <c r="C381" s="9">
        <f>IFERROR(DATEVALUE(TEXT(B381,"DD/MM/YYYY")), IF(ISNUMBER(B381), B381, ""))</f>
        <v>45610</v>
      </c>
      <c r="D381" s="9" t="str">
        <f>IF(B381="","Missing", IF(AND(ISNUMBER(B381)=FALSE, C381=""),"Invalid - Could Not Parse", IF(AND(ISNUMBER(B381)=FALSE, C381&lt;&gt;""),"Text - Converted to Date", IF(ISNUMBER(B381),"Valid","Check"))))</f>
        <v>Text - Converted to Date</v>
      </c>
      <c r="E381" s="5">
        <f t="shared" si="41"/>
        <v>11</v>
      </c>
      <c r="F381" s="5">
        <f t="shared" si="42"/>
        <v>2024</v>
      </c>
      <c r="G381" s="3" t="s">
        <v>911</v>
      </c>
      <c r="H381" s="9">
        <f>IFERROR(DATEVALUE(MID(G381,4,2) &amp; "/" &amp; LEFT(G381,2) &amp; "/" &amp; RIGHT(G381,4)), IF(ISNUMBER(G381), G381, IFERROR(DATEVALUE(G381), "")))</f>
        <v>45618</v>
      </c>
      <c r="I381" s="9" t="str">
        <f>IF(G381="","Missing", IF(AND(ISNUMBER(G381)=FALSE, H381=""),"Invalid - Could Not Parse", IF(AND(ISNUMBER(G381)=FALSE, H381&lt;&gt;""),"Text - Converted to Date", IF(ISNUMBER(G381),"Valid","Check"))))</f>
        <v>Text - Converted to Date</v>
      </c>
      <c r="J381" s="9" t="str">
        <f>IF(OR(C381="", H381=""), "Cannot Check - Date Missing", IF(H381&lt;C381, "Invalid - Ship Before Order", "Valid"))</f>
        <v>Valid</v>
      </c>
      <c r="K381" s="5">
        <f>IF(OR(C381="", H381=""), "", IF(H381&lt;C381, "", H381-C381))</f>
        <v>8</v>
      </c>
      <c r="L381" s="3" t="s">
        <v>1381</v>
      </c>
      <c r="M381" s="3" t="s">
        <v>142</v>
      </c>
      <c r="N381" s="4" t="str">
        <f>TRIM(SUBSTITUTE(M381,"_"," "))</f>
        <v>Priya Menon</v>
      </c>
      <c r="O381" s="3" t="s">
        <v>108</v>
      </c>
      <c r="P381" s="6" t="str">
        <f>PROPER(TRIM(SUBSTITUTE(O381,".","")))</f>
        <v>Corporate</v>
      </c>
      <c r="Q381" s="3" t="s">
        <v>42</v>
      </c>
      <c r="R381" s="7" t="str">
        <f>PROPER(TRIM(SUBSTITUTE(Q381,"  "," ")))</f>
        <v>East</v>
      </c>
      <c r="S381" s="3" t="s">
        <v>186</v>
      </c>
      <c r="T381" s="6" t="str">
        <f>PROPER(TRIM(SUBSTITUTE(S381,"  "," ")))</f>
        <v>Bihar</v>
      </c>
      <c r="U381" s="3" t="s">
        <v>187</v>
      </c>
      <c r="V381" s="6" t="str">
        <f>PROPER(TRIM(SUBSTITUTE(U381,"  "," ")))</f>
        <v>Patna</v>
      </c>
      <c r="W381" s="3" t="s">
        <v>45</v>
      </c>
      <c r="X381" s="6" t="str">
        <f>PROPER(TRIM(SUBSTITUTE(W381,"  "," ")))</f>
        <v>Furniture</v>
      </c>
      <c r="Y381" s="3" t="s">
        <v>204</v>
      </c>
      <c r="Z381" s="6" t="str">
        <f>PROPER(TRIM(SUBSTITUTE(Y381,"  "," ")))</f>
        <v>Bookcases</v>
      </c>
      <c r="AA381" s="3" t="s">
        <v>1382</v>
      </c>
      <c r="AB381" s="3" t="s">
        <v>48</v>
      </c>
      <c r="AC381" s="6" t="str">
        <f>PROPER(TRIM(SUBSTITUTE(AB381,"  "," ")))</f>
        <v>Same Day</v>
      </c>
      <c r="AD381" s="3">
        <v>1</v>
      </c>
      <c r="AE381" s="3">
        <v>582.37</v>
      </c>
      <c r="AF381" s="3">
        <v>0.15</v>
      </c>
      <c r="AG381" s="17">
        <v>0.15</v>
      </c>
      <c r="AH381" s="6" t="str">
        <f t="shared" si="43"/>
        <v>Valid</v>
      </c>
      <c r="AI381" s="3">
        <v>495.01</v>
      </c>
      <c r="AJ381" s="3">
        <v>285.13</v>
      </c>
      <c r="AK381" s="3">
        <v>209.88</v>
      </c>
      <c r="AL381" s="3" t="s">
        <v>124</v>
      </c>
      <c r="AM381" s="6" t="str">
        <f>PROPER(TRIM(SUBSTITUTE(AL381,".","")))</f>
        <v>Refunded</v>
      </c>
      <c r="AN381" s="3" t="s">
        <v>78</v>
      </c>
      <c r="AO381" s="8" t="str">
        <f>PROPER(TRIM(SUBSTITUTE(AN381,".","")))</f>
        <v>Cancelled</v>
      </c>
      <c r="AP381" t="str">
        <f>IF(COUNTIF($A$2:$A$933, A381) &gt; 1, "Duplicate ID", "Unique")</f>
        <v>Unique</v>
      </c>
      <c r="AR381">
        <f t="shared" si="44"/>
        <v>495.0145</v>
      </c>
      <c r="AS381">
        <f t="shared" si="45"/>
        <v>209.8845</v>
      </c>
      <c r="AT381" s="15">
        <f t="shared" si="46"/>
        <v>0.42399667080459258</v>
      </c>
      <c r="AU381" t="str">
        <f t="shared" si="47"/>
        <v>Clean</v>
      </c>
      <c r="AV381" s="8" t="str">
        <f t="shared" si="48"/>
        <v>Refund</v>
      </c>
    </row>
    <row r="382" spans="1:48">
      <c r="A382" s="3" t="s">
        <v>2405</v>
      </c>
      <c r="B382" s="3" t="s">
        <v>2406</v>
      </c>
      <c r="C382" s="9">
        <f>IFERROR(DATEVALUE(TEXT(B382,"DD/MM/YYYY")), IF(ISNUMBER(B382), B382, ""))</f>
        <v>45610</v>
      </c>
      <c r="D382" s="9" t="str">
        <f>IF(B382="","Missing", IF(AND(ISNUMBER(B382)=FALSE, C382=""),"Invalid - Could Not Parse", IF(AND(ISNUMBER(B382)=FALSE, C382&lt;&gt;""),"Text - Converted to Date", IF(ISNUMBER(B382),"Valid","Check"))))</f>
        <v>Text - Converted to Date</v>
      </c>
      <c r="E382" s="5">
        <f t="shared" si="41"/>
        <v>11</v>
      </c>
      <c r="F382" s="5">
        <f t="shared" si="42"/>
        <v>2024</v>
      </c>
      <c r="G382" s="3" t="s">
        <v>2407</v>
      </c>
      <c r="H382" s="9">
        <f>IFERROR(DATEVALUE(TEXT(G382,"DD/MM/YYYY")), IF(ISNUMBER(G382), G382, ""))</f>
        <v>45618</v>
      </c>
      <c r="I382" s="9" t="str">
        <f>IF(G382="","Missing", IF(AND(ISNUMBER(G382)=FALSE, H382=""),"Invalid - Could Not Parse", IF(AND(ISNUMBER(G382)=FALSE, H382&lt;&gt;""),"Text - Converted to Date", IF(ISNUMBER(G382),"Valid","Check"))))</f>
        <v>Text - Converted to Date</v>
      </c>
      <c r="J382" s="9" t="str">
        <f>IF(OR(C382="", H382=""), "Cannot Check - Date Missing", IF(H382&lt;C382, "Invalid - Ship Before Order", "Valid"))</f>
        <v>Valid</v>
      </c>
      <c r="K382" s="5">
        <f>IF(OR(C382="", H382=""), "", IF(H382&lt;C382, "", H382-C382))</f>
        <v>8</v>
      </c>
      <c r="L382" s="3" t="s">
        <v>2408</v>
      </c>
      <c r="M382" s="3" t="s">
        <v>53</v>
      </c>
      <c r="N382" s="4" t="str">
        <f>TRIM(SUBSTITUTE(M382,"_"," "))</f>
        <v>Isha Nair</v>
      </c>
      <c r="O382" s="3" t="s">
        <v>26</v>
      </c>
      <c r="P382" s="6" t="str">
        <f>PROPER(TRIM(SUBSTITUTE(O382,".","")))</f>
        <v>Consumer</v>
      </c>
      <c r="Q382" s="3" t="s">
        <v>73</v>
      </c>
      <c r="R382" s="7" t="str">
        <f>PROPER(TRIM(SUBSTITUTE(Q382,"  "," ")))</f>
        <v>West</v>
      </c>
      <c r="S382" s="3" t="s">
        <v>84</v>
      </c>
      <c r="T382" s="6" t="str">
        <f>PROPER(TRIM(SUBSTITUTE(S382,"  "," ")))</f>
        <v>Madhya Pradesh</v>
      </c>
      <c r="U382" s="3" t="s">
        <v>85</v>
      </c>
      <c r="V382" s="6" t="str">
        <f>PROPER(TRIM(SUBSTITUTE(U382,"  "," ")))</f>
        <v>Indore</v>
      </c>
      <c r="W382" s="3" t="s">
        <v>86</v>
      </c>
      <c r="X382" s="6" t="str">
        <f>PROPER(TRIM(SUBSTITUTE(W382,"  "," ")))</f>
        <v>Technology</v>
      </c>
      <c r="Y382" s="3" t="s">
        <v>223</v>
      </c>
      <c r="Z382" s="6" t="str">
        <f>PROPER(TRIM(SUBSTITUTE(Y382,"  "," ")))</f>
        <v>Phones</v>
      </c>
      <c r="AA382" s="3" t="s">
        <v>2409</v>
      </c>
      <c r="AB382" s="3" t="s">
        <v>67</v>
      </c>
      <c r="AC382" s="6" t="str">
        <f>PROPER(TRIM(SUBSTITUTE(AB382,"  "," ")))</f>
        <v>Standard Class</v>
      </c>
      <c r="AD382" s="3">
        <v>3</v>
      </c>
      <c r="AE382" s="3">
        <v>671.68</v>
      </c>
      <c r="AF382" s="3">
        <v>-0.13</v>
      </c>
      <c r="AG382" s="17">
        <v>-0.13</v>
      </c>
      <c r="AH382" s="6" t="str">
        <f t="shared" si="43"/>
        <v>Invalid - Negative</v>
      </c>
      <c r="AI382" s="3">
        <v>1712.78</v>
      </c>
      <c r="AJ382" s="3">
        <v>1569.38</v>
      </c>
      <c r="AK382" s="3">
        <v>360.66</v>
      </c>
      <c r="AL382" s="3" t="s">
        <v>200</v>
      </c>
      <c r="AM382" s="6" t="str">
        <f>PROPER(TRIM(SUBSTITUTE(AL382,".","")))</f>
        <v>Failed</v>
      </c>
      <c r="AN382" s="3" t="s">
        <v>78</v>
      </c>
      <c r="AO382" s="8" t="str">
        <f>PROPER(TRIM(SUBSTITUTE(AN382,".","")))</f>
        <v>Cancelled</v>
      </c>
      <c r="AP382" t="str">
        <f>IF(COUNTIF($A$2:$A$933, A382) &gt; 1, "Duplicate ID", "Unique")</f>
        <v>Unique</v>
      </c>
      <c r="AR382">
        <f t="shared" si="44"/>
        <v>2276.9951999999998</v>
      </c>
      <c r="AS382">
        <f t="shared" si="45"/>
        <v>707.61519999999973</v>
      </c>
      <c r="AT382" s="15">
        <f t="shared" si="46"/>
        <v>0.31076710218800629</v>
      </c>
      <c r="AU382" t="str">
        <f t="shared" si="47"/>
        <v>Invalid</v>
      </c>
      <c r="AV382" s="8" t="str">
        <f t="shared" si="48"/>
        <v>Cancelled</v>
      </c>
    </row>
    <row r="383" spans="1:48">
      <c r="A383" s="3" t="s">
        <v>2493</v>
      </c>
      <c r="B383" s="3" t="s">
        <v>2494</v>
      </c>
      <c r="C383" s="9">
        <f>IFERROR(DATEVALUE(TEXT(B383,"DD/MM/YYYY")), IF(ISNUMBER(B383), B383, ""))</f>
        <v>45614</v>
      </c>
      <c r="D383" s="9" t="str">
        <f>IF(B383="","Missing", IF(AND(ISNUMBER(B383)=FALSE, C383=""),"Invalid - Could Not Parse", IF(AND(ISNUMBER(B383)=FALSE, C383&lt;&gt;""),"Text - Converted to Date", IF(ISNUMBER(B383),"Valid","Check"))))</f>
        <v>Text - Converted to Date</v>
      </c>
      <c r="E383" s="5">
        <f t="shared" si="41"/>
        <v>11</v>
      </c>
      <c r="F383" s="5">
        <f t="shared" si="42"/>
        <v>2024</v>
      </c>
      <c r="G383" s="3" t="s">
        <v>2407</v>
      </c>
      <c r="H383" s="9">
        <f>IFERROR(DATEVALUE(TEXT(G383,"DD/MM/YYYY")), IF(ISNUMBER(G383), G383, ""))</f>
        <v>45618</v>
      </c>
      <c r="I383" s="9" t="str">
        <f>IF(G383="","Missing", IF(AND(ISNUMBER(G383)=FALSE, H383=""),"Invalid - Could Not Parse", IF(AND(ISNUMBER(G383)=FALSE, H383&lt;&gt;""),"Text - Converted to Date", IF(ISNUMBER(G383),"Valid","Check"))))</f>
        <v>Text - Converted to Date</v>
      </c>
      <c r="J383" s="9" t="str">
        <f>IF(OR(C383="", H383=""), "Cannot Check - Date Missing", IF(H383&lt;C383, "Invalid - Ship Before Order", "Valid"))</f>
        <v>Valid</v>
      </c>
      <c r="K383" s="5">
        <f>IF(OR(C383="", H383=""), "", IF(H383&lt;C383, "", H383-C383))</f>
        <v>4</v>
      </c>
      <c r="L383" s="3" t="s">
        <v>2495</v>
      </c>
      <c r="M383" s="3" t="s">
        <v>25</v>
      </c>
      <c r="N383" s="4" t="str">
        <f>TRIM(SUBSTITUTE(M383,"_"," "))</f>
        <v>Karan Malhotra</v>
      </c>
      <c r="O383" s="3" t="s">
        <v>115</v>
      </c>
      <c r="P383" s="6" t="str">
        <f>PROPER(TRIM(SUBSTITUTE(O383,".","")))</f>
        <v>Home Office</v>
      </c>
      <c r="Q383" s="3" t="s">
        <v>62</v>
      </c>
      <c r="R383" s="7" t="str">
        <f>PROPER(TRIM(SUBSTITUTE(Q383,"  "," ")))</f>
        <v>South</v>
      </c>
      <c r="S383" s="3" t="s">
        <v>242</v>
      </c>
      <c r="T383" s="6" t="str">
        <f>PROPER(TRIM(SUBSTITUTE(S383,"  "," ")))</f>
        <v>Kerala</v>
      </c>
      <c r="U383" s="3" t="s">
        <v>243</v>
      </c>
      <c r="V383" s="6" t="str">
        <f>PROPER(TRIM(SUBSTITUTE(U383,"  "," ")))</f>
        <v>Kochi</v>
      </c>
      <c r="W383" s="3" t="s">
        <v>86</v>
      </c>
      <c r="X383" s="6" t="str">
        <f>PROPER(TRIM(SUBSTITUTE(W383,"  "," ")))</f>
        <v>Technology</v>
      </c>
      <c r="Y383" s="3" t="s">
        <v>87</v>
      </c>
      <c r="Z383" s="6" t="str">
        <f>PROPER(TRIM(SUBSTITUTE(Y383,"  "," ")))</f>
        <v>Accessories</v>
      </c>
      <c r="AA383" s="3" t="s">
        <v>2496</v>
      </c>
      <c r="AB383" s="3" t="s">
        <v>67</v>
      </c>
      <c r="AC383" s="6" t="str">
        <f>PROPER(TRIM(SUBSTITUTE(AB383,"  "," ")))</f>
        <v>Standard Class</v>
      </c>
      <c r="AD383" s="3">
        <v>6</v>
      </c>
      <c r="AE383" s="3">
        <v>3872.94</v>
      </c>
      <c r="AF383" s="3">
        <v>0.1</v>
      </c>
      <c r="AG383" s="17">
        <v>0.1</v>
      </c>
      <c r="AH383" s="6" t="str">
        <f t="shared" si="43"/>
        <v>Valid</v>
      </c>
      <c r="AI383" s="3">
        <v>20913.88</v>
      </c>
      <c r="AJ383" s="3">
        <v>11684.68</v>
      </c>
      <c r="AK383" s="3">
        <v>9229.2000000000007</v>
      </c>
      <c r="AL383" s="3" t="s">
        <v>34</v>
      </c>
      <c r="AM383" s="6" t="str">
        <f>PROPER(TRIM(SUBSTITUTE(AL383,".","")))</f>
        <v>Paid</v>
      </c>
      <c r="AN383" s="3" t="s">
        <v>35</v>
      </c>
      <c r="AO383" s="8" t="str">
        <f>PROPER(TRIM(SUBSTITUTE(AN383,".","")))</f>
        <v>Completed</v>
      </c>
      <c r="AP383" t="str">
        <f>IF(COUNTIF($A$2:$A$933, A383) &gt; 1, "Duplicate ID", "Unique")</f>
        <v>Unique</v>
      </c>
      <c r="AR383">
        <f t="shared" si="44"/>
        <v>20913.876</v>
      </c>
      <c r="AS383">
        <f t="shared" si="45"/>
        <v>9229.1959999999999</v>
      </c>
      <c r="AT383" s="15">
        <f t="shared" si="46"/>
        <v>0.44129533903710627</v>
      </c>
      <c r="AU383" t="str">
        <f t="shared" si="47"/>
        <v>Clean</v>
      </c>
      <c r="AV383" s="8" t="str">
        <f t="shared" si="48"/>
        <v>Active</v>
      </c>
    </row>
    <row r="384" spans="1:48">
      <c r="A384" s="3" t="s">
        <v>3959</v>
      </c>
      <c r="B384" s="3" t="s">
        <v>3960</v>
      </c>
      <c r="C384" s="9">
        <f>IFERROR(DATEVALUE(TEXT(B384,"DD/MM/YYYY")), IF(ISNUMBER(B384), B384, ""))</f>
        <v>45617</v>
      </c>
      <c r="D384" s="9" t="str">
        <f>IF(B384="","Missing", IF(AND(ISNUMBER(B384)=FALSE, C384=""),"Invalid - Could Not Parse", IF(AND(ISNUMBER(B384)=FALSE, C384&lt;&gt;""),"Text - Converted to Date", IF(ISNUMBER(B384),"Valid","Check"))))</f>
        <v>Text - Converted to Date</v>
      </c>
      <c r="E384" s="5">
        <f t="shared" si="41"/>
        <v>11</v>
      </c>
      <c r="F384" s="5">
        <f t="shared" si="42"/>
        <v>2024</v>
      </c>
      <c r="G384" s="3" t="s">
        <v>3961</v>
      </c>
      <c r="H384" s="9">
        <f>IFERROR(DATEVALUE(TEXT(G384,"DD/MM/YYYY")), IF(ISNUMBER(G384), G384, ""))</f>
        <v>45618</v>
      </c>
      <c r="I384" s="9" t="str">
        <f>IF(G384="","Missing", IF(AND(ISNUMBER(G384)=FALSE, H384=""),"Invalid - Could Not Parse", IF(AND(ISNUMBER(G384)=FALSE, H384&lt;&gt;""),"Text - Converted to Date", IF(ISNUMBER(G384),"Valid","Check"))))</f>
        <v>Text - Converted to Date</v>
      </c>
      <c r="J384" s="9" t="str">
        <f>IF(OR(C384="", H384=""), "Cannot Check - Date Missing", IF(H384&lt;C384, "Invalid - Ship Before Order", "Valid"))</f>
        <v>Valid</v>
      </c>
      <c r="K384" s="5">
        <f>IF(OR(C384="", H384=""), "", IF(H384&lt;C384, "", H384-C384))</f>
        <v>1</v>
      </c>
      <c r="L384" s="3" t="s">
        <v>3962</v>
      </c>
      <c r="M384" s="3" t="s">
        <v>148</v>
      </c>
      <c r="N384" s="4" t="str">
        <f>TRIM(SUBSTITUTE(M384,"_"," "))</f>
        <v>Rahul Verma</v>
      </c>
      <c r="O384" s="3" t="s">
        <v>115</v>
      </c>
      <c r="P384" s="6" t="str">
        <f>PROPER(TRIM(SUBSTITUTE(O384,".","")))</f>
        <v>Home Office</v>
      </c>
      <c r="Q384" s="3" t="s">
        <v>62</v>
      </c>
      <c r="R384" s="7" t="str">
        <f>PROPER(TRIM(SUBSTITUTE(Q384,"  "," ")))</f>
        <v>South</v>
      </c>
      <c r="S384" s="3" t="s">
        <v>100</v>
      </c>
      <c r="T384" s="6" t="str">
        <f>PROPER(TRIM(SUBSTITUTE(S384,"  "," ")))</f>
        <v>Andhra Pradesh</v>
      </c>
      <c r="U384" s="3" t="s">
        <v>101</v>
      </c>
      <c r="V384" s="6" t="str">
        <f>PROPER(TRIM(SUBSTITUTE(U384,"  "," ")))</f>
        <v>Vijayawada</v>
      </c>
      <c r="W384" s="3" t="s">
        <v>86</v>
      </c>
      <c r="X384" s="6" t="str">
        <f>PROPER(TRIM(SUBSTITUTE(W384,"  "," ")))</f>
        <v>Technology</v>
      </c>
      <c r="Y384" s="3" t="s">
        <v>87</v>
      </c>
      <c r="Z384" s="6" t="str">
        <f>PROPER(TRIM(SUBSTITUTE(Y384,"  "," ")))</f>
        <v>Accessories</v>
      </c>
      <c r="AA384" s="3" t="s">
        <v>3963</v>
      </c>
      <c r="AB384" s="3" t="s">
        <v>48</v>
      </c>
      <c r="AC384" s="6" t="str">
        <f>PROPER(TRIM(SUBSTITUTE(AB384,"  "," ")))</f>
        <v>Same Day</v>
      </c>
      <c r="AD384" s="3">
        <v>6</v>
      </c>
      <c r="AE384" s="3">
        <v>1043.49</v>
      </c>
      <c r="AF384" s="3">
        <v>0.25</v>
      </c>
      <c r="AG384" s="17">
        <v>0.25</v>
      </c>
      <c r="AH384" s="6" t="str">
        <f t="shared" si="43"/>
        <v>Valid</v>
      </c>
      <c r="AI384" s="3">
        <v>4695.7</v>
      </c>
      <c r="AJ384" s="3">
        <v>3871.69</v>
      </c>
      <c r="AK384" s="3">
        <v>824.01</v>
      </c>
      <c r="AL384" s="3" t="s">
        <v>200</v>
      </c>
      <c r="AM384" s="6" t="str">
        <f>PROPER(TRIM(SUBSTITUTE(AL384,".","")))</f>
        <v>Failed</v>
      </c>
      <c r="AN384" s="3" t="s">
        <v>78</v>
      </c>
      <c r="AO384" s="8" t="str">
        <f>PROPER(TRIM(SUBSTITUTE(AN384,".","")))</f>
        <v>Cancelled</v>
      </c>
      <c r="AP384" t="str">
        <f>IF(COUNTIF($A$2:$A$933, A384) &gt; 1, "Duplicate ID", "Unique")</f>
        <v>Unique</v>
      </c>
      <c r="AR384">
        <f t="shared" si="44"/>
        <v>4695.7049999999999</v>
      </c>
      <c r="AS384">
        <f t="shared" si="45"/>
        <v>824.01499999999987</v>
      </c>
      <c r="AT384" s="15">
        <f t="shared" si="46"/>
        <v>0.17548270174553127</v>
      </c>
      <c r="AU384" t="str">
        <f t="shared" si="47"/>
        <v>Clean</v>
      </c>
      <c r="AV384" s="8" t="str">
        <f t="shared" si="48"/>
        <v>Cancelled</v>
      </c>
    </row>
    <row r="385" spans="1:48">
      <c r="A385" s="3" t="s">
        <v>257</v>
      </c>
      <c r="B385" s="3" t="s">
        <v>258</v>
      </c>
      <c r="C385" s="9">
        <f>IFERROR(DATEVALUE(TEXT(B385,"DD/MM/YYYY")), IF(ISNUMBER(B385), B385, ""))</f>
        <v>45618</v>
      </c>
      <c r="D385" s="9" t="str">
        <f>IF(B385="","Missing", IF(AND(ISNUMBER(B385)=FALSE, C385=""),"Invalid - Could Not Parse", IF(AND(ISNUMBER(B385)=FALSE, C385&lt;&gt;""),"Text - Converted to Date", IF(ISNUMBER(B385),"Valid","Check"))))</f>
        <v>Text - Converted to Date</v>
      </c>
      <c r="E385" s="5">
        <f t="shared" si="41"/>
        <v>11</v>
      </c>
      <c r="F385" s="5">
        <f t="shared" si="42"/>
        <v>2024</v>
      </c>
      <c r="G385" s="3" t="s">
        <v>259</v>
      </c>
      <c r="H385" s="9">
        <f>IFERROR(DATEVALUE(TEXT(G385,"DD/MM/YYYY")), IF(ISNUMBER(G385), G385, ""))</f>
        <v>45622</v>
      </c>
      <c r="I385" s="9" t="str">
        <f>IF(G385="","Missing", IF(AND(ISNUMBER(G385)=FALSE, H385=""),"Invalid - Could Not Parse", IF(AND(ISNUMBER(G385)=FALSE, H385&lt;&gt;""),"Text - Converted to Date", IF(ISNUMBER(G385),"Valid","Check"))))</f>
        <v>Text - Converted to Date</v>
      </c>
      <c r="J385" s="9" t="str">
        <f>IF(OR(C385="", H385=""), "Cannot Check - Date Missing", IF(H385&lt;C385, "Invalid - Ship Before Order", "Valid"))</f>
        <v>Valid</v>
      </c>
      <c r="K385" s="5">
        <f>IF(OR(C385="", H385=""), "", IF(H385&lt;C385, "", H385-C385))</f>
        <v>4</v>
      </c>
      <c r="L385" s="3" t="s">
        <v>260</v>
      </c>
      <c r="M385" s="3" t="s">
        <v>162</v>
      </c>
      <c r="N385" s="4" t="str">
        <f>TRIM(SUBSTITUTE(M385,"_"," "))</f>
        <v>Aarav Sharma</v>
      </c>
      <c r="O385" s="3" t="s">
        <v>108</v>
      </c>
      <c r="P385" s="6" t="str">
        <f>PROPER(TRIM(SUBSTITUTE(O385,".","")))</f>
        <v>Corporate</v>
      </c>
      <c r="Q385" s="3" t="s">
        <v>62</v>
      </c>
      <c r="R385" s="7" t="str">
        <f>PROPER(TRIM(SUBSTITUTE(Q385,"  "," ")))</f>
        <v>South</v>
      </c>
      <c r="S385" s="3" t="s">
        <v>100</v>
      </c>
      <c r="T385" s="6" t="str">
        <f>PROPER(TRIM(SUBSTITUTE(S385,"  "," ")))</f>
        <v>Andhra Pradesh</v>
      </c>
      <c r="U385" s="3" t="s">
        <v>101</v>
      </c>
      <c r="V385" s="6" t="str">
        <f>PROPER(TRIM(SUBSTITUTE(U385,"  "," ")))</f>
        <v>Vijayawada</v>
      </c>
      <c r="W385" s="3" t="s">
        <v>86</v>
      </c>
      <c r="X385" s="6" t="str">
        <f>PROPER(TRIM(SUBSTITUTE(W385,"  "," ")))</f>
        <v>Technology</v>
      </c>
      <c r="Y385" s="3" t="s">
        <v>223</v>
      </c>
      <c r="Z385" s="6" t="str">
        <f>PROPER(TRIM(SUBSTITUTE(Y385,"  "," ")))</f>
        <v>Phones</v>
      </c>
      <c r="AA385" s="3" t="s">
        <v>261</v>
      </c>
      <c r="AB385" s="3" t="s">
        <v>33</v>
      </c>
      <c r="AC385" s="6" t="str">
        <f>PROPER(TRIM(SUBSTITUTE(AB385,"  "," ")))</f>
        <v>Second Class</v>
      </c>
      <c r="AD385" s="3">
        <v>3</v>
      </c>
      <c r="AE385" s="3">
        <v>4001.25</v>
      </c>
      <c r="AF385" s="3"/>
      <c r="AG385" s="18">
        <f>IF(ISBLANK(AF385), 0, AF385)</f>
        <v>0</v>
      </c>
      <c r="AH385" s="6" t="str">
        <f t="shared" si="43"/>
        <v>Missing</v>
      </c>
      <c r="AI385" s="3">
        <v>9002.81</v>
      </c>
      <c r="AJ385" s="3">
        <v>7529.92</v>
      </c>
      <c r="AK385" s="3">
        <v>1472.89</v>
      </c>
      <c r="AL385" s="3" t="s">
        <v>34</v>
      </c>
      <c r="AM385" s="6" t="str">
        <f>PROPER(TRIM(SUBSTITUTE(AL385,".","")))</f>
        <v>Paid</v>
      </c>
      <c r="AN385" s="3" t="s">
        <v>35</v>
      </c>
      <c r="AO385" s="8" t="str">
        <f>PROPER(TRIM(SUBSTITUTE(AN385,".","")))</f>
        <v>Completed</v>
      </c>
      <c r="AP385" t="str">
        <f>IF(COUNTIF($A$2:$A$933, A385) &gt; 1, "Duplicate ID", "Unique")</f>
        <v>Unique</v>
      </c>
      <c r="AR385">
        <f t="shared" si="44"/>
        <v>12003.75</v>
      </c>
      <c r="AS385">
        <f t="shared" si="45"/>
        <v>4473.83</v>
      </c>
      <c r="AT385" s="15">
        <f t="shared" si="46"/>
        <v>0.37270269707383108</v>
      </c>
      <c r="AU385" t="str">
        <f t="shared" si="47"/>
        <v>Warning</v>
      </c>
      <c r="AV385" s="8" t="str">
        <f t="shared" si="48"/>
        <v>Active</v>
      </c>
    </row>
    <row r="386" spans="1:48">
      <c r="A386" s="3" t="s">
        <v>219</v>
      </c>
      <c r="B386" s="3" t="s">
        <v>220</v>
      </c>
      <c r="C386" s="9">
        <f>IFERROR(DATEVALUE(TEXT(B386,"DD/MM/YYYY")), IF(ISNUMBER(B386), B386, ""))</f>
        <v>45619</v>
      </c>
      <c r="D386" s="9" t="str">
        <f>IF(B386="","Missing", IF(AND(ISNUMBER(B386)=FALSE, C386=""),"Invalid - Could Not Parse", IF(AND(ISNUMBER(B386)=FALSE, C386&lt;&gt;""),"Text - Converted to Date", IF(ISNUMBER(B386),"Valid","Check"))))</f>
        <v>Text - Converted to Date</v>
      </c>
      <c r="E386" s="5">
        <f t="shared" si="41"/>
        <v>11</v>
      </c>
      <c r="F386" s="5">
        <f t="shared" si="42"/>
        <v>2024</v>
      </c>
      <c r="G386" s="3" t="s">
        <v>221</v>
      </c>
      <c r="H386" s="9">
        <f>IFERROR(DATEVALUE(TEXT(G386,"DD/MM/YYYY")), IF(ISNUMBER(G386), G386, ""))</f>
        <v>45619</v>
      </c>
      <c r="I386" s="9" t="str">
        <f>IF(G386="","Missing", IF(AND(ISNUMBER(G386)=FALSE, H386=""),"Invalid - Could Not Parse", IF(AND(ISNUMBER(G386)=FALSE, H386&lt;&gt;""),"Text - Converted to Date", IF(ISNUMBER(G386),"Valid","Check"))))</f>
        <v>Text - Converted to Date</v>
      </c>
      <c r="J386" s="9" t="str">
        <f>IF(OR(C386="", H386=""), "Cannot Check - Date Missing", IF(H386&lt;C386, "Invalid - Ship Before Order", "Valid"))</f>
        <v>Valid</v>
      </c>
      <c r="K386" s="5">
        <f>IF(OR(C386="", H386=""), "", IF(H386&lt;C386, "", H386-C386))</f>
        <v>0</v>
      </c>
      <c r="L386" s="3" t="s">
        <v>222</v>
      </c>
      <c r="M386" s="3" t="s">
        <v>210</v>
      </c>
      <c r="N386" s="4" t="str">
        <f>TRIM(SUBSTITUTE(M386,"_"," "))</f>
        <v>Diya Patel</v>
      </c>
      <c r="O386" s="3" t="s">
        <v>108</v>
      </c>
      <c r="P386" s="6" t="str">
        <f>PROPER(TRIM(SUBSTITUTE(O386,".","")))</f>
        <v>Corporate</v>
      </c>
      <c r="Q386" s="3" t="s">
        <v>27</v>
      </c>
      <c r="R386" s="7" t="str">
        <f>PROPER(TRIM(SUBSTITUTE(Q386,"  "," ")))</f>
        <v>North</v>
      </c>
      <c r="S386" s="3" t="s">
        <v>174</v>
      </c>
      <c r="T386" s="6" t="str">
        <f>PROPER(TRIM(SUBSTITUTE(S386,"  "," ")))</f>
        <v>Uttar Pradesh</v>
      </c>
      <c r="U386" s="3" t="s">
        <v>175</v>
      </c>
      <c r="V386" s="6" t="str">
        <f>PROPER(TRIM(SUBSTITUTE(U386,"  "," ")))</f>
        <v>Noida</v>
      </c>
      <c r="W386" s="3" t="s">
        <v>86</v>
      </c>
      <c r="X386" s="6" t="str">
        <f>PROPER(TRIM(SUBSTITUTE(W386,"  "," ")))</f>
        <v>Technology</v>
      </c>
      <c r="Y386" s="3" t="s">
        <v>223</v>
      </c>
      <c r="Z386" s="6" t="str">
        <f>PROPER(TRIM(SUBSTITUTE(Y386,"  "," ")))</f>
        <v>Phones</v>
      </c>
      <c r="AA386" s="3" t="s">
        <v>224</v>
      </c>
      <c r="AB386" s="3" t="s">
        <v>67</v>
      </c>
      <c r="AC386" s="6" t="str">
        <f>PROPER(TRIM(SUBSTITUTE(AB386,"  "," ")))</f>
        <v>Standard Class</v>
      </c>
      <c r="AD386" s="3">
        <v>4</v>
      </c>
      <c r="AE386" s="3">
        <v>716.13</v>
      </c>
      <c r="AF386" s="3">
        <v>0.1</v>
      </c>
      <c r="AG386" s="17">
        <v>0.1</v>
      </c>
      <c r="AH386" s="6" t="str">
        <f t="shared" si="43"/>
        <v>Valid</v>
      </c>
      <c r="AI386" s="3">
        <v>2578.0700000000002</v>
      </c>
      <c r="AJ386" s="3">
        <v>1527.55</v>
      </c>
      <c r="AK386" s="3">
        <v>1050.52</v>
      </c>
      <c r="AL386" s="3" t="s">
        <v>34</v>
      </c>
      <c r="AM386" s="6" t="str">
        <f>PROPER(TRIM(SUBSTITUTE(AL386,".","")))</f>
        <v>Paid</v>
      </c>
      <c r="AN386" s="3" t="s">
        <v>125</v>
      </c>
      <c r="AO386" s="8" t="str">
        <f>PROPER(TRIM(SUBSTITUTE(AN386,".","")))</f>
        <v>Returned</v>
      </c>
      <c r="AP386" t="str">
        <f>IF(COUNTIF($A$2:$A$933, A386) &gt; 1, "Duplicate ID", "Unique")</f>
        <v>Unique</v>
      </c>
      <c r="AR386">
        <f t="shared" si="44"/>
        <v>2578.0680000000002</v>
      </c>
      <c r="AS386">
        <f t="shared" si="45"/>
        <v>1050.5180000000003</v>
      </c>
      <c r="AT386" s="15">
        <f t="shared" si="46"/>
        <v>0.40748265755596835</v>
      </c>
      <c r="AU386" t="str">
        <f t="shared" si="47"/>
        <v>Clean</v>
      </c>
      <c r="AV386" s="8" t="str">
        <f t="shared" si="48"/>
        <v>Active</v>
      </c>
    </row>
    <row r="387" spans="1:48">
      <c r="A387" s="3" t="s">
        <v>3193</v>
      </c>
      <c r="B387" s="3" t="s">
        <v>3194</v>
      </c>
      <c r="C387" s="9">
        <f>IFERROR(DATEVALUE(TEXT(B387,"DD/MM/YYYY")), IF(ISNUMBER(B387), B387, ""))</f>
        <v>45620</v>
      </c>
      <c r="D387" s="9" t="str">
        <f>IF(B387="","Missing", IF(AND(ISNUMBER(B387)=FALSE, C387=""),"Invalid - Could Not Parse", IF(AND(ISNUMBER(B387)=FALSE, C387&lt;&gt;""),"Text - Converted to Date", IF(ISNUMBER(B387),"Valid","Check"))))</f>
        <v>Text - Converted to Date</v>
      </c>
      <c r="E387" s="5">
        <f t="shared" ref="E387:E450" si="49">IFERROR(MONTH(C387), "")</f>
        <v>11</v>
      </c>
      <c r="F387" s="5">
        <f t="shared" ref="F387:F450" si="50">IFERROR(YEAR(C387), "")</f>
        <v>2024</v>
      </c>
      <c r="G387" s="3" t="s">
        <v>3195</v>
      </c>
      <c r="H387" s="9">
        <f>IFERROR(DATEVALUE(TEXT(G387,"DD/MM/YYYY")), IF(ISNUMBER(G387), G387, ""))</f>
        <v>45303</v>
      </c>
      <c r="I387" s="9" t="str">
        <f>IF(G387="","Missing", IF(AND(ISNUMBER(G387)=FALSE, H387=""),"Invalid - Could Not Parse", IF(AND(ISNUMBER(G387)=FALSE, H387&lt;&gt;""),"Text - Converted to Date", IF(ISNUMBER(G387),"Valid","Check"))))</f>
        <v>Text - Converted to Date</v>
      </c>
      <c r="J387" s="9" t="str">
        <f>IF(OR(C387="", H387=""), "Cannot Check - Date Missing", IF(H387&lt;C387, "Invalid - Ship Before Order", "Valid"))</f>
        <v>Invalid - Ship Before Order</v>
      </c>
      <c r="K387" s="5" t="str">
        <f>IF(OR(C387="", H387=""), "", IF(H387&lt;C387, "", H387-C387))</f>
        <v/>
      </c>
      <c r="L387" s="3" t="s">
        <v>3196</v>
      </c>
      <c r="M387" s="3" t="s">
        <v>366</v>
      </c>
      <c r="N387" s="4" t="str">
        <f>TRIM(SUBSTITUTE(M387,"_"," "))</f>
        <v>Kabir Singh</v>
      </c>
      <c r="O387" s="3" t="s">
        <v>108</v>
      </c>
      <c r="P387" s="6" t="str">
        <f>PROPER(TRIM(SUBSTITUTE(O387,".","")))</f>
        <v>Corporate</v>
      </c>
      <c r="Q387" s="3" t="s">
        <v>62</v>
      </c>
      <c r="R387" s="7" t="str">
        <f>PROPER(TRIM(SUBSTITUTE(Q387,"  "," ")))</f>
        <v>South</v>
      </c>
      <c r="S387" s="3" t="s">
        <v>229</v>
      </c>
      <c r="T387" s="6" t="str">
        <f>PROPER(TRIM(SUBSTITUTE(S387,"  "," ")))</f>
        <v>Karnataka</v>
      </c>
      <c r="U387" s="3" t="s">
        <v>230</v>
      </c>
      <c r="V387" s="6" t="str">
        <f>PROPER(TRIM(SUBSTITUTE(U387,"  "," ")))</f>
        <v>Bengaluru</v>
      </c>
      <c r="W387" s="3" t="s">
        <v>45</v>
      </c>
      <c r="X387" s="6" t="str">
        <f>PROPER(TRIM(SUBSTITUTE(W387,"  "," ")))</f>
        <v>Furniture</v>
      </c>
      <c r="Y387" s="3" t="s">
        <v>46</v>
      </c>
      <c r="Z387" s="6" t="str">
        <f>PROPER(TRIM(SUBSTITUTE(Y387,"  "," ")))</f>
        <v>Tables</v>
      </c>
      <c r="AA387" s="3" t="s">
        <v>3197</v>
      </c>
      <c r="AB387" s="3" t="s">
        <v>33</v>
      </c>
      <c r="AC387" s="6" t="str">
        <f>PROPER(TRIM(SUBSTITUTE(AB387,"  "," ")))</f>
        <v>Second Class</v>
      </c>
      <c r="AD387" s="3">
        <v>9</v>
      </c>
      <c r="AE387" s="3">
        <v>2763.61</v>
      </c>
      <c r="AF387" s="3">
        <v>0.15</v>
      </c>
      <c r="AG387" s="17">
        <v>0.15</v>
      </c>
      <c r="AH387" s="6" t="str">
        <f t="shared" ref="AH387:AH450" si="51">IF(ISBLANK(AF387), "Missing", IF(AF387 &lt; 0, "Invalid - Negative", IF(AF387 &gt; 0.5, "Invalid - Above Range", "Valid")))</f>
        <v>Valid</v>
      </c>
      <c r="AI387" s="3">
        <v>21141.62</v>
      </c>
      <c r="AJ387" s="3">
        <v>11676.33</v>
      </c>
      <c r="AK387" s="3">
        <v>9465.2900000000009</v>
      </c>
      <c r="AL387" s="3" t="s">
        <v>34</v>
      </c>
      <c r="AM387" s="6" t="str">
        <f>PROPER(TRIM(SUBSTITUTE(AL387,".","")))</f>
        <v>Paid</v>
      </c>
      <c r="AN387" s="3" t="s">
        <v>35</v>
      </c>
      <c r="AO387" s="8" t="str">
        <f>PROPER(TRIM(SUBSTITUTE(AN387,".","")))</f>
        <v>Completed</v>
      </c>
      <c r="AP387" t="str">
        <f>IF(COUNTIF($A$2:$A$933, A387) &gt; 1, "Duplicate ID", "Unique")</f>
        <v>Unique</v>
      </c>
      <c r="AR387">
        <f t="shared" ref="AR387:AR450" si="52">AD387 * AE387 * (1 - AG387)</f>
        <v>21141.6165</v>
      </c>
      <c r="AS387">
        <f t="shared" ref="AS387:AS450" si="53">AR387-AJ387</f>
        <v>9465.2865000000002</v>
      </c>
      <c r="AT387" s="15">
        <f t="shared" ref="AT387:AT450" si="54">IFERROR(AS387 / AR387, "")</f>
        <v>0.44770874071999178</v>
      </c>
      <c r="AU387" t="str">
        <f t="shared" ref="AU387:AU450" si="55">IF(OR(AH387="Invalid - Negative",AH387="Invalid - Above Range", J387="Invalid - Ship Before Order", AQ387="Conflicting Duplicate - Flagged"), "Invalid", IF(OR(R386="Unknown", AC386="Unknown", AH387="Missing"), "Warning", "Clean"))</f>
        <v>Invalid</v>
      </c>
      <c r="AV387" s="8" t="str">
        <f t="shared" ref="AV387:AV450" si="56">IF(AM387 = "Refunded", "Refund", IF(AO387 = "Cancelled", "Cancelled", "Active"))</f>
        <v>Active</v>
      </c>
    </row>
    <row r="388" spans="1:48">
      <c r="A388" s="3" t="s">
        <v>3797</v>
      </c>
      <c r="B388" s="3" t="s">
        <v>3798</v>
      </c>
      <c r="C388" s="9">
        <f>IFERROR(DATEVALUE(TEXT(B388,"DD/MM/YYYY")), IF(ISNUMBER(B388), B388, ""))</f>
        <v>45620</v>
      </c>
      <c r="D388" s="9" t="str">
        <f>IF(B388="","Missing", IF(AND(ISNUMBER(B388)=FALSE, C388=""),"Invalid - Could Not Parse", IF(AND(ISNUMBER(B388)=FALSE, C388&lt;&gt;""),"Text - Converted to Date", IF(ISNUMBER(B388),"Valid","Check"))))</f>
        <v>Text - Converted to Date</v>
      </c>
      <c r="E388" s="5">
        <f t="shared" si="49"/>
        <v>11</v>
      </c>
      <c r="F388" s="5">
        <f t="shared" si="50"/>
        <v>2024</v>
      </c>
      <c r="G388" s="3" t="s">
        <v>1750</v>
      </c>
      <c r="H388" s="9">
        <f>IFERROR(DATEVALUE(TEXT(G388,"DD/MM/YYYY")), IF(ISNUMBER(G388), G388, ""))</f>
        <v>45627</v>
      </c>
      <c r="I388" s="9" t="str">
        <f>IF(G388="","Missing", IF(AND(ISNUMBER(G388)=FALSE, H388=""),"Invalid - Could Not Parse", IF(AND(ISNUMBER(G388)=FALSE, H388&lt;&gt;""),"Text - Converted to Date", IF(ISNUMBER(G388),"Valid","Check"))))</f>
        <v>Text - Converted to Date</v>
      </c>
      <c r="J388" s="9" t="str">
        <f>IF(OR(C388="", H388=""), "Cannot Check - Date Missing", IF(H388&lt;C388, "Invalid - Ship Before Order", "Valid"))</f>
        <v>Valid</v>
      </c>
      <c r="K388" s="5">
        <f>IF(OR(C388="", H388=""), "", IF(H388&lt;C388, "", H388-C388))</f>
        <v>7</v>
      </c>
      <c r="L388" s="3" t="s">
        <v>3799</v>
      </c>
      <c r="M388" s="3" t="s">
        <v>142</v>
      </c>
      <c r="N388" s="4" t="str">
        <f>TRIM(SUBSTITUTE(M388,"_"," "))</f>
        <v>Priya Menon</v>
      </c>
      <c r="O388" s="3" t="s">
        <v>115</v>
      </c>
      <c r="P388" s="6" t="str">
        <f>PROPER(TRIM(SUBSTITUTE(O388,".","")))</f>
        <v>Home Office</v>
      </c>
      <c r="Q388" s="3" t="s">
        <v>62</v>
      </c>
      <c r="R388" s="7" t="str">
        <f>PROPER(TRIM(SUBSTITUTE(Q388,"  "," ")))</f>
        <v>South</v>
      </c>
      <c r="S388" s="3" t="s">
        <v>339</v>
      </c>
      <c r="T388" s="6" t="str">
        <f>PROPER(TRIM(SUBSTITUTE(S388,"  "," ")))</f>
        <v>Tamil Nadu</v>
      </c>
      <c r="U388" s="3" t="s">
        <v>340</v>
      </c>
      <c r="V388" s="6" t="str">
        <f>PROPER(TRIM(SUBSTITUTE(U388,"  "," ")))</f>
        <v>Chennai</v>
      </c>
      <c r="W388" s="3" t="s">
        <v>30</v>
      </c>
      <c r="X388" s="6" t="str">
        <f>PROPER(TRIM(SUBSTITUTE(W388,"  "," ")))</f>
        <v>Office Supplies</v>
      </c>
      <c r="Y388" s="3" t="s">
        <v>31</v>
      </c>
      <c r="Z388" s="6" t="str">
        <f>PROPER(TRIM(SUBSTITUTE(Y388,"  "," ")))</f>
        <v>Paper</v>
      </c>
      <c r="AA388" s="3" t="s">
        <v>3800</v>
      </c>
      <c r="AB388" s="3" t="s">
        <v>48</v>
      </c>
      <c r="AC388" s="6" t="str">
        <f>PROPER(TRIM(SUBSTITUTE(AB388,"  "," ")))</f>
        <v>Same Day</v>
      </c>
      <c r="AD388" s="3">
        <v>1</v>
      </c>
      <c r="AE388" s="3">
        <v>844.89</v>
      </c>
      <c r="AF388" s="3">
        <v>0.25</v>
      </c>
      <c r="AG388" s="17">
        <v>0.25</v>
      </c>
      <c r="AH388" s="6" t="str">
        <f t="shared" si="51"/>
        <v>Valid</v>
      </c>
      <c r="AI388" s="3">
        <v>633.66999999999996</v>
      </c>
      <c r="AJ388" s="3">
        <v>520.47</v>
      </c>
      <c r="AK388" s="3">
        <v>113.2</v>
      </c>
      <c r="AL388" s="3" t="s">
        <v>34</v>
      </c>
      <c r="AM388" s="6" t="str">
        <f>PROPER(TRIM(SUBSTITUTE(AL388,".","")))</f>
        <v>Paid</v>
      </c>
      <c r="AN388" s="3" t="s">
        <v>78</v>
      </c>
      <c r="AO388" s="8" t="str">
        <f>PROPER(TRIM(SUBSTITUTE(AN388,".","")))</f>
        <v>Cancelled</v>
      </c>
      <c r="AP388" t="str">
        <f>IF(COUNTIF($A$2:$A$933, A388) &gt; 1, "Duplicate ID", "Unique")</f>
        <v>Unique</v>
      </c>
      <c r="AR388">
        <f t="shared" si="52"/>
        <v>633.66750000000002</v>
      </c>
      <c r="AS388">
        <f t="shared" si="53"/>
        <v>113.19749999999999</v>
      </c>
      <c r="AT388" s="15">
        <f t="shared" si="54"/>
        <v>0.17863863934950111</v>
      </c>
      <c r="AU388" t="str">
        <f t="shared" si="55"/>
        <v>Clean</v>
      </c>
      <c r="AV388" s="8" t="str">
        <f t="shared" si="56"/>
        <v>Cancelled</v>
      </c>
    </row>
    <row r="389" spans="1:48">
      <c r="A389" s="3" t="s">
        <v>57</v>
      </c>
      <c r="B389" s="3" t="s">
        <v>58</v>
      </c>
      <c r="C389" s="9">
        <f>IFERROR(DATEVALUE(TEXT(B389,"DD/MM/YYYY")), IF(ISNUMBER(B389), B389, ""))</f>
        <v>45624</v>
      </c>
      <c r="D389" s="9" t="str">
        <f>IF(B389="","Missing", IF(AND(ISNUMBER(B389)=FALSE, C389=""),"Invalid - Could Not Parse", IF(AND(ISNUMBER(B389)=FALSE, C389&lt;&gt;""),"Text - Converted to Date", IF(ISNUMBER(B389),"Valid","Check"))))</f>
        <v>Text - Converted to Date</v>
      </c>
      <c r="E389" s="5">
        <f t="shared" si="49"/>
        <v>11</v>
      </c>
      <c r="F389" s="5">
        <f t="shared" si="50"/>
        <v>2024</v>
      </c>
      <c r="G389" s="3" t="s">
        <v>59</v>
      </c>
      <c r="H389" s="9">
        <f>IFERROR(DATEVALUE(MID(G389,4,2) &amp; "/" &amp; LEFT(G389,2) &amp; "/" &amp; RIGHT(G389,4)), IF(ISNUMBER(G389), G389, IFERROR(DATEVALUE(G389), "")))</f>
        <v>45625</v>
      </c>
      <c r="I389" s="9" t="str">
        <f>IF(G389="","Missing", IF(AND(ISNUMBER(G389)=FALSE, H389=""),"Invalid - Could Not Parse", IF(AND(ISNUMBER(G389)=FALSE, H389&lt;&gt;""),"Text - Converted to Date", IF(ISNUMBER(G389),"Valid","Check"))))</f>
        <v>Text - Converted to Date</v>
      </c>
      <c r="J389" s="9" t="str">
        <f>IF(OR(C389="", H389=""), "Cannot Check - Date Missing", IF(H389&lt;C389, "Invalid - Ship Before Order", "Valid"))</f>
        <v>Valid</v>
      </c>
      <c r="K389" s="5">
        <f>IF(OR(C389="", H389=""), "", IF(H389&lt;C389, "", H389-C389))</f>
        <v>1</v>
      </c>
      <c r="L389" s="3" t="s">
        <v>60</v>
      </c>
      <c r="M389" s="3" t="s">
        <v>61</v>
      </c>
      <c r="N389" s="4" t="str">
        <f>TRIM(SUBSTITUTE(M389,"_"," "))</f>
        <v>Arjun Bose</v>
      </c>
      <c r="O389" s="3" t="s">
        <v>41</v>
      </c>
      <c r="P389" s="6" t="str">
        <f>PROPER(TRIM(SUBSTITUTE(O389,".","")))</f>
        <v>Small Business</v>
      </c>
      <c r="Q389" s="3" t="s">
        <v>62</v>
      </c>
      <c r="R389" s="7" t="str">
        <f>PROPER(TRIM(SUBSTITUTE(Q389,"  "," ")))</f>
        <v>South</v>
      </c>
      <c r="S389" s="3" t="s">
        <v>63</v>
      </c>
      <c r="T389" s="6" t="str">
        <f>PROPER(TRIM(SUBSTITUTE(S389,"  "," ")))</f>
        <v>Telangana</v>
      </c>
      <c r="U389" s="3" t="s">
        <v>64</v>
      </c>
      <c r="V389" s="6" t="str">
        <f>PROPER(TRIM(SUBSTITUTE(U389,"  "," ")))</f>
        <v>Hyderabad</v>
      </c>
      <c r="W389" s="3" t="s">
        <v>45</v>
      </c>
      <c r="X389" s="6" t="str">
        <f>PROPER(TRIM(SUBSTITUTE(W389,"  "," ")))</f>
        <v>Furniture</v>
      </c>
      <c r="Y389" s="3" t="s">
        <v>65</v>
      </c>
      <c r="Z389" s="6" t="str">
        <f>PROPER(TRIM(SUBSTITUTE(Y389,"  "," ")))</f>
        <v>Furnishings</v>
      </c>
      <c r="AA389" s="3" t="s">
        <v>66</v>
      </c>
      <c r="AB389" s="3" t="s">
        <v>67</v>
      </c>
      <c r="AC389" s="6" t="str">
        <f>PROPER(TRIM(SUBSTITUTE(AB389,"  "," ")))</f>
        <v>Standard Class</v>
      </c>
      <c r="AD389" s="3">
        <v>6</v>
      </c>
      <c r="AE389" s="3">
        <v>1848.43</v>
      </c>
      <c r="AF389" s="3">
        <v>0.25</v>
      </c>
      <c r="AG389" s="17">
        <v>0.25</v>
      </c>
      <c r="AH389" s="6" t="str">
        <f t="shared" si="51"/>
        <v>Valid</v>
      </c>
      <c r="AI389" s="3">
        <v>8317.93</v>
      </c>
      <c r="AJ389" s="3">
        <v>6796.77</v>
      </c>
      <c r="AK389" s="3">
        <v>1521.16</v>
      </c>
      <c r="AL389" s="3" t="s">
        <v>34</v>
      </c>
      <c r="AM389" s="6" t="str">
        <f>PROPER(TRIM(SUBSTITUTE(AL389,".","")))</f>
        <v>Paid</v>
      </c>
      <c r="AN389" s="3" t="s">
        <v>35</v>
      </c>
      <c r="AO389" s="8" t="str">
        <f>PROPER(TRIM(SUBSTITUTE(AN389,".","")))</f>
        <v>Completed</v>
      </c>
      <c r="AP389" t="str">
        <f>IF(COUNTIF($A$2:$A$933, A389) &gt; 1, "Duplicate ID", "Unique")</f>
        <v>Unique</v>
      </c>
      <c r="AR389">
        <f t="shared" si="52"/>
        <v>8317.9349999999995</v>
      </c>
      <c r="AS389">
        <f t="shared" si="53"/>
        <v>1521.1649999999991</v>
      </c>
      <c r="AT389" s="15">
        <f t="shared" si="54"/>
        <v>0.18287772145370204</v>
      </c>
      <c r="AU389" t="str">
        <f t="shared" si="55"/>
        <v>Clean</v>
      </c>
      <c r="AV389" s="8" t="str">
        <f t="shared" si="56"/>
        <v>Active</v>
      </c>
    </row>
    <row r="390" spans="1:48">
      <c r="A390" s="3" t="s">
        <v>2950</v>
      </c>
      <c r="B390" s="3" t="s">
        <v>58</v>
      </c>
      <c r="C390" s="9">
        <f>IFERROR(DATEVALUE(TEXT(B390,"DD/MM/YYYY")), IF(ISNUMBER(B390), B390, ""))</f>
        <v>45624</v>
      </c>
      <c r="D390" s="9" t="str">
        <f>IF(B390="","Missing", IF(AND(ISNUMBER(B390)=FALSE, C390=""),"Invalid - Could Not Parse", IF(AND(ISNUMBER(B390)=FALSE, C390&lt;&gt;""),"Text - Converted to Date", IF(ISNUMBER(B390),"Valid","Check"))))</f>
        <v>Text - Converted to Date</v>
      </c>
      <c r="E390" s="5">
        <f t="shared" si="49"/>
        <v>11</v>
      </c>
      <c r="F390" s="5">
        <f t="shared" si="50"/>
        <v>2024</v>
      </c>
      <c r="G390" s="3" t="s">
        <v>2951</v>
      </c>
      <c r="H390" s="9">
        <f>IFERROR(DATEVALUE(TEXT(G390,"DD/MM/YYYY")), IF(ISNUMBER(G390), G390, ""))</f>
        <v>45632</v>
      </c>
      <c r="I390" s="9" t="str">
        <f>IF(G390="","Missing", IF(AND(ISNUMBER(G390)=FALSE, H390=""),"Invalid - Could Not Parse", IF(AND(ISNUMBER(G390)=FALSE, H390&lt;&gt;""),"Text - Converted to Date", IF(ISNUMBER(G390),"Valid","Check"))))</f>
        <v>Text - Converted to Date</v>
      </c>
      <c r="J390" s="9" t="str">
        <f>IF(OR(C390="", H390=""), "Cannot Check - Date Missing", IF(H390&lt;C390, "Invalid - Ship Before Order", "Valid"))</f>
        <v>Valid</v>
      </c>
      <c r="K390" s="5">
        <f>IF(OR(C390="", H390=""), "", IF(H390&lt;C390, "", H390-C390))</f>
        <v>8</v>
      </c>
      <c r="L390" s="3" t="s">
        <v>2952</v>
      </c>
      <c r="M390" s="3" t="s">
        <v>107</v>
      </c>
      <c r="N390" s="4" t="str">
        <f>TRIM(SUBSTITUTE(M390,"_"," "))</f>
        <v>Aditi Sen</v>
      </c>
      <c r="O390" s="3" t="s">
        <v>26</v>
      </c>
      <c r="P390" s="6" t="str">
        <f>PROPER(TRIM(SUBSTITUTE(O390,".","")))</f>
        <v>Consumer</v>
      </c>
      <c r="Q390" s="3" t="s">
        <v>73</v>
      </c>
      <c r="R390" s="7" t="str">
        <f>PROPER(TRIM(SUBSTITUTE(Q390,"  "," ")))</f>
        <v>West</v>
      </c>
      <c r="S390" s="3" t="s">
        <v>74</v>
      </c>
      <c r="T390" s="6" t="str">
        <f>PROPER(TRIM(SUBSTITUTE(S390,"  "," ")))</f>
        <v>Maharashtra</v>
      </c>
      <c r="U390" s="3" t="s">
        <v>75</v>
      </c>
      <c r="V390" s="6" t="str">
        <f>PROPER(TRIM(SUBSTITUTE(U390,"  "," ")))</f>
        <v>Mumbai</v>
      </c>
      <c r="W390" s="3" t="s">
        <v>45</v>
      </c>
      <c r="X390" s="6" t="str">
        <f>PROPER(TRIM(SUBSTITUTE(W390,"  "," ")))</f>
        <v>Furniture</v>
      </c>
      <c r="Y390" s="3" t="s">
        <v>76</v>
      </c>
      <c r="Z390" s="6" t="str">
        <f>PROPER(TRIM(SUBSTITUTE(Y390,"  "," ")))</f>
        <v>Chairs</v>
      </c>
      <c r="AA390" s="3" t="s">
        <v>2953</v>
      </c>
      <c r="AB390" s="3" t="s">
        <v>48</v>
      </c>
      <c r="AC390" s="6" t="str">
        <f>PROPER(TRIM(SUBSTITUTE(AB390,"  "," ")))</f>
        <v>Same Day</v>
      </c>
      <c r="AD390" s="3">
        <v>5</v>
      </c>
      <c r="AE390" s="3">
        <v>1092.8399999999999</v>
      </c>
      <c r="AF390" s="3"/>
      <c r="AG390" s="18">
        <f>IF(ISBLANK(AF390), 0, AF390)</f>
        <v>0</v>
      </c>
      <c r="AH390" s="6" t="str">
        <f t="shared" si="51"/>
        <v>Missing</v>
      </c>
      <c r="AI390" s="3">
        <v>5464.2</v>
      </c>
      <c r="AJ390" s="3">
        <v>3318.09</v>
      </c>
      <c r="AK390" s="3">
        <v>2146.11</v>
      </c>
      <c r="AL390" s="3" t="s">
        <v>34</v>
      </c>
      <c r="AM390" s="6" t="str">
        <f>PROPER(TRIM(SUBSTITUTE(AL390,".","")))</f>
        <v>Paid</v>
      </c>
      <c r="AN390" s="3" t="s">
        <v>35</v>
      </c>
      <c r="AO390" s="8" t="str">
        <f>PROPER(TRIM(SUBSTITUTE(AN390,".","")))</f>
        <v>Completed</v>
      </c>
      <c r="AP390" t="str">
        <f>IF(COUNTIF($A$2:$A$933, A390) &gt; 1, "Duplicate ID", "Unique")</f>
        <v>Unique</v>
      </c>
      <c r="AR390">
        <f t="shared" si="52"/>
        <v>5464.2</v>
      </c>
      <c r="AS390">
        <f t="shared" si="53"/>
        <v>2146.1099999999997</v>
      </c>
      <c r="AT390" s="15">
        <f t="shared" si="54"/>
        <v>0.39275831777753373</v>
      </c>
      <c r="AU390" t="str">
        <f t="shared" si="55"/>
        <v>Warning</v>
      </c>
      <c r="AV390" s="8" t="str">
        <f t="shared" si="56"/>
        <v>Active</v>
      </c>
    </row>
    <row r="391" spans="1:48">
      <c r="A391" s="3" t="s">
        <v>3407</v>
      </c>
      <c r="B391" s="3" t="s">
        <v>3408</v>
      </c>
      <c r="C391" s="9">
        <f>IFERROR(DATEVALUE(TEXT(B391,"DD/MM/YYYY")), IF(ISNUMBER(B391), B391, ""))</f>
        <v>45624</v>
      </c>
      <c r="D391" s="9" t="str">
        <f>IF(B391="","Missing", IF(AND(ISNUMBER(B391)=FALSE, C391=""),"Invalid - Could Not Parse", IF(AND(ISNUMBER(B391)=FALSE, C391&lt;&gt;""),"Text - Converted to Date", IF(ISNUMBER(B391),"Valid","Check"))))</f>
        <v>Text - Converted to Date</v>
      </c>
      <c r="E391" s="5">
        <f t="shared" si="49"/>
        <v>11</v>
      </c>
      <c r="F391" s="5">
        <f t="shared" si="50"/>
        <v>2024</v>
      </c>
      <c r="G391" s="3" t="s">
        <v>2821</v>
      </c>
      <c r="H391" s="9">
        <f>IFERROR(DATEVALUE(TEXT(G391,"DD/MM/YYYY")), IF(ISNUMBER(G391), G391, ""))</f>
        <v>45632</v>
      </c>
      <c r="I391" s="9" t="str">
        <f>IF(G391="","Missing", IF(AND(ISNUMBER(G391)=FALSE, H391=""),"Invalid - Could Not Parse", IF(AND(ISNUMBER(G391)=FALSE, H391&lt;&gt;""),"Text - Converted to Date", IF(ISNUMBER(G391),"Valid","Check"))))</f>
        <v>Text - Converted to Date</v>
      </c>
      <c r="J391" s="9" t="str">
        <f>IF(OR(C391="", H391=""), "Cannot Check - Date Missing", IF(H391&lt;C391, "Invalid - Ship Before Order", "Valid"))</f>
        <v>Valid</v>
      </c>
      <c r="K391" s="5">
        <f>IF(OR(C391="", H391=""), "", IF(H391&lt;C391, "", H391-C391))</f>
        <v>8</v>
      </c>
      <c r="L391" s="3" t="s">
        <v>3409</v>
      </c>
      <c r="M391" s="3" t="s">
        <v>61</v>
      </c>
      <c r="N391" s="4" t="str">
        <f>TRIM(SUBSTITUTE(M391,"_"," "))</f>
        <v>Arjun Bose</v>
      </c>
      <c r="O391" s="3" t="s">
        <v>41</v>
      </c>
      <c r="P391" s="6" t="str">
        <f>PROPER(TRIM(SUBSTITUTE(O391,".","")))</f>
        <v>Small Business</v>
      </c>
      <c r="Q391" s="3" t="s">
        <v>27</v>
      </c>
      <c r="R391" s="7" t="str">
        <f>PROPER(TRIM(SUBSTITUTE(Q391,"  "," ")))</f>
        <v>North</v>
      </c>
      <c r="S391" s="3" t="s">
        <v>154</v>
      </c>
      <c r="T391" s="6" t="str">
        <f>PROPER(TRIM(SUBSTITUTE(S391,"  "," ")))</f>
        <v>Punjab</v>
      </c>
      <c r="U391" s="3" t="s">
        <v>155</v>
      </c>
      <c r="V391" s="6" t="str">
        <f>PROPER(TRIM(SUBSTITUTE(U391,"  "," ")))</f>
        <v>Ludhiana</v>
      </c>
      <c r="W391" s="3" t="s">
        <v>86</v>
      </c>
      <c r="X391" s="6" t="str">
        <f>PROPER(TRIM(SUBSTITUTE(W391,"  "," ")))</f>
        <v>Technology</v>
      </c>
      <c r="Y391" s="3" t="s">
        <v>223</v>
      </c>
      <c r="Z391" s="6" t="str">
        <f>PROPER(TRIM(SUBSTITUTE(Y391,"  "," ")))</f>
        <v>Phones</v>
      </c>
      <c r="AA391" s="3" t="s">
        <v>3410</v>
      </c>
      <c r="AB391" s="3" t="s">
        <v>67</v>
      </c>
      <c r="AC391" s="6" t="str">
        <f>PROPER(TRIM(SUBSTITUTE(AB391,"  "," ")))</f>
        <v>Standard Class</v>
      </c>
      <c r="AD391" s="3">
        <v>6</v>
      </c>
      <c r="AE391" s="3">
        <v>2464.63</v>
      </c>
      <c r="AF391" s="3">
        <v>0</v>
      </c>
      <c r="AG391" s="17">
        <v>0</v>
      </c>
      <c r="AH391" s="6" t="str">
        <f t="shared" si="51"/>
        <v>Valid</v>
      </c>
      <c r="AI391" s="3">
        <v>14787.78</v>
      </c>
      <c r="AJ391" s="3">
        <v>8596.65</v>
      </c>
      <c r="AK391" s="3">
        <v>6191.13</v>
      </c>
      <c r="AL391" s="3" t="s">
        <v>34</v>
      </c>
      <c r="AM391" s="6" t="str">
        <f>PROPER(TRIM(SUBSTITUTE(AL391,".","")))</f>
        <v>Paid</v>
      </c>
      <c r="AN391" s="3" t="s">
        <v>35</v>
      </c>
      <c r="AO391" s="8" t="str">
        <f>PROPER(TRIM(SUBSTITUTE(AN391,".","")))</f>
        <v>Completed</v>
      </c>
      <c r="AP391" t="str">
        <f>IF(COUNTIF($A$2:$A$933, A391) &gt; 1, "Duplicate ID", "Unique")</f>
        <v>Unique</v>
      </c>
      <c r="AR391">
        <f t="shared" si="52"/>
        <v>14787.78</v>
      </c>
      <c r="AS391">
        <f t="shared" si="53"/>
        <v>6191.130000000001</v>
      </c>
      <c r="AT391" s="15">
        <f t="shared" si="54"/>
        <v>0.41866527632950995</v>
      </c>
      <c r="AU391" t="str">
        <f t="shared" si="55"/>
        <v>Clean</v>
      </c>
      <c r="AV391" s="8" t="str">
        <f t="shared" si="56"/>
        <v>Active</v>
      </c>
    </row>
    <row r="392" spans="1:48">
      <c r="A392" s="3" t="s">
        <v>703</v>
      </c>
      <c r="B392" s="3" t="s">
        <v>704</v>
      </c>
      <c r="C392" s="9">
        <v>45626</v>
      </c>
      <c r="D392" s="9" t="str">
        <f>IF(B392="","Missing", IF(AND(ISNUMBER(B392)=FALSE, C392=""),"Invalid - Could Not Parse", IF(AND(ISNUMBER(B392)=FALSE, C392&lt;&gt;""),"Text - Converted to Date", IF(ISNUMBER(B392),"Valid","Check"))))</f>
        <v>Text - Converted to Date</v>
      </c>
      <c r="E392" s="5">
        <f t="shared" si="49"/>
        <v>11</v>
      </c>
      <c r="F392" s="5">
        <f t="shared" si="50"/>
        <v>2024</v>
      </c>
      <c r="G392" s="3" t="s">
        <v>705</v>
      </c>
      <c r="H392" s="9">
        <f>IFERROR(DATEVALUE(TEXT(G392,"DD/MM/YYYY")), IF(ISNUMBER(G392), G392, ""))</f>
        <v>45630</v>
      </c>
      <c r="I392" s="9" t="str">
        <f>IF(G392="","Missing", IF(AND(ISNUMBER(G392)=FALSE, H392=""),"Invalid - Could Not Parse", IF(AND(ISNUMBER(G392)=FALSE, H392&lt;&gt;""),"Text - Converted to Date", IF(ISNUMBER(G392),"Valid","Check"))))</f>
        <v>Text - Converted to Date</v>
      </c>
      <c r="J392" s="9" t="str">
        <f>IF(OR(C392="", H392=""), "Cannot Check - Date Missing", IF(H392&lt;C392, "Invalid - Ship Before Order", "Valid"))</f>
        <v>Valid</v>
      </c>
      <c r="K392" s="5">
        <f>IF(OR(C392="", H392=""), "", IF(H392&lt;C392, "", H392-C392))</f>
        <v>4</v>
      </c>
      <c r="L392" s="3" t="s">
        <v>706</v>
      </c>
      <c r="M392" s="3" t="s">
        <v>72</v>
      </c>
      <c r="N392" s="4" t="str">
        <f>TRIM(SUBSTITUTE(M392,"_"," "))</f>
        <v>Ananya Rao</v>
      </c>
      <c r="O392" s="3" t="s">
        <v>41</v>
      </c>
      <c r="P392" s="6" t="str">
        <f>PROPER(TRIM(SUBSTITUTE(O392,".","")))</f>
        <v>Small Business</v>
      </c>
      <c r="Q392" s="3" t="s">
        <v>42</v>
      </c>
      <c r="R392" s="7" t="str">
        <f>PROPER(TRIM(SUBSTITUTE(Q392,"  "," ")))</f>
        <v>East</v>
      </c>
      <c r="S392" s="3" t="s">
        <v>216</v>
      </c>
      <c r="T392" s="6" t="str">
        <f>PROPER(TRIM(SUBSTITUTE(S392,"  "," ")))</f>
        <v>Assam</v>
      </c>
      <c r="U392" s="3" t="s">
        <v>217</v>
      </c>
      <c r="V392" s="6" t="str">
        <f>PROPER(TRIM(SUBSTITUTE(U392,"  "," ")))</f>
        <v>Guwahati</v>
      </c>
      <c r="W392" s="3" t="s">
        <v>45</v>
      </c>
      <c r="X392" s="6" t="str">
        <f>PROPER(TRIM(SUBSTITUTE(W392,"  "," ")))</f>
        <v>Furniture</v>
      </c>
      <c r="Y392" s="3" t="s">
        <v>76</v>
      </c>
      <c r="Z392" s="6" t="str">
        <f>PROPER(TRIM(SUBSTITUTE(Y392,"  "," ")))</f>
        <v>Chairs</v>
      </c>
      <c r="AA392" s="3" t="s">
        <v>707</v>
      </c>
      <c r="AB392" s="3" t="s">
        <v>33</v>
      </c>
      <c r="AC392" s="6" t="str">
        <f>PROPER(TRIM(SUBSTITUTE(AB392,"  "," ")))</f>
        <v>Second Class</v>
      </c>
      <c r="AD392" s="3">
        <v>3</v>
      </c>
      <c r="AE392" s="3">
        <v>170.35</v>
      </c>
      <c r="AF392" s="3">
        <v>0</v>
      </c>
      <c r="AG392" s="17">
        <v>0</v>
      </c>
      <c r="AH392" s="6" t="str">
        <f t="shared" si="51"/>
        <v>Valid</v>
      </c>
      <c r="AI392" s="3">
        <v>511.05</v>
      </c>
      <c r="AJ392" s="3">
        <v>367.18</v>
      </c>
      <c r="AK392" s="3">
        <v>143.87</v>
      </c>
      <c r="AL392" s="3" t="s">
        <v>34</v>
      </c>
      <c r="AM392" s="6" t="str">
        <f>PROPER(TRIM(SUBSTITUTE(AL392,".","")))</f>
        <v>Paid</v>
      </c>
      <c r="AN392" s="3" t="s">
        <v>35</v>
      </c>
      <c r="AO392" s="8" t="str">
        <f>PROPER(TRIM(SUBSTITUTE(AN392,".","")))</f>
        <v>Completed</v>
      </c>
      <c r="AP392" t="str">
        <f>IF(COUNTIF($A$2:$A$933, A392) &gt; 1, "Duplicate ID", "Unique")</f>
        <v>Unique</v>
      </c>
      <c r="AR392">
        <f t="shared" si="52"/>
        <v>511.04999999999995</v>
      </c>
      <c r="AS392">
        <f t="shared" si="53"/>
        <v>143.86999999999995</v>
      </c>
      <c r="AT392" s="15">
        <f t="shared" si="54"/>
        <v>0.28151844242246349</v>
      </c>
      <c r="AU392" t="str">
        <f t="shared" si="55"/>
        <v>Clean</v>
      </c>
      <c r="AV392" s="8" t="str">
        <f t="shared" si="56"/>
        <v>Active</v>
      </c>
    </row>
    <row r="393" spans="1:48">
      <c r="A393" s="3" t="s">
        <v>2536</v>
      </c>
      <c r="B393" s="3" t="s">
        <v>2537</v>
      </c>
      <c r="C393" s="9">
        <f>IFERROR(DATEVALUE(TEXT(B393,"DD/MM/YYYY")), IF(ISNUMBER(B393), B393, ""))</f>
        <v>45626</v>
      </c>
      <c r="D393" s="9" t="str">
        <f>IF(B393="","Missing", IF(AND(ISNUMBER(B393)=FALSE, C393=""),"Invalid - Could Not Parse", IF(AND(ISNUMBER(B393)=FALSE, C393&lt;&gt;""),"Text - Converted to Date", IF(ISNUMBER(B393),"Valid","Check"))))</f>
        <v>Text - Converted to Date</v>
      </c>
      <c r="E393" s="5">
        <f t="shared" si="49"/>
        <v>11</v>
      </c>
      <c r="F393" s="5">
        <f t="shared" si="50"/>
        <v>2024</v>
      </c>
      <c r="G393" s="3" t="s">
        <v>2538</v>
      </c>
      <c r="H393" s="9">
        <f>IFERROR(DATEVALUE(TEXT(G393,"DD/MM/YYYY")), IF(ISNUMBER(G393), G393, ""))</f>
        <v>45627</v>
      </c>
      <c r="I393" s="9" t="str">
        <f>IF(G393="","Missing", IF(AND(ISNUMBER(G393)=FALSE, H393=""),"Invalid - Could Not Parse", IF(AND(ISNUMBER(G393)=FALSE, H393&lt;&gt;""),"Text - Converted to Date", IF(ISNUMBER(G393),"Valid","Check"))))</f>
        <v>Text - Converted to Date</v>
      </c>
      <c r="J393" s="9" t="str">
        <f>IF(OR(C393="", H393=""), "Cannot Check - Date Missing", IF(H393&lt;C393, "Invalid - Ship Before Order", "Valid"))</f>
        <v>Valid</v>
      </c>
      <c r="K393" s="5">
        <f>IF(OR(C393="", H393=""), "", IF(H393&lt;C393, "", H393-C393))</f>
        <v>1</v>
      </c>
      <c r="L393" s="3" t="s">
        <v>2539</v>
      </c>
      <c r="M393" s="3" t="s">
        <v>72</v>
      </c>
      <c r="N393" s="4" t="str">
        <f>TRIM(SUBSTITUTE(M393,"_"," "))</f>
        <v>Ananya Rao</v>
      </c>
      <c r="O393" s="3" t="s">
        <v>108</v>
      </c>
      <c r="P393" s="6" t="str">
        <f>PROPER(TRIM(SUBSTITUTE(O393,".","")))</f>
        <v>Corporate</v>
      </c>
      <c r="Q393" s="3" t="s">
        <v>73</v>
      </c>
      <c r="R393" s="7" t="str">
        <f>PROPER(TRIM(SUBSTITUTE(Q393,"  "," ")))</f>
        <v>West</v>
      </c>
      <c r="S393" s="3" t="s">
        <v>235</v>
      </c>
      <c r="T393" s="6" t="str">
        <f>PROPER(TRIM(SUBSTITUTE(S393,"  "," ")))</f>
        <v>Gujarat</v>
      </c>
      <c r="U393" s="3" t="s">
        <v>236</v>
      </c>
      <c r="V393" s="6" t="str">
        <f>PROPER(TRIM(SUBSTITUTE(U393,"  "," ")))</f>
        <v>Ahmedabad</v>
      </c>
      <c r="W393" s="3" t="s">
        <v>45</v>
      </c>
      <c r="X393" s="6" t="str">
        <f>PROPER(TRIM(SUBSTITUTE(W393,"  "," ")))</f>
        <v>Furniture</v>
      </c>
      <c r="Y393" s="3" t="s">
        <v>76</v>
      </c>
      <c r="Z393" s="6" t="str">
        <f>PROPER(TRIM(SUBSTITUTE(Y393,"  "," ")))</f>
        <v>Chairs</v>
      </c>
      <c r="AA393" s="3" t="s">
        <v>2540</v>
      </c>
      <c r="AB393" s="3" t="s">
        <v>56</v>
      </c>
      <c r="AC393" s="6" t="str">
        <f>PROPER(TRIM(SUBSTITUTE(AB393,"  "," ")))</f>
        <v>First Class</v>
      </c>
      <c r="AD393" s="3">
        <v>9</v>
      </c>
      <c r="AE393" s="3">
        <v>4207.3599999999997</v>
      </c>
      <c r="AF393" s="3">
        <v>0.1</v>
      </c>
      <c r="AG393" s="17">
        <v>0.1</v>
      </c>
      <c r="AH393" s="6" t="str">
        <f t="shared" si="51"/>
        <v>Valid</v>
      </c>
      <c r="AI393" s="3">
        <v>34079.620000000003</v>
      </c>
      <c r="AJ393" s="3">
        <v>21871.39</v>
      </c>
      <c r="AK393" s="3">
        <v>12208.23</v>
      </c>
      <c r="AL393" s="3" t="s">
        <v>34</v>
      </c>
      <c r="AM393" s="6" t="str">
        <f>PROPER(TRIM(SUBSTITUTE(AL393,".","")))</f>
        <v>Paid</v>
      </c>
      <c r="AN393" s="3" t="s">
        <v>35</v>
      </c>
      <c r="AO393" s="8" t="str">
        <f>PROPER(TRIM(SUBSTITUTE(AN393,".","")))</f>
        <v>Completed</v>
      </c>
      <c r="AP393" t="str">
        <f>IF(COUNTIF($A$2:$A$933, A393) &gt; 1, "Duplicate ID", "Unique")</f>
        <v>Unique</v>
      </c>
      <c r="AR393">
        <f t="shared" si="52"/>
        <v>34079.616000000002</v>
      </c>
      <c r="AS393">
        <f t="shared" si="53"/>
        <v>12208.226000000002</v>
      </c>
      <c r="AT393" s="15">
        <f t="shared" si="54"/>
        <v>0.35822663025311091</v>
      </c>
      <c r="AU393" t="str">
        <f t="shared" si="55"/>
        <v>Clean</v>
      </c>
      <c r="AV393" s="8" t="str">
        <f t="shared" si="56"/>
        <v>Active</v>
      </c>
    </row>
    <row r="394" spans="1:48">
      <c r="A394" s="3" t="s">
        <v>1257</v>
      </c>
      <c r="B394" s="3" t="s">
        <v>1258</v>
      </c>
      <c r="C394" s="9">
        <f>IFERROR(DATEVALUE(TEXT(B394,"DD/MM/YYYY")), IF(ISNUMBER(B394), B394, ""))</f>
        <v>45627</v>
      </c>
      <c r="D394" s="9" t="str">
        <f>IF(B394="","Missing", IF(AND(ISNUMBER(B394)=FALSE, C394=""),"Invalid - Could Not Parse", IF(AND(ISNUMBER(B394)=FALSE, C394&lt;&gt;""),"Text - Converted to Date", IF(ISNUMBER(B394),"Valid","Check"))))</f>
        <v>Text - Converted to Date</v>
      </c>
      <c r="E394" s="5">
        <f t="shared" si="49"/>
        <v>12</v>
      </c>
      <c r="F394" s="5">
        <f t="shared" si="50"/>
        <v>2024</v>
      </c>
      <c r="G394" s="3" t="s">
        <v>1259</v>
      </c>
      <c r="H394" s="9">
        <f>IFERROR(DATEVALUE(MID(G394,4,2) &amp; "/" &amp; LEFT(G394,2) &amp; "/" &amp; RIGHT(G394,4)), IF(ISNUMBER(G394), G394, IFERROR(DATEVALUE(G394), "")))</f>
        <v>45308</v>
      </c>
      <c r="I394" s="9" t="str">
        <f>IF(G394="","Missing", IF(AND(ISNUMBER(G394)=FALSE, H394=""),"Invalid - Could Not Parse", IF(AND(ISNUMBER(G394)=FALSE, H394&lt;&gt;""),"Text - Converted to Date", IF(ISNUMBER(G394),"Valid","Check"))))</f>
        <v>Text - Converted to Date</v>
      </c>
      <c r="J394" s="9" t="str">
        <f>IF(OR(C394="", H394=""), "Cannot Check - Date Missing", IF(H394&lt;C394, "Invalid - Ship Before Order", "Valid"))</f>
        <v>Invalid - Ship Before Order</v>
      </c>
      <c r="K394" s="5" t="str">
        <f>IF(OR(C394="", H394=""), "", IF(H394&lt;C394, "", H394-C394))</f>
        <v/>
      </c>
      <c r="L394" s="3" t="s">
        <v>1260</v>
      </c>
      <c r="M394" s="3" t="s">
        <v>61</v>
      </c>
      <c r="N394" s="4" t="str">
        <f>TRIM(SUBSTITUTE(M394,"_"," "))</f>
        <v>Arjun Bose</v>
      </c>
      <c r="O394" s="3" t="s">
        <v>26</v>
      </c>
      <c r="P394" s="6" t="str">
        <f>PROPER(TRIM(SUBSTITUTE(O394,".","")))</f>
        <v>Consumer</v>
      </c>
      <c r="Q394" s="3" t="s">
        <v>62</v>
      </c>
      <c r="R394" s="7" t="str">
        <f>PROPER(TRIM(SUBSTITUTE(Q394,"  "," ")))</f>
        <v>South</v>
      </c>
      <c r="S394" s="3" t="s">
        <v>100</v>
      </c>
      <c r="T394" s="6" t="str">
        <f>PROPER(TRIM(SUBSTITUTE(S394,"  "," ")))</f>
        <v>Andhra Pradesh</v>
      </c>
      <c r="U394" s="3" t="s">
        <v>101</v>
      </c>
      <c r="V394" s="6" t="str">
        <f>PROPER(TRIM(SUBSTITUTE(U394,"  "," ")))</f>
        <v>Vijayawada</v>
      </c>
      <c r="W394" s="3" t="s">
        <v>30</v>
      </c>
      <c r="X394" s="6" t="str">
        <f>PROPER(TRIM(SUBSTITUTE(W394,"  "," ")))</f>
        <v>Office Supplies</v>
      </c>
      <c r="Y394" s="3" t="s">
        <v>156</v>
      </c>
      <c r="Z394" s="6" t="str">
        <f>PROPER(TRIM(SUBSTITUTE(Y394,"  "," ")))</f>
        <v>Storage</v>
      </c>
      <c r="AA394" s="3" t="s">
        <v>1261</v>
      </c>
      <c r="AB394" s="3" t="s">
        <v>56</v>
      </c>
      <c r="AC394" s="6" t="str">
        <f>PROPER(TRIM(SUBSTITUTE(AB394,"  "," ")))</f>
        <v>First Class</v>
      </c>
      <c r="AD394" s="3">
        <v>7</v>
      </c>
      <c r="AE394" s="3">
        <v>4005.05</v>
      </c>
      <c r="AF394" s="3">
        <v>0.55000000000000004</v>
      </c>
      <c r="AG394" s="17">
        <v>0.55000000000000004</v>
      </c>
      <c r="AH394" s="6" t="str">
        <f t="shared" si="51"/>
        <v>Invalid - Above Range</v>
      </c>
      <c r="AI394" s="3">
        <v>26633.58</v>
      </c>
      <c r="AJ394" s="3">
        <v>18838.75</v>
      </c>
      <c r="AK394" s="3">
        <v>7794.83</v>
      </c>
      <c r="AL394" s="3" t="s">
        <v>34</v>
      </c>
      <c r="AM394" s="6" t="str">
        <f>PROPER(TRIM(SUBSTITUTE(AL394,".","")))</f>
        <v>Paid</v>
      </c>
      <c r="AN394" s="3" t="s">
        <v>35</v>
      </c>
      <c r="AO394" s="8" t="str">
        <f>PROPER(TRIM(SUBSTITUTE(AN394,".","")))</f>
        <v>Completed</v>
      </c>
      <c r="AP394" t="str">
        <f>IF(COUNTIF($A$2:$A$933, A394) &gt; 1, "Duplicate ID", "Unique")</f>
        <v>Unique</v>
      </c>
      <c r="AR394">
        <f t="shared" si="52"/>
        <v>12615.907499999999</v>
      </c>
      <c r="AS394">
        <f t="shared" si="53"/>
        <v>-6222.8425000000007</v>
      </c>
      <c r="AT394" s="15">
        <f t="shared" si="54"/>
        <v>-0.4932536561480021</v>
      </c>
      <c r="AU394" t="str">
        <f t="shared" si="55"/>
        <v>Invalid</v>
      </c>
      <c r="AV394" s="8" t="str">
        <f t="shared" si="56"/>
        <v>Active</v>
      </c>
    </row>
    <row r="395" spans="1:48">
      <c r="A395" s="3" t="s">
        <v>1400</v>
      </c>
      <c r="B395" s="3" t="s">
        <v>1258</v>
      </c>
      <c r="C395" s="9">
        <f>IFERROR(DATEVALUE(TEXT(B395,"DD/MM/YYYY")), IF(ISNUMBER(B395), B395, ""))</f>
        <v>45627</v>
      </c>
      <c r="D395" s="9" t="str">
        <f>IF(B395="","Missing", IF(AND(ISNUMBER(B395)=FALSE, C395=""),"Invalid - Could Not Parse", IF(AND(ISNUMBER(B395)=FALSE, C395&lt;&gt;""),"Text - Converted to Date", IF(ISNUMBER(B395),"Valid","Check"))))</f>
        <v>Text - Converted to Date</v>
      </c>
      <c r="E395" s="5">
        <f t="shared" si="49"/>
        <v>12</v>
      </c>
      <c r="F395" s="5">
        <f t="shared" si="50"/>
        <v>2024</v>
      </c>
      <c r="G395" s="3" t="s">
        <v>563</v>
      </c>
      <c r="H395" s="9">
        <f>IFERROR(DATEVALUE(TEXT(G395,"DD/MM/YYYY")), IF(ISNUMBER(G395), G395, ""))</f>
        <v>45304</v>
      </c>
      <c r="I395" s="9" t="str">
        <f>IF(G395="","Missing", IF(AND(ISNUMBER(G395)=FALSE, H395=""),"Invalid - Could Not Parse", IF(AND(ISNUMBER(G395)=FALSE, H395&lt;&gt;""),"Text - Converted to Date", IF(ISNUMBER(G395),"Valid","Check"))))</f>
        <v>Text - Converted to Date</v>
      </c>
      <c r="J395" s="9" t="str">
        <f>IF(OR(C395="", H395=""), "Cannot Check - Date Missing", IF(H395&lt;C395, "Invalid - Ship Before Order", "Valid"))</f>
        <v>Invalid - Ship Before Order</v>
      </c>
      <c r="K395" s="5" t="str">
        <f>IF(OR(C395="", H395=""), "", IF(H395&lt;C395, "", H395-C395))</f>
        <v/>
      </c>
      <c r="L395" s="3" t="s">
        <v>1401</v>
      </c>
      <c r="M395" s="3" t="s">
        <v>107</v>
      </c>
      <c r="N395" s="4" t="str">
        <f>TRIM(SUBSTITUTE(M395,"_"," "))</f>
        <v>Aditi Sen</v>
      </c>
      <c r="O395" s="3" t="s">
        <v>108</v>
      </c>
      <c r="P395" s="6" t="str">
        <f>PROPER(TRIM(SUBSTITUTE(O395,".","")))</f>
        <v>Corporate</v>
      </c>
      <c r="Q395" s="3" t="s">
        <v>27</v>
      </c>
      <c r="R395" s="7" t="str">
        <f>PROPER(TRIM(SUBSTITUTE(Q395,"  "," ")))</f>
        <v>North</v>
      </c>
      <c r="S395" s="3" t="s">
        <v>174</v>
      </c>
      <c r="T395" s="6" t="str">
        <f>PROPER(TRIM(SUBSTITUTE(S395,"  "," ")))</f>
        <v>Uttar Pradesh</v>
      </c>
      <c r="U395" s="3" t="s">
        <v>175</v>
      </c>
      <c r="V395" s="6" t="str">
        <f>PROPER(TRIM(SUBSTITUTE(U395,"  "," ")))</f>
        <v>Noida</v>
      </c>
      <c r="W395" s="3" t="s">
        <v>86</v>
      </c>
      <c r="X395" s="6" t="str">
        <f>PROPER(TRIM(SUBSTITUTE(W395,"  "," ")))</f>
        <v>Technology</v>
      </c>
      <c r="Y395" s="3" t="s">
        <v>382</v>
      </c>
      <c r="Z395" s="6" t="str">
        <f>PROPER(TRIM(SUBSTITUTE(Y395,"  "," ")))</f>
        <v>Machines</v>
      </c>
      <c r="AA395" s="3" t="s">
        <v>1402</v>
      </c>
      <c r="AB395" s="3" t="s">
        <v>48</v>
      </c>
      <c r="AC395" s="6" t="str">
        <f>PROPER(TRIM(SUBSTITUTE(AB395,"  "," ")))</f>
        <v>Same Day</v>
      </c>
      <c r="AD395" s="3">
        <v>3</v>
      </c>
      <c r="AE395" s="3">
        <v>827.44</v>
      </c>
      <c r="AF395" s="3">
        <v>0</v>
      </c>
      <c r="AG395" s="17">
        <v>0</v>
      </c>
      <c r="AH395" s="6" t="str">
        <f t="shared" si="51"/>
        <v>Valid</v>
      </c>
      <c r="AI395" s="3">
        <v>2482.3200000000002</v>
      </c>
      <c r="AJ395" s="3">
        <v>1520.21</v>
      </c>
      <c r="AK395" s="3">
        <v>962.11</v>
      </c>
      <c r="AL395" s="3" t="s">
        <v>34</v>
      </c>
      <c r="AM395" s="6" t="str">
        <f>PROPER(TRIM(SUBSTITUTE(AL395,".","")))</f>
        <v>Paid</v>
      </c>
      <c r="AN395" s="3" t="s">
        <v>35</v>
      </c>
      <c r="AO395" s="8" t="str">
        <f>PROPER(TRIM(SUBSTITUTE(AN395,".","")))</f>
        <v>Completed</v>
      </c>
      <c r="AP395" t="str">
        <f>IF(COUNTIF($A$2:$A$933, A395) &gt; 1, "Duplicate ID", "Unique")</f>
        <v>Unique</v>
      </c>
      <c r="AR395">
        <f t="shared" si="52"/>
        <v>2482.3200000000002</v>
      </c>
      <c r="AS395">
        <f t="shared" si="53"/>
        <v>962.11000000000013</v>
      </c>
      <c r="AT395" s="15">
        <f t="shared" si="54"/>
        <v>0.38758500112797706</v>
      </c>
      <c r="AU395" t="str">
        <f t="shared" si="55"/>
        <v>Invalid</v>
      </c>
      <c r="AV395" s="8" t="str">
        <f t="shared" si="56"/>
        <v>Active</v>
      </c>
    </row>
    <row r="396" spans="1:48">
      <c r="A396" s="3" t="s">
        <v>1749</v>
      </c>
      <c r="B396" s="3" t="s">
        <v>1750</v>
      </c>
      <c r="C396" s="9">
        <f>IFERROR(DATEVALUE(TEXT(B396,"DD/MM/YYYY")), IF(ISNUMBER(B396), B396, ""))</f>
        <v>45627</v>
      </c>
      <c r="D396" s="9" t="str">
        <f>IF(B396="","Missing", IF(AND(ISNUMBER(B396)=FALSE, C396=""),"Invalid - Could Not Parse", IF(AND(ISNUMBER(B396)=FALSE, C396&lt;&gt;""),"Text - Converted to Date", IF(ISNUMBER(B396),"Valid","Check"))))</f>
        <v>Text - Converted to Date</v>
      </c>
      <c r="E396" s="5">
        <f t="shared" si="49"/>
        <v>12</v>
      </c>
      <c r="F396" s="5">
        <f t="shared" si="50"/>
        <v>2024</v>
      </c>
      <c r="G396" s="3" t="s">
        <v>1464</v>
      </c>
      <c r="H396" s="9">
        <f>IFERROR(DATEVALUE(TEXT(G396,"DD/MM/YYYY")), IF(ISNUMBER(G396), G396, ""))</f>
        <v>45516</v>
      </c>
      <c r="I396" s="9" t="str">
        <f>IF(G396="","Missing", IF(AND(ISNUMBER(G396)=FALSE, H396=""),"Invalid - Could Not Parse", IF(AND(ISNUMBER(G396)=FALSE, H396&lt;&gt;""),"Text - Converted to Date", IF(ISNUMBER(G396),"Valid","Check"))))</f>
        <v>Text - Converted to Date</v>
      </c>
      <c r="J396" s="9" t="str">
        <f>IF(OR(C396="", H396=""), "Cannot Check - Date Missing", IF(H396&lt;C396, "Invalid - Ship Before Order", "Valid"))</f>
        <v>Invalid - Ship Before Order</v>
      </c>
      <c r="K396" s="5" t="str">
        <f>IF(OR(C396="", H396=""), "", IF(H396&lt;C396, "", H396-C396))</f>
        <v/>
      </c>
      <c r="L396" s="3" t="s">
        <v>1751</v>
      </c>
      <c r="M396" s="3" t="s">
        <v>162</v>
      </c>
      <c r="N396" s="4" t="str">
        <f>TRIM(SUBSTITUTE(M396,"_"," "))</f>
        <v>Aarav Sharma</v>
      </c>
      <c r="O396" s="3" t="s">
        <v>41</v>
      </c>
      <c r="P396" s="6" t="str">
        <f>PROPER(TRIM(SUBSTITUTE(O396,".","")))</f>
        <v>Small Business</v>
      </c>
      <c r="Q396" s="3" t="s">
        <v>73</v>
      </c>
      <c r="R396" s="7" t="str">
        <f>PROPER(TRIM(SUBSTITUTE(Q396,"  "," ")))</f>
        <v>West</v>
      </c>
      <c r="S396" s="3" t="s">
        <v>249</v>
      </c>
      <c r="T396" s="6" t="str">
        <f>PROPER(TRIM(SUBSTITUTE(S396,"  "," ")))</f>
        <v>Goa</v>
      </c>
      <c r="U396" s="3" t="s">
        <v>250</v>
      </c>
      <c r="V396" s="6" t="str">
        <f>PROPER(TRIM(SUBSTITUTE(U396,"  "," ")))</f>
        <v>Panaji</v>
      </c>
      <c r="W396" s="3" t="s">
        <v>45</v>
      </c>
      <c r="X396" s="6" t="str">
        <f>PROPER(TRIM(SUBSTITUTE(W396,"  "," ")))</f>
        <v>Furniture</v>
      </c>
      <c r="Y396" s="3" t="s">
        <v>76</v>
      </c>
      <c r="Z396" s="6" t="str">
        <f>PROPER(TRIM(SUBSTITUTE(Y396,"  "," ")))</f>
        <v>Chairs</v>
      </c>
      <c r="AA396" s="3" t="s">
        <v>1752</v>
      </c>
      <c r="AB396" s="3" t="s">
        <v>33</v>
      </c>
      <c r="AC396" s="6" t="str">
        <f>PROPER(TRIM(SUBSTITUTE(AB396,"  "," ")))</f>
        <v>Second Class</v>
      </c>
      <c r="AD396" s="3">
        <v>5</v>
      </c>
      <c r="AE396" s="3">
        <v>2981.49</v>
      </c>
      <c r="AF396" s="3">
        <v>0.2</v>
      </c>
      <c r="AG396" s="17">
        <v>0.2</v>
      </c>
      <c r="AH396" s="6" t="str">
        <f t="shared" si="51"/>
        <v>Valid</v>
      </c>
      <c r="AI396" s="3">
        <v>11925.96</v>
      </c>
      <c r="AJ396" s="3">
        <v>10103.51</v>
      </c>
      <c r="AK396" s="3">
        <v>1822.45</v>
      </c>
      <c r="AL396" s="3" t="s">
        <v>124</v>
      </c>
      <c r="AM396" s="6" t="str">
        <f>PROPER(TRIM(SUBSTITUTE(AL396,".","")))</f>
        <v>Refunded</v>
      </c>
      <c r="AN396" s="3" t="s">
        <v>125</v>
      </c>
      <c r="AO396" s="8" t="str">
        <f>PROPER(TRIM(SUBSTITUTE(AN396,".","")))</f>
        <v>Returned</v>
      </c>
      <c r="AP396" t="str">
        <f>IF(COUNTIF($A$2:$A$933, A396) &gt; 1, "Duplicate ID", "Unique")</f>
        <v>Unique</v>
      </c>
      <c r="AR396">
        <f t="shared" si="52"/>
        <v>11925.96</v>
      </c>
      <c r="AS396">
        <f t="shared" si="53"/>
        <v>1822.4499999999989</v>
      </c>
      <c r="AT396" s="15">
        <f t="shared" si="54"/>
        <v>0.15281369382422874</v>
      </c>
      <c r="AU396" t="str">
        <f t="shared" si="55"/>
        <v>Invalid</v>
      </c>
      <c r="AV396" s="8" t="str">
        <f t="shared" si="56"/>
        <v>Refund</v>
      </c>
    </row>
    <row r="397" spans="1:48">
      <c r="A397" s="3" t="s">
        <v>4013</v>
      </c>
      <c r="B397" s="3" t="s">
        <v>2538</v>
      </c>
      <c r="C397" s="9">
        <f>IFERROR(DATEVALUE(TEXT(B397,"DD/MM/YYYY")), IF(ISNUMBER(B397), B397, ""))</f>
        <v>45627</v>
      </c>
      <c r="D397" s="9" t="str">
        <f>IF(B397="","Missing", IF(AND(ISNUMBER(B397)=FALSE, C397=""),"Invalid - Could Not Parse", IF(AND(ISNUMBER(B397)=FALSE, C397&lt;&gt;""),"Text - Converted to Date", IF(ISNUMBER(B397),"Valid","Check"))))</f>
        <v>Text - Converted to Date</v>
      </c>
      <c r="E397" s="5">
        <f t="shared" si="49"/>
        <v>12</v>
      </c>
      <c r="F397" s="5">
        <f t="shared" si="50"/>
        <v>2024</v>
      </c>
      <c r="G397" s="3" t="s">
        <v>4014</v>
      </c>
      <c r="H397" s="9">
        <f>IFERROR(DATEVALUE(TEXT(G397,"DD/MM/YYYY")), IF(ISNUMBER(G397), G397, ""))</f>
        <v>45631</v>
      </c>
      <c r="I397" s="9" t="str">
        <f>IF(G397="","Missing", IF(AND(ISNUMBER(G397)=FALSE, H397=""),"Invalid - Could Not Parse", IF(AND(ISNUMBER(G397)=FALSE, H397&lt;&gt;""),"Text - Converted to Date", IF(ISNUMBER(G397),"Valid","Check"))))</f>
        <v>Text - Converted to Date</v>
      </c>
      <c r="J397" s="9" t="str">
        <f>IF(OR(C397="", H397=""), "Cannot Check - Date Missing", IF(H397&lt;C397, "Invalid - Ship Before Order", "Valid"))</f>
        <v>Valid</v>
      </c>
      <c r="K397" s="5">
        <f>IF(OR(C397="", H397=""), "", IF(H397&lt;C397, "", H397-C397))</f>
        <v>4</v>
      </c>
      <c r="L397" s="3" t="s">
        <v>4015</v>
      </c>
      <c r="M397" s="3" t="s">
        <v>72</v>
      </c>
      <c r="N397" s="4" t="str">
        <f>TRIM(SUBSTITUTE(M397,"_"," "))</f>
        <v>Ananya Rao</v>
      </c>
      <c r="O397" s="3" t="s">
        <v>41</v>
      </c>
      <c r="P397" s="6" t="str">
        <f>PROPER(TRIM(SUBSTITUTE(O397,".","")))</f>
        <v>Small Business</v>
      </c>
      <c r="Q397" s="3" t="s">
        <v>62</v>
      </c>
      <c r="R397" s="7" t="str">
        <f>PROPER(TRIM(SUBSTITUTE(Q397,"  "," ")))</f>
        <v>South</v>
      </c>
      <c r="S397" s="3" t="s">
        <v>100</v>
      </c>
      <c r="T397" s="6" t="str">
        <f>PROPER(TRIM(SUBSTITUTE(S397,"  "," ")))</f>
        <v>Andhra Pradesh</v>
      </c>
      <c r="U397" s="3" t="s">
        <v>101</v>
      </c>
      <c r="V397" s="6" t="str">
        <f>PROPER(TRIM(SUBSTITUTE(U397,"  "," ")))</f>
        <v>Vijayawada</v>
      </c>
      <c r="W397" s="3" t="s">
        <v>86</v>
      </c>
      <c r="X397" s="6" t="str">
        <f>PROPER(TRIM(SUBSTITUTE(W397,"  "," ")))</f>
        <v>Technology</v>
      </c>
      <c r="Y397" s="3" t="s">
        <v>94</v>
      </c>
      <c r="Z397" s="6" t="str">
        <f>PROPER(TRIM(SUBSTITUTE(Y397,"  "," ")))</f>
        <v>Copiers</v>
      </c>
      <c r="AA397" s="3" t="s">
        <v>4016</v>
      </c>
      <c r="AB397" s="3" t="s">
        <v>33</v>
      </c>
      <c r="AC397" s="6" t="str">
        <f>PROPER(TRIM(SUBSTITUTE(AB397,"  "," ")))</f>
        <v>Second Class</v>
      </c>
      <c r="AD397" s="3">
        <v>9</v>
      </c>
      <c r="AE397" s="3">
        <v>3726.75</v>
      </c>
      <c r="AF397" s="3">
        <v>0.25</v>
      </c>
      <c r="AG397" s="17">
        <v>0.25</v>
      </c>
      <c r="AH397" s="6" t="str">
        <f t="shared" si="51"/>
        <v>Valid</v>
      </c>
      <c r="AI397" s="3">
        <v>25155.56</v>
      </c>
      <c r="AJ397" s="3">
        <v>17592.689999999999</v>
      </c>
      <c r="AK397" s="3">
        <v>7562.87</v>
      </c>
      <c r="AL397" s="3" t="s">
        <v>34</v>
      </c>
      <c r="AM397" s="6" t="str">
        <f>PROPER(TRIM(SUBSTITUTE(AL397,".","")))</f>
        <v>Paid</v>
      </c>
      <c r="AN397" s="3" t="s">
        <v>35</v>
      </c>
      <c r="AO397" s="8" t="str">
        <f>PROPER(TRIM(SUBSTITUTE(AN397,".","")))</f>
        <v>Completed</v>
      </c>
      <c r="AP397" t="str">
        <f>IF(COUNTIF($A$2:$A$933, A397) &gt; 1, "Duplicate ID", "Unique")</f>
        <v>Unique</v>
      </c>
      <c r="AR397">
        <f t="shared" si="52"/>
        <v>25155.5625</v>
      </c>
      <c r="AS397">
        <f t="shared" si="53"/>
        <v>7562.8725000000013</v>
      </c>
      <c r="AT397" s="15">
        <f t="shared" si="54"/>
        <v>0.30064414182747856</v>
      </c>
      <c r="AU397" t="str">
        <f t="shared" si="55"/>
        <v>Clean</v>
      </c>
      <c r="AV397" s="8" t="str">
        <f t="shared" si="56"/>
        <v>Active</v>
      </c>
    </row>
    <row r="398" spans="1:48">
      <c r="A398" s="3" t="s">
        <v>302</v>
      </c>
      <c r="B398" s="3" t="s">
        <v>303</v>
      </c>
      <c r="C398" s="9">
        <f>IFERROR(DATEVALUE(TEXT(B398,"DD/MM/YYYY")), IF(ISNUMBER(B398), B398, ""))</f>
        <v>45629</v>
      </c>
      <c r="D398" s="9" t="str">
        <f>IF(B398="","Missing", IF(AND(ISNUMBER(B398)=FALSE, C398=""),"Invalid - Could Not Parse", IF(AND(ISNUMBER(B398)=FALSE, C398&lt;&gt;""),"Text - Converted to Date", IF(ISNUMBER(B398),"Valid","Check"))))</f>
        <v>Text - Converted to Date</v>
      </c>
      <c r="E398" s="5">
        <f t="shared" si="49"/>
        <v>12</v>
      </c>
      <c r="F398" s="5">
        <f t="shared" si="50"/>
        <v>2024</v>
      </c>
      <c r="G398" s="3" t="s">
        <v>304</v>
      </c>
      <c r="H398" s="9">
        <f>IFERROR(DATEVALUE(TEXT(G398,"DD/MM/YYYY")), IF(ISNUMBER(G398), G398, ""))</f>
        <v>45368</v>
      </c>
      <c r="I398" s="9" t="str">
        <f>IF(G398="","Missing", IF(AND(ISNUMBER(G398)=FALSE, H398=""),"Invalid - Could Not Parse", IF(AND(ISNUMBER(G398)=FALSE, H398&lt;&gt;""),"Text - Converted to Date", IF(ISNUMBER(G398),"Valid","Check"))))</f>
        <v>Text - Converted to Date</v>
      </c>
      <c r="J398" s="9" t="str">
        <f>IF(OR(C398="", H398=""), "Cannot Check - Date Missing", IF(H398&lt;C398, "Invalid - Ship Before Order", "Valid"))</f>
        <v>Invalid - Ship Before Order</v>
      </c>
      <c r="K398" s="5" t="str">
        <f>IF(OR(C398="", H398=""), "", IF(H398&lt;C398, "", H398-C398))</f>
        <v/>
      </c>
      <c r="L398" s="3" t="s">
        <v>305</v>
      </c>
      <c r="M398" s="3" t="s">
        <v>162</v>
      </c>
      <c r="N398" s="4" t="str">
        <f>TRIM(SUBSTITUTE(M398,"_"," "))</f>
        <v>Aarav Sharma</v>
      </c>
      <c r="O398" s="3" t="s">
        <v>41</v>
      </c>
      <c r="P398" s="6" t="str">
        <f>PROPER(TRIM(SUBSTITUTE(O398,".","")))</f>
        <v>Small Business</v>
      </c>
      <c r="Q398" s="3" t="s">
        <v>42</v>
      </c>
      <c r="R398" s="7" t="str">
        <f>PROPER(TRIM(SUBSTITUTE(Q398,"  "," ")))</f>
        <v>East</v>
      </c>
      <c r="S398" s="3" t="s">
        <v>43</v>
      </c>
      <c r="T398" s="6" t="str">
        <f>PROPER(TRIM(SUBSTITUTE(S398,"  "," ")))</f>
        <v>Odisha</v>
      </c>
      <c r="U398" s="3" t="s">
        <v>44</v>
      </c>
      <c r="V398" s="6" t="str">
        <f>PROPER(TRIM(SUBSTITUTE(U398,"  "," ")))</f>
        <v>Bhubaneswar</v>
      </c>
      <c r="W398" s="3" t="s">
        <v>45</v>
      </c>
      <c r="X398" s="6" t="str">
        <f>PROPER(TRIM(SUBSTITUTE(W398,"  "," ")))</f>
        <v>Furniture</v>
      </c>
      <c r="Y398" s="3" t="s">
        <v>204</v>
      </c>
      <c r="Z398" s="6" t="str">
        <f>PROPER(TRIM(SUBSTITUTE(Y398,"  "," ")))</f>
        <v>Bookcases</v>
      </c>
      <c r="AA398" s="3" t="s">
        <v>306</v>
      </c>
      <c r="AB398" s="3" t="s">
        <v>48</v>
      </c>
      <c r="AC398" s="6" t="str">
        <f>PROPER(TRIM(SUBSTITUTE(AB398,"  "," ")))</f>
        <v>Same Day</v>
      </c>
      <c r="AD398" s="3">
        <v>8</v>
      </c>
      <c r="AE398" s="3">
        <v>855.81</v>
      </c>
      <c r="AF398" s="3">
        <v>0</v>
      </c>
      <c r="AG398" s="17">
        <v>0</v>
      </c>
      <c r="AH398" s="6" t="str">
        <f t="shared" si="51"/>
        <v>Valid</v>
      </c>
      <c r="AI398" s="3">
        <v>6846.48</v>
      </c>
      <c r="AJ398" s="3">
        <v>4239.8900000000003</v>
      </c>
      <c r="AK398" s="3">
        <v>2606.59</v>
      </c>
      <c r="AL398" s="3" t="s">
        <v>137</v>
      </c>
      <c r="AM398" s="6" t="str">
        <f>PROPER(TRIM(SUBSTITUTE(AL398,".","")))</f>
        <v>Pending</v>
      </c>
      <c r="AN398" s="3" t="s">
        <v>78</v>
      </c>
      <c r="AO398" s="8" t="str">
        <f>PROPER(TRIM(SUBSTITUTE(AN398,".","")))</f>
        <v>Cancelled</v>
      </c>
      <c r="AP398" t="str">
        <f>IF(COUNTIF($A$2:$A$933, A398) &gt; 1, "Duplicate ID", "Unique")</f>
        <v>Unique</v>
      </c>
      <c r="AR398">
        <f t="shared" si="52"/>
        <v>6846.48</v>
      </c>
      <c r="AS398">
        <f t="shared" si="53"/>
        <v>2606.5899999999992</v>
      </c>
      <c r="AT398" s="15">
        <f t="shared" si="54"/>
        <v>0.38071972750961069</v>
      </c>
      <c r="AU398" t="str">
        <f t="shared" si="55"/>
        <v>Invalid</v>
      </c>
      <c r="AV398" s="8" t="str">
        <f t="shared" si="56"/>
        <v>Cancelled</v>
      </c>
    </row>
    <row r="399" spans="1:48">
      <c r="A399" s="3" t="s">
        <v>1070</v>
      </c>
      <c r="B399" s="3" t="s">
        <v>303</v>
      </c>
      <c r="C399" s="9">
        <f>IFERROR(DATEVALUE(TEXT(B399,"DD/MM/YYYY")), IF(ISNUMBER(B399), B399, ""))</f>
        <v>45629</v>
      </c>
      <c r="D399" s="9" t="str">
        <f>IF(B399="","Missing", IF(AND(ISNUMBER(B399)=FALSE, C399=""),"Invalid - Could Not Parse", IF(AND(ISNUMBER(B399)=FALSE, C399&lt;&gt;""),"Text - Converted to Date", IF(ISNUMBER(B399),"Valid","Check"))))</f>
        <v>Text - Converted to Date</v>
      </c>
      <c r="E399" s="5">
        <f t="shared" si="49"/>
        <v>12</v>
      </c>
      <c r="F399" s="5">
        <f t="shared" si="50"/>
        <v>2024</v>
      </c>
      <c r="G399" s="3" t="s">
        <v>1071</v>
      </c>
      <c r="H399" s="9">
        <f>IFERROR(DATEVALUE(TEXT(G399,"DD/MM/YYYY")), IF(ISNUMBER(G399), G399, ""))</f>
        <v>45363</v>
      </c>
      <c r="I399" s="9" t="str">
        <f>IF(G399="","Missing", IF(AND(ISNUMBER(G399)=FALSE, H399=""),"Invalid - Could Not Parse", IF(AND(ISNUMBER(G399)=FALSE, H399&lt;&gt;""),"Text - Converted to Date", IF(ISNUMBER(G399),"Valid","Check"))))</f>
        <v>Text - Converted to Date</v>
      </c>
      <c r="J399" s="9" t="str">
        <f>IF(OR(C399="", H399=""), "Cannot Check - Date Missing", IF(H399&lt;C399, "Invalid - Ship Before Order", "Valid"))</f>
        <v>Invalid - Ship Before Order</v>
      </c>
      <c r="K399" s="5" t="str">
        <f>IF(OR(C399="", H399=""), "", IF(H399&lt;C399, "", H399-C399))</f>
        <v/>
      </c>
      <c r="L399" s="3" t="s">
        <v>1072</v>
      </c>
      <c r="M399" s="3" t="s">
        <v>148</v>
      </c>
      <c r="N399" s="4" t="str">
        <f>TRIM(SUBSTITUTE(M399,"_"," "))</f>
        <v>Rahul Verma</v>
      </c>
      <c r="O399" s="3" t="s">
        <v>115</v>
      </c>
      <c r="P399" s="6" t="str">
        <f>PROPER(TRIM(SUBSTITUTE(O399,".","")))</f>
        <v>Home Office</v>
      </c>
      <c r="Q399" s="3" t="s">
        <v>42</v>
      </c>
      <c r="R399" s="7" t="str">
        <f>PROPER(TRIM(SUBSTITUTE(Q399,"  "," ")))</f>
        <v>East</v>
      </c>
      <c r="S399" s="3" t="s">
        <v>186</v>
      </c>
      <c r="T399" s="6" t="str">
        <f>PROPER(TRIM(SUBSTITUTE(S399,"  "," ")))</f>
        <v>Bihar</v>
      </c>
      <c r="U399" s="3" t="s">
        <v>187</v>
      </c>
      <c r="V399" s="6" t="str">
        <f>PROPER(TRIM(SUBSTITUTE(U399,"  "," ")))</f>
        <v>Patna</v>
      </c>
      <c r="W399" s="3" t="s">
        <v>86</v>
      </c>
      <c r="X399" s="6" t="str">
        <f>PROPER(TRIM(SUBSTITUTE(W399,"  "," ")))</f>
        <v>Technology</v>
      </c>
      <c r="Y399" s="3" t="s">
        <v>382</v>
      </c>
      <c r="Z399" s="6" t="str">
        <f>PROPER(TRIM(SUBSTITUTE(Y399,"  "," ")))</f>
        <v>Machines</v>
      </c>
      <c r="AA399" s="3" t="s">
        <v>1073</v>
      </c>
      <c r="AB399" s="3"/>
      <c r="AC399" s="11" t="str">
        <f>IF(ISBLANK(AB399), "Unknown", AB399)</f>
        <v>Unknown</v>
      </c>
      <c r="AD399" s="3">
        <v>6</v>
      </c>
      <c r="AE399" s="3">
        <v>2185.58</v>
      </c>
      <c r="AF399" s="3">
        <v>0.25</v>
      </c>
      <c r="AG399" s="17">
        <v>0.25</v>
      </c>
      <c r="AH399" s="6" t="str">
        <f t="shared" si="51"/>
        <v>Valid</v>
      </c>
      <c r="AI399" s="3">
        <v>9835.11</v>
      </c>
      <c r="AJ399" s="3">
        <v>5437.64</v>
      </c>
      <c r="AK399" s="3">
        <v>4397.47</v>
      </c>
      <c r="AL399" s="3" t="s">
        <v>34</v>
      </c>
      <c r="AM399" s="6" t="str">
        <f>PROPER(TRIM(SUBSTITUTE(AL399,".","")))</f>
        <v>Paid</v>
      </c>
      <c r="AN399" s="3" t="s">
        <v>35</v>
      </c>
      <c r="AO399" s="8" t="str">
        <f>PROPER(TRIM(SUBSTITUTE(AN399,".","")))</f>
        <v>Completed</v>
      </c>
      <c r="AP399" t="str">
        <f>IF(COUNTIF($A$2:$A$933, A399) &gt; 1, "Duplicate ID", "Unique")</f>
        <v>Unique</v>
      </c>
      <c r="AR399">
        <f t="shared" si="52"/>
        <v>9835.11</v>
      </c>
      <c r="AS399">
        <f t="shared" si="53"/>
        <v>4397.47</v>
      </c>
      <c r="AT399" s="15">
        <f t="shared" si="54"/>
        <v>0.44711955433136996</v>
      </c>
      <c r="AU399" t="str">
        <f t="shared" si="55"/>
        <v>Invalid</v>
      </c>
      <c r="AV399" s="8" t="str">
        <f t="shared" si="56"/>
        <v>Active</v>
      </c>
    </row>
    <row r="400" spans="1:48">
      <c r="A400" s="3" t="s">
        <v>3434</v>
      </c>
      <c r="B400" s="3" t="s">
        <v>3435</v>
      </c>
      <c r="C400" s="9">
        <f>IFERROR(DATEVALUE(TEXT(B400,"DD/MM/YYYY")), IF(ISNUMBER(B400), B400, ""))</f>
        <v>45629</v>
      </c>
      <c r="D400" s="9" t="str">
        <f>IF(B400="","Missing", IF(AND(ISNUMBER(B400)=FALSE, C400=""),"Invalid - Could Not Parse", IF(AND(ISNUMBER(B400)=FALSE, C400&lt;&gt;""),"Text - Converted to Date", IF(ISNUMBER(B400),"Valid","Check"))))</f>
        <v>Text - Converted to Date</v>
      </c>
      <c r="E400" s="5">
        <f t="shared" si="49"/>
        <v>12</v>
      </c>
      <c r="F400" s="5">
        <f t="shared" si="50"/>
        <v>2024</v>
      </c>
      <c r="G400" s="3" t="s">
        <v>3436</v>
      </c>
      <c r="H400" s="9">
        <f>IFERROR(DATEVALUE(TEXT(G400,"DD/MM/YYYY")), IF(ISNUMBER(G400), G400, ""))</f>
        <v>45577</v>
      </c>
      <c r="I400" s="9" t="str">
        <f>IF(G400="","Missing", IF(AND(ISNUMBER(G400)=FALSE, H400=""),"Invalid - Could Not Parse", IF(AND(ISNUMBER(G400)=FALSE, H400&lt;&gt;""),"Text - Converted to Date", IF(ISNUMBER(G400),"Valid","Check"))))</f>
        <v>Text - Converted to Date</v>
      </c>
      <c r="J400" s="9" t="str">
        <f>IF(OR(C400="", H400=""), "Cannot Check - Date Missing", IF(H400&lt;C400, "Invalid - Ship Before Order", "Valid"))</f>
        <v>Invalid - Ship Before Order</v>
      </c>
      <c r="K400" s="5" t="str">
        <f>IF(OR(C400="", H400=""), "", IF(H400&lt;C400, "", H400-C400))</f>
        <v/>
      </c>
      <c r="L400" s="3" t="s">
        <v>3437</v>
      </c>
      <c r="M400" s="3" t="s">
        <v>93</v>
      </c>
      <c r="N400" s="4" t="str">
        <f>TRIM(SUBSTITUTE(M400,"_"," "))</f>
        <v>Neha Gupta</v>
      </c>
      <c r="O400" s="3" t="s">
        <v>108</v>
      </c>
      <c r="P400" s="6" t="str">
        <f>PROPER(TRIM(SUBSTITUTE(O400,".","")))</f>
        <v>Corporate</v>
      </c>
      <c r="Q400" s="3" t="s">
        <v>27</v>
      </c>
      <c r="R400" s="7" t="str">
        <f>PROPER(TRIM(SUBSTITUTE(Q400,"  "," ")))</f>
        <v>North</v>
      </c>
      <c r="S400" s="3" t="s">
        <v>28</v>
      </c>
      <c r="T400" s="6" t="str">
        <f>PROPER(TRIM(SUBSTITUTE(S400,"  "," ")))</f>
        <v>Rajasthan</v>
      </c>
      <c r="U400" s="3" t="s">
        <v>29</v>
      </c>
      <c r="V400" s="6" t="str">
        <f>PROPER(TRIM(SUBSTITUTE(U400,"  "," ")))</f>
        <v>Jaipur</v>
      </c>
      <c r="W400" s="3" t="s">
        <v>86</v>
      </c>
      <c r="X400" s="6" t="str">
        <f>PROPER(TRIM(SUBSTITUTE(W400,"  "," ")))</f>
        <v>Technology</v>
      </c>
      <c r="Y400" s="3" t="s">
        <v>223</v>
      </c>
      <c r="Z400" s="6" t="str">
        <f>PROPER(TRIM(SUBSTITUTE(Y400,"  "," ")))</f>
        <v>Phones</v>
      </c>
      <c r="AA400" s="3" t="s">
        <v>3438</v>
      </c>
      <c r="AB400" s="3" t="s">
        <v>67</v>
      </c>
      <c r="AC400" s="6" t="str">
        <f>PROPER(TRIM(SUBSTITUTE(AB400,"  "," ")))</f>
        <v>Standard Class</v>
      </c>
      <c r="AD400" s="3">
        <v>5</v>
      </c>
      <c r="AE400" s="3">
        <v>2393.86</v>
      </c>
      <c r="AF400" s="3">
        <v>0.05</v>
      </c>
      <c r="AG400" s="17">
        <v>0.05</v>
      </c>
      <c r="AH400" s="6" t="str">
        <f t="shared" si="51"/>
        <v>Valid</v>
      </c>
      <c r="AI400" s="3">
        <v>11370.84</v>
      </c>
      <c r="AJ400" s="3">
        <v>7469.58</v>
      </c>
      <c r="AK400" s="3">
        <v>3901.26</v>
      </c>
      <c r="AL400" s="3" t="s">
        <v>34</v>
      </c>
      <c r="AM400" s="6" t="str">
        <f>PROPER(TRIM(SUBSTITUTE(AL400,".","")))</f>
        <v>Paid</v>
      </c>
      <c r="AN400" s="3" t="s">
        <v>35</v>
      </c>
      <c r="AO400" s="8" t="str">
        <f>PROPER(TRIM(SUBSTITUTE(AN400,".","")))</f>
        <v>Completed</v>
      </c>
      <c r="AP400" t="str">
        <f>IF(COUNTIF($A$2:$A$933, A400) &gt; 1, "Duplicate ID", "Unique")</f>
        <v>Unique</v>
      </c>
      <c r="AR400">
        <f t="shared" si="52"/>
        <v>11370.835000000001</v>
      </c>
      <c r="AS400">
        <f t="shared" si="53"/>
        <v>3901.255000000001</v>
      </c>
      <c r="AT400" s="15">
        <f t="shared" si="54"/>
        <v>0.34309309738466881</v>
      </c>
      <c r="AU400" t="str">
        <f t="shared" si="55"/>
        <v>Invalid</v>
      </c>
      <c r="AV400" s="8" t="str">
        <f t="shared" si="56"/>
        <v>Active</v>
      </c>
    </row>
    <row r="401" spans="1:48">
      <c r="A401" s="3" t="s">
        <v>1677</v>
      </c>
      <c r="B401" s="3" t="s">
        <v>705</v>
      </c>
      <c r="C401" s="9">
        <f>IFERROR(DATEVALUE(TEXT(B401,"DD/MM/YYYY")), IF(ISNUMBER(B401), B401, ""))</f>
        <v>45630</v>
      </c>
      <c r="D401" s="9" t="str">
        <f>IF(B401="","Missing", IF(AND(ISNUMBER(B401)=FALSE, C401=""),"Invalid - Could Not Parse", IF(AND(ISNUMBER(B401)=FALSE, C401&lt;&gt;""),"Text - Converted to Date", IF(ISNUMBER(B401),"Valid","Check"))))</f>
        <v>Text - Converted to Date</v>
      </c>
      <c r="E401" s="5">
        <f t="shared" si="49"/>
        <v>12</v>
      </c>
      <c r="F401" s="5">
        <f t="shared" si="50"/>
        <v>2024</v>
      </c>
      <c r="G401" s="3" t="s">
        <v>1678</v>
      </c>
      <c r="H401" s="9">
        <f>IFERROR(DATEVALUE(TEXT(G401,"DD/MM/YYYY")), IF(ISNUMBER(G401), G401, ""))</f>
        <v>45632</v>
      </c>
      <c r="I401" s="9" t="str">
        <f>IF(G401="","Missing", IF(AND(ISNUMBER(G401)=FALSE, H401=""),"Invalid - Could Not Parse", IF(AND(ISNUMBER(G401)=FALSE, H401&lt;&gt;""),"Text - Converted to Date", IF(ISNUMBER(G401),"Valid","Check"))))</f>
        <v>Text - Converted to Date</v>
      </c>
      <c r="J401" s="9" t="str">
        <f>IF(OR(C401="", H401=""), "Cannot Check - Date Missing", IF(H401&lt;C401, "Invalid - Ship Before Order", "Valid"))</f>
        <v>Valid</v>
      </c>
      <c r="K401" s="5">
        <f>IF(OR(C401="", H401=""), "", IF(H401&lt;C401, "", H401-C401))</f>
        <v>2</v>
      </c>
      <c r="L401" s="3" t="s">
        <v>1679</v>
      </c>
      <c r="M401" s="3" t="s">
        <v>168</v>
      </c>
      <c r="N401" s="4" t="str">
        <f>TRIM(SUBSTITUTE(M401,"_"," "))</f>
        <v>Sneha Kapoor</v>
      </c>
      <c r="O401" s="3" t="s">
        <v>115</v>
      </c>
      <c r="P401" s="6" t="str">
        <f>PROPER(TRIM(SUBSTITUTE(O401,".","")))</f>
        <v>Home Office</v>
      </c>
      <c r="Q401" s="3" t="s">
        <v>42</v>
      </c>
      <c r="R401" s="7" t="str">
        <f>PROPER(TRIM(SUBSTITUTE(Q401,"  "," ")))</f>
        <v>East</v>
      </c>
      <c r="S401" s="3" t="s">
        <v>43</v>
      </c>
      <c r="T401" s="6" t="str">
        <f>PROPER(TRIM(SUBSTITUTE(S401,"  "," ")))</f>
        <v>Odisha</v>
      </c>
      <c r="U401" s="3" t="s">
        <v>44</v>
      </c>
      <c r="V401" s="6" t="str">
        <f>PROPER(TRIM(SUBSTITUTE(U401,"  "," ")))</f>
        <v>Bhubaneswar</v>
      </c>
      <c r="W401" s="3" t="s">
        <v>30</v>
      </c>
      <c r="X401" s="6" t="str">
        <f>PROPER(TRIM(SUBSTITUTE(W401,"  "," ")))</f>
        <v>Office Supplies</v>
      </c>
      <c r="Y401" s="3" t="s">
        <v>198</v>
      </c>
      <c r="Z401" s="6" t="str">
        <f>PROPER(TRIM(SUBSTITUTE(Y401,"  "," ")))</f>
        <v>Binders</v>
      </c>
      <c r="AA401" s="3" t="s">
        <v>1680</v>
      </c>
      <c r="AB401" s="3" t="s">
        <v>33</v>
      </c>
      <c r="AC401" s="6" t="str">
        <f>PROPER(TRIM(SUBSTITUTE(AB401,"  "," ")))</f>
        <v>Second Class</v>
      </c>
      <c r="AD401" s="3">
        <v>4</v>
      </c>
      <c r="AE401" s="3">
        <v>2685.66</v>
      </c>
      <c r="AF401" s="3">
        <v>0</v>
      </c>
      <c r="AG401" s="17">
        <v>0</v>
      </c>
      <c r="AH401" s="6" t="str">
        <f t="shared" si="51"/>
        <v>Valid</v>
      </c>
      <c r="AI401" s="3">
        <v>10742.64</v>
      </c>
      <c r="AJ401" s="3">
        <v>6477.37</v>
      </c>
      <c r="AK401" s="3">
        <v>4265.2700000000004</v>
      </c>
      <c r="AL401" s="3" t="s">
        <v>34</v>
      </c>
      <c r="AM401" s="6" t="str">
        <f>PROPER(TRIM(SUBSTITUTE(AL401,".","")))</f>
        <v>Paid</v>
      </c>
      <c r="AN401" s="3" t="s">
        <v>125</v>
      </c>
      <c r="AO401" s="8" t="str">
        <f>PROPER(TRIM(SUBSTITUTE(AN401,".","")))</f>
        <v>Returned</v>
      </c>
      <c r="AP401" t="str">
        <f>IF(COUNTIF($A$2:$A$933, A401) &gt; 1, "Duplicate ID", "Unique")</f>
        <v>Duplicate ID</v>
      </c>
      <c r="AQ401" t="s">
        <v>4106</v>
      </c>
      <c r="AR401">
        <f t="shared" si="52"/>
        <v>10742.64</v>
      </c>
      <c r="AS401">
        <f t="shared" si="53"/>
        <v>4265.2699999999995</v>
      </c>
      <c r="AT401" s="15">
        <f t="shared" si="54"/>
        <v>0.39704113700170535</v>
      </c>
      <c r="AU401" t="str">
        <f t="shared" si="55"/>
        <v>Invalid</v>
      </c>
      <c r="AV401" s="8" t="str">
        <f t="shared" si="56"/>
        <v>Active</v>
      </c>
    </row>
    <row r="402" spans="1:48">
      <c r="A402" s="3" t="s">
        <v>1677</v>
      </c>
      <c r="B402" s="3" t="s">
        <v>705</v>
      </c>
      <c r="C402" s="9">
        <f>IFERROR(DATEVALUE(TEXT(B402,"DD/MM/YYYY")), IF(ISNUMBER(B402), B402, ""))</f>
        <v>45630</v>
      </c>
      <c r="D402" s="9" t="str">
        <f>IF(B402="","Missing", IF(AND(ISNUMBER(B402)=FALSE, C402=""),"Invalid - Could Not Parse", IF(AND(ISNUMBER(B402)=FALSE, C402&lt;&gt;""),"Text - Converted to Date", IF(ISNUMBER(B402),"Valid","Check"))))</f>
        <v>Text - Converted to Date</v>
      </c>
      <c r="E402" s="5">
        <f t="shared" si="49"/>
        <v>12</v>
      </c>
      <c r="F402" s="5">
        <f t="shared" si="50"/>
        <v>2024</v>
      </c>
      <c r="G402" s="3" t="s">
        <v>1678</v>
      </c>
      <c r="H402" s="9">
        <f>IFERROR(DATEVALUE(TEXT(G402,"DD/MM/YYYY")), IF(ISNUMBER(G402), G402, ""))</f>
        <v>45632</v>
      </c>
      <c r="I402" s="9" t="str">
        <f>IF(G402="","Missing", IF(AND(ISNUMBER(G402)=FALSE, H402=""),"Invalid - Could Not Parse", IF(AND(ISNUMBER(G402)=FALSE, H402&lt;&gt;""),"Text - Converted to Date", IF(ISNUMBER(G402),"Valid","Check"))))</f>
        <v>Text - Converted to Date</v>
      </c>
      <c r="J402" s="9" t="str">
        <f>IF(OR(C402="", H402=""), "Cannot Check - Date Missing", IF(H402&lt;C402, "Invalid - Ship Before Order", "Valid"))</f>
        <v>Valid</v>
      </c>
      <c r="K402" s="5">
        <f>IF(OR(C402="", H402=""), "", IF(H402&lt;C402, "", H402-C402))</f>
        <v>2</v>
      </c>
      <c r="L402" s="3" t="s">
        <v>1679</v>
      </c>
      <c r="M402" s="3" t="s">
        <v>168</v>
      </c>
      <c r="N402" s="4" t="str">
        <f>TRIM(SUBSTITUTE(M402,"_"," "))</f>
        <v>Sneha Kapoor</v>
      </c>
      <c r="O402" s="3" t="s">
        <v>115</v>
      </c>
      <c r="P402" s="6" t="str">
        <f>PROPER(TRIM(SUBSTITUTE(O402,".","")))</f>
        <v>Home Office</v>
      </c>
      <c r="Q402" s="3" t="s">
        <v>42</v>
      </c>
      <c r="R402" s="7" t="str">
        <f>PROPER(TRIM(SUBSTITUTE(Q402,"  "," ")))</f>
        <v>East</v>
      </c>
      <c r="S402" s="3" t="s">
        <v>43</v>
      </c>
      <c r="T402" s="6" t="str">
        <f>PROPER(TRIM(SUBSTITUTE(S402,"  "," ")))</f>
        <v>Odisha</v>
      </c>
      <c r="U402" s="3" t="s">
        <v>44</v>
      </c>
      <c r="V402" s="6" t="str">
        <f>PROPER(TRIM(SUBSTITUTE(U402,"  "," ")))</f>
        <v>Bhubaneswar</v>
      </c>
      <c r="W402" s="3" t="s">
        <v>30</v>
      </c>
      <c r="X402" s="6" t="str">
        <f>PROPER(TRIM(SUBSTITUTE(W402,"  "," ")))</f>
        <v>Office Supplies</v>
      </c>
      <c r="Y402" s="3" t="s">
        <v>198</v>
      </c>
      <c r="Z402" s="6" t="str">
        <f>PROPER(TRIM(SUBSTITUTE(Y402,"  "," ")))</f>
        <v>Binders</v>
      </c>
      <c r="AA402" s="3" t="s">
        <v>1680</v>
      </c>
      <c r="AB402" s="3" t="s">
        <v>33</v>
      </c>
      <c r="AC402" s="6" t="str">
        <f>PROPER(TRIM(SUBSTITUTE(AB402,"  "," ")))</f>
        <v>Second Class</v>
      </c>
      <c r="AD402" s="3">
        <v>4</v>
      </c>
      <c r="AE402" s="3">
        <v>2685.66</v>
      </c>
      <c r="AF402" s="3">
        <v>0</v>
      </c>
      <c r="AG402" s="17">
        <v>0</v>
      </c>
      <c r="AH402" s="6" t="str">
        <f t="shared" si="51"/>
        <v>Valid</v>
      </c>
      <c r="AI402" s="3">
        <v>10989.89</v>
      </c>
      <c r="AJ402" s="3">
        <v>6477.37</v>
      </c>
      <c r="AK402" s="3">
        <v>4265.2700000000004</v>
      </c>
      <c r="AL402" s="3" t="s">
        <v>34</v>
      </c>
      <c r="AM402" s="6" t="str">
        <f>PROPER(TRIM(SUBSTITUTE(AL402,".","")))</f>
        <v>Paid</v>
      </c>
      <c r="AN402" s="3" t="s">
        <v>35</v>
      </c>
      <c r="AO402" s="8" t="str">
        <f>PROPER(TRIM(SUBSTITUTE(AN402,".","")))</f>
        <v>Completed</v>
      </c>
      <c r="AP402" t="str">
        <f>IF(COUNTIF($A$2:$A$933, A402) &gt; 1, "Duplicate ID", "Unique")</f>
        <v>Duplicate ID</v>
      </c>
      <c r="AQ402" t="s">
        <v>4106</v>
      </c>
      <c r="AR402">
        <f t="shared" si="52"/>
        <v>10742.64</v>
      </c>
      <c r="AS402">
        <f t="shared" si="53"/>
        <v>4265.2699999999995</v>
      </c>
      <c r="AT402" s="15">
        <f t="shared" si="54"/>
        <v>0.39704113700170535</v>
      </c>
      <c r="AU402" t="str">
        <f t="shared" si="55"/>
        <v>Invalid</v>
      </c>
      <c r="AV402" s="8" t="str">
        <f t="shared" si="56"/>
        <v>Active</v>
      </c>
    </row>
    <row r="403" spans="1:48">
      <c r="A403" s="3" t="s">
        <v>2820</v>
      </c>
      <c r="B403" s="3" t="s">
        <v>2821</v>
      </c>
      <c r="C403" s="9">
        <f>IFERROR(DATEVALUE(TEXT(B403,"DD/MM/YYYY")), IF(ISNUMBER(B403), B403, ""))</f>
        <v>45632</v>
      </c>
      <c r="D403" s="9" t="str">
        <f>IF(B403="","Missing", IF(AND(ISNUMBER(B403)=FALSE, C403=""),"Invalid - Could Not Parse", IF(AND(ISNUMBER(B403)=FALSE, C403&lt;&gt;""),"Text - Converted to Date", IF(ISNUMBER(B403),"Valid","Check"))))</f>
        <v>Text - Converted to Date</v>
      </c>
      <c r="E403" s="5">
        <f t="shared" si="49"/>
        <v>12</v>
      </c>
      <c r="F403" s="5">
        <f t="shared" si="50"/>
        <v>2024</v>
      </c>
      <c r="G403" s="3" t="s">
        <v>2822</v>
      </c>
      <c r="H403" s="9">
        <f>IFERROR(DATEVALUE(TEXT(G403,"DD/MM/YYYY")), IF(ISNUMBER(G403), G403, ""))</f>
        <v>45638</v>
      </c>
      <c r="I403" s="9" t="str">
        <f>IF(G403="","Missing", IF(AND(ISNUMBER(G403)=FALSE, H403=""),"Invalid - Could Not Parse", IF(AND(ISNUMBER(G403)=FALSE, H403&lt;&gt;""),"Text - Converted to Date", IF(ISNUMBER(G403),"Valid","Check"))))</f>
        <v>Text - Converted to Date</v>
      </c>
      <c r="J403" s="9" t="str">
        <f>IF(OR(C403="", H403=""), "Cannot Check - Date Missing", IF(H403&lt;C403, "Invalid - Ship Before Order", "Valid"))</f>
        <v>Valid</v>
      </c>
      <c r="K403" s="5">
        <f>IF(OR(C403="", H403=""), "", IF(H403&lt;C403, "", H403-C403))</f>
        <v>6</v>
      </c>
      <c r="L403" s="3" t="s">
        <v>2823</v>
      </c>
      <c r="M403" s="3" t="s">
        <v>180</v>
      </c>
      <c r="N403" s="4" t="str">
        <f>TRIM(SUBSTITUTE(M403,"_"," "))</f>
        <v>Rohan Mehta</v>
      </c>
      <c r="O403" s="3" t="s">
        <v>108</v>
      </c>
      <c r="P403" s="6" t="str">
        <f>PROPER(TRIM(SUBSTITUTE(O403,".","")))</f>
        <v>Corporate</v>
      </c>
      <c r="Q403" s="3" t="s">
        <v>27</v>
      </c>
      <c r="R403" s="7" t="str">
        <f>PROPER(TRIM(SUBSTITUTE(Q403,"  "," ")))</f>
        <v>North</v>
      </c>
      <c r="S403" s="3" t="s">
        <v>174</v>
      </c>
      <c r="T403" s="6" t="str">
        <f>PROPER(TRIM(SUBSTITUTE(S403,"  "," ")))</f>
        <v>Uttar Pradesh</v>
      </c>
      <c r="U403" s="3" t="s">
        <v>175</v>
      </c>
      <c r="V403" s="6" t="str">
        <f>PROPER(TRIM(SUBSTITUTE(U403,"  "," ")))</f>
        <v>Noida</v>
      </c>
      <c r="W403" s="3" t="s">
        <v>86</v>
      </c>
      <c r="X403" s="6" t="str">
        <f>PROPER(TRIM(SUBSTITUTE(W403,"  "," ")))</f>
        <v>Technology</v>
      </c>
      <c r="Y403" s="3" t="s">
        <v>223</v>
      </c>
      <c r="Z403" s="6" t="str">
        <f>PROPER(TRIM(SUBSTITUTE(Y403,"  "," ")))</f>
        <v>Phones</v>
      </c>
      <c r="AA403" s="3" t="s">
        <v>2824</v>
      </c>
      <c r="AB403" s="3" t="s">
        <v>56</v>
      </c>
      <c r="AC403" s="6" t="str">
        <f>PROPER(TRIM(SUBSTITUTE(AB403,"  "," ")))</f>
        <v>First Class</v>
      </c>
      <c r="AD403" s="3">
        <v>3</v>
      </c>
      <c r="AE403" s="3">
        <v>524.75</v>
      </c>
      <c r="AF403" s="3">
        <v>0</v>
      </c>
      <c r="AG403" s="17">
        <v>0</v>
      </c>
      <c r="AH403" s="6" t="str">
        <f t="shared" si="51"/>
        <v>Valid</v>
      </c>
      <c r="AI403" s="3">
        <v>1574.25</v>
      </c>
      <c r="AJ403" s="3">
        <v>1326.12</v>
      </c>
      <c r="AK403" s="3">
        <v>248.13</v>
      </c>
      <c r="AL403" s="3" t="s">
        <v>34</v>
      </c>
      <c r="AM403" s="6" t="str">
        <f>PROPER(TRIM(SUBSTITUTE(AL403,".","")))</f>
        <v>Paid</v>
      </c>
      <c r="AN403" s="3" t="s">
        <v>35</v>
      </c>
      <c r="AO403" s="8" t="str">
        <f>PROPER(TRIM(SUBSTITUTE(AN403,".","")))</f>
        <v>Completed</v>
      </c>
      <c r="AP403" t="str">
        <f>IF(COUNTIF($A$2:$A$933, A403) &gt; 1, "Duplicate ID", "Unique")</f>
        <v>Unique</v>
      </c>
      <c r="AR403">
        <f t="shared" si="52"/>
        <v>1574.25</v>
      </c>
      <c r="AS403">
        <f t="shared" si="53"/>
        <v>248.13000000000011</v>
      </c>
      <c r="AT403" s="15">
        <f t="shared" si="54"/>
        <v>0.15761791329204389</v>
      </c>
      <c r="AU403" t="str">
        <f t="shared" si="55"/>
        <v>Clean</v>
      </c>
      <c r="AV403" s="8" t="str">
        <f t="shared" si="56"/>
        <v>Active</v>
      </c>
    </row>
    <row r="404" spans="1:48">
      <c r="A404" s="3" t="s">
        <v>3423</v>
      </c>
      <c r="B404" s="3" t="s">
        <v>2821</v>
      </c>
      <c r="C404" s="9">
        <f>IFERROR(DATEVALUE(TEXT(B404,"DD/MM/YYYY")), IF(ISNUMBER(B404), B404, ""))</f>
        <v>45632</v>
      </c>
      <c r="D404" s="9" t="str">
        <f>IF(B404="","Missing", IF(AND(ISNUMBER(B404)=FALSE, C404=""),"Invalid - Could Not Parse", IF(AND(ISNUMBER(B404)=FALSE, C404&lt;&gt;""),"Text - Converted to Date", IF(ISNUMBER(B404),"Valid","Check"))))</f>
        <v>Text - Converted to Date</v>
      </c>
      <c r="E404" s="5">
        <f t="shared" si="49"/>
        <v>12</v>
      </c>
      <c r="F404" s="5">
        <f t="shared" si="50"/>
        <v>2024</v>
      </c>
      <c r="G404" s="3" t="s">
        <v>3424</v>
      </c>
      <c r="H404" s="9">
        <f>IFERROR(DATEVALUE(TEXT(G404,"DD/MM/YYYY")), IF(ISNUMBER(G404), G404, ""))</f>
        <v>45635</v>
      </c>
      <c r="I404" s="9" t="str">
        <f>IF(G404="","Missing", IF(AND(ISNUMBER(G404)=FALSE, H404=""),"Invalid - Could Not Parse", IF(AND(ISNUMBER(G404)=FALSE, H404&lt;&gt;""),"Text - Converted to Date", IF(ISNUMBER(G404),"Valid","Check"))))</f>
        <v>Text - Converted to Date</v>
      </c>
      <c r="J404" s="9" t="str">
        <f>IF(OR(C404="", H404=""), "Cannot Check - Date Missing", IF(H404&lt;C404, "Invalid - Ship Before Order", "Valid"))</f>
        <v>Valid</v>
      </c>
      <c r="K404" s="5">
        <f>IF(OR(C404="", H404=""), "", IF(H404&lt;C404, "", H404-C404))</f>
        <v>3</v>
      </c>
      <c r="L404" s="3" t="s">
        <v>3425</v>
      </c>
      <c r="M404" s="3" t="s">
        <v>107</v>
      </c>
      <c r="N404" s="4" t="str">
        <f>TRIM(SUBSTITUTE(M404,"_"," "))</f>
        <v>Aditi Sen</v>
      </c>
      <c r="O404" s="3" t="s">
        <v>26</v>
      </c>
      <c r="P404" s="6" t="str">
        <f>PROPER(TRIM(SUBSTITUTE(O404,".","")))</f>
        <v>Consumer</v>
      </c>
      <c r="Q404" s="3" t="s">
        <v>73</v>
      </c>
      <c r="R404" s="7" t="str">
        <f>PROPER(TRIM(SUBSTITUTE(Q404,"  "," ")))</f>
        <v>West</v>
      </c>
      <c r="S404" s="3" t="s">
        <v>74</v>
      </c>
      <c r="T404" s="6" t="str">
        <f>PROPER(TRIM(SUBSTITUTE(S404,"  "," ")))</f>
        <v>Maharashtra</v>
      </c>
      <c r="U404" s="3" t="s">
        <v>75</v>
      </c>
      <c r="V404" s="6" t="str">
        <f>PROPER(TRIM(SUBSTITUTE(U404,"  "," ")))</f>
        <v>Mumbai</v>
      </c>
      <c r="W404" s="3" t="s">
        <v>45</v>
      </c>
      <c r="X404" s="6" t="str">
        <f>PROPER(TRIM(SUBSTITUTE(W404,"  "," ")))</f>
        <v>Furniture</v>
      </c>
      <c r="Y404" s="3" t="s">
        <v>76</v>
      </c>
      <c r="Z404" s="6" t="str">
        <f>PROPER(TRIM(SUBSTITUTE(Y404,"  "," ")))</f>
        <v>Chairs</v>
      </c>
      <c r="AA404" s="3" t="s">
        <v>3426</v>
      </c>
      <c r="AB404" s="3" t="s">
        <v>33</v>
      </c>
      <c r="AC404" s="6" t="str">
        <f>PROPER(TRIM(SUBSTITUTE(AB404,"  "," ")))</f>
        <v>Second Class</v>
      </c>
      <c r="AD404" s="3">
        <v>9</v>
      </c>
      <c r="AE404" s="3">
        <v>290.75</v>
      </c>
      <c r="AF404" s="3">
        <v>0.1</v>
      </c>
      <c r="AG404" s="17">
        <v>0.1</v>
      </c>
      <c r="AH404" s="6" t="str">
        <f t="shared" si="51"/>
        <v>Valid</v>
      </c>
      <c r="AI404" s="3">
        <v>2355.08</v>
      </c>
      <c r="AJ404" s="3">
        <v>1350.03</v>
      </c>
      <c r="AK404" s="3">
        <v>1005.05</v>
      </c>
      <c r="AL404" s="3" t="s">
        <v>34</v>
      </c>
      <c r="AM404" s="6" t="str">
        <f>PROPER(TRIM(SUBSTITUTE(AL404,".","")))</f>
        <v>Paid</v>
      </c>
      <c r="AN404" s="3" t="s">
        <v>35</v>
      </c>
      <c r="AO404" s="8" t="str">
        <f>PROPER(TRIM(SUBSTITUTE(AN404,".","")))</f>
        <v>Completed</v>
      </c>
      <c r="AP404" t="str">
        <f>IF(COUNTIF($A$2:$A$933, A404) &gt; 1, "Duplicate ID", "Unique")</f>
        <v>Unique</v>
      </c>
      <c r="AR404">
        <f t="shared" si="52"/>
        <v>2355.0750000000003</v>
      </c>
      <c r="AS404">
        <f t="shared" si="53"/>
        <v>1005.0450000000003</v>
      </c>
      <c r="AT404" s="15">
        <f t="shared" si="54"/>
        <v>0.42675710964618968</v>
      </c>
      <c r="AU404" t="str">
        <f t="shared" si="55"/>
        <v>Clean</v>
      </c>
      <c r="AV404" s="8" t="str">
        <f t="shared" si="56"/>
        <v>Active</v>
      </c>
    </row>
    <row r="405" spans="1:48">
      <c r="A405" s="3" t="s">
        <v>3130</v>
      </c>
      <c r="B405" s="3" t="s">
        <v>3131</v>
      </c>
      <c r="C405" s="9">
        <f>IFERROR(DATEVALUE(TEXT(B405,"DD/MM/YYYY")), IF(ISNUMBER(B405), B405, ""))</f>
        <v>45633</v>
      </c>
      <c r="D405" s="9" t="str">
        <f>IF(B405="","Missing", IF(AND(ISNUMBER(B405)=FALSE, C405=""),"Invalid - Could Not Parse", IF(AND(ISNUMBER(B405)=FALSE, C405&lt;&gt;""),"Text - Converted to Date", IF(ISNUMBER(B405),"Valid","Check"))))</f>
        <v>Text - Converted to Date</v>
      </c>
      <c r="E405" s="5">
        <f t="shared" si="49"/>
        <v>12</v>
      </c>
      <c r="F405" s="5">
        <f t="shared" si="50"/>
        <v>2024</v>
      </c>
      <c r="G405" s="3" t="s">
        <v>3132</v>
      </c>
      <c r="H405" s="9">
        <f>IFERROR(DATEVALUE(TEXT(G405,"DD/MM/YYYY")), IF(ISNUMBER(G405), G405, ""))</f>
        <v>45636</v>
      </c>
      <c r="I405" s="9" t="str">
        <f>IF(G405="","Missing", IF(AND(ISNUMBER(G405)=FALSE, H405=""),"Invalid - Could Not Parse", IF(AND(ISNUMBER(G405)=FALSE, H405&lt;&gt;""),"Text - Converted to Date", IF(ISNUMBER(G405),"Valid","Check"))))</f>
        <v>Text - Converted to Date</v>
      </c>
      <c r="J405" s="9" t="str">
        <f>IF(OR(C405="", H405=""), "Cannot Check - Date Missing", IF(H405&lt;C405, "Invalid - Ship Before Order", "Valid"))</f>
        <v>Valid</v>
      </c>
      <c r="K405" s="5">
        <f>IF(OR(C405="", H405=""), "", IF(H405&lt;C405, "", H405-C405))</f>
        <v>3</v>
      </c>
      <c r="L405" s="3" t="s">
        <v>3133</v>
      </c>
      <c r="M405" s="3" t="s">
        <v>40</v>
      </c>
      <c r="N405" s="4" t="str">
        <f>TRIM(SUBSTITUTE(M405,"_"," "))</f>
        <v>Mira Das</v>
      </c>
      <c r="O405" s="3" t="s">
        <v>115</v>
      </c>
      <c r="P405" s="6" t="str">
        <f>PROPER(TRIM(SUBSTITUTE(O405,".","")))</f>
        <v>Home Office</v>
      </c>
      <c r="Q405" s="3" t="s">
        <v>62</v>
      </c>
      <c r="R405" s="7" t="str">
        <f>PROPER(TRIM(SUBSTITUTE(Q405,"  "," ")))</f>
        <v>South</v>
      </c>
      <c r="S405" s="3" t="s">
        <v>63</v>
      </c>
      <c r="T405" s="6" t="str">
        <f>PROPER(TRIM(SUBSTITUTE(S405,"  "," ")))</f>
        <v>Telangana</v>
      </c>
      <c r="U405" s="3" t="s">
        <v>64</v>
      </c>
      <c r="V405" s="6" t="str">
        <f>PROPER(TRIM(SUBSTITUTE(U405,"  "," ")))</f>
        <v>Hyderabad</v>
      </c>
      <c r="W405" s="3" t="s">
        <v>86</v>
      </c>
      <c r="X405" s="6" t="str">
        <f>PROPER(TRIM(SUBSTITUTE(W405,"  "," ")))</f>
        <v>Technology</v>
      </c>
      <c r="Y405" s="3" t="s">
        <v>87</v>
      </c>
      <c r="Z405" s="6" t="str">
        <f>PROPER(TRIM(SUBSTITUTE(Y405,"  "," ")))</f>
        <v>Accessories</v>
      </c>
      <c r="AA405" s="3" t="s">
        <v>3134</v>
      </c>
      <c r="AB405" s="3" t="s">
        <v>67</v>
      </c>
      <c r="AC405" s="6" t="str">
        <f>PROPER(TRIM(SUBSTITUTE(AB405,"  "," ")))</f>
        <v>Standard Class</v>
      </c>
      <c r="AD405" s="3">
        <v>1</v>
      </c>
      <c r="AE405" s="3">
        <v>1908.83</v>
      </c>
      <c r="AF405" s="3">
        <v>0.2</v>
      </c>
      <c r="AG405" s="17">
        <v>0.2</v>
      </c>
      <c r="AH405" s="6" t="str">
        <f t="shared" si="51"/>
        <v>Valid</v>
      </c>
      <c r="AI405" s="3">
        <v>1527.06</v>
      </c>
      <c r="AJ405" s="3">
        <v>1055.8900000000001</v>
      </c>
      <c r="AK405" s="3">
        <v>471.17</v>
      </c>
      <c r="AL405" s="3" t="s">
        <v>34</v>
      </c>
      <c r="AM405" s="6" t="str">
        <f>PROPER(TRIM(SUBSTITUTE(AL405,".","")))</f>
        <v>Paid</v>
      </c>
      <c r="AN405" s="3" t="s">
        <v>35</v>
      </c>
      <c r="AO405" s="8" t="str">
        <f>PROPER(TRIM(SUBSTITUTE(AN405,".","")))</f>
        <v>Completed</v>
      </c>
      <c r="AP405" t="str">
        <f>IF(COUNTIF($A$2:$A$933, A405) &gt; 1, "Duplicate ID", "Unique")</f>
        <v>Unique</v>
      </c>
      <c r="AR405">
        <f t="shared" si="52"/>
        <v>1527.0640000000001</v>
      </c>
      <c r="AS405">
        <f t="shared" si="53"/>
        <v>471.17399999999998</v>
      </c>
      <c r="AT405" s="15">
        <f t="shared" si="54"/>
        <v>0.30854895407134209</v>
      </c>
      <c r="AU405" t="str">
        <f t="shared" si="55"/>
        <v>Clean</v>
      </c>
      <c r="AV405" s="8" t="str">
        <f t="shared" si="56"/>
        <v>Active</v>
      </c>
    </row>
    <row r="406" spans="1:48">
      <c r="A406" s="3" t="s">
        <v>3321</v>
      </c>
      <c r="B406" s="3" t="s">
        <v>3322</v>
      </c>
      <c r="C406" s="9">
        <f>IFERROR(DATEVALUE(TEXT(B406,"DD/MM/YYYY")), IF(ISNUMBER(B406), B406, ""))</f>
        <v>45633</v>
      </c>
      <c r="D406" s="9" t="str">
        <f>IF(B406="","Missing", IF(AND(ISNUMBER(B406)=FALSE, C406=""),"Invalid - Could Not Parse", IF(AND(ISNUMBER(B406)=FALSE, C406&lt;&gt;""),"Text - Converted to Date", IF(ISNUMBER(B406),"Valid","Check"))))</f>
        <v>Text - Converted to Date</v>
      </c>
      <c r="E406" s="5">
        <f t="shared" si="49"/>
        <v>12</v>
      </c>
      <c r="F406" s="5">
        <f t="shared" si="50"/>
        <v>2024</v>
      </c>
      <c r="G406" s="3" t="s">
        <v>3323</v>
      </c>
      <c r="H406" s="9">
        <f>IFERROR(DATEVALUE(MID(G406,4,2) &amp; "/" &amp; LEFT(G406,2) &amp; "/" &amp; RIGHT(G406,4)), IF(ISNUMBER(G406), G406, IFERROR(DATEVALUE(G406), "")))</f>
        <v>45492</v>
      </c>
      <c r="I406" s="9" t="str">
        <f>IF(G406="","Missing", IF(AND(ISNUMBER(G406)=FALSE, H406=""),"Invalid - Could Not Parse", IF(AND(ISNUMBER(G406)=FALSE, H406&lt;&gt;""),"Text - Converted to Date", IF(ISNUMBER(G406),"Valid","Check"))))</f>
        <v>Text - Converted to Date</v>
      </c>
      <c r="J406" s="9" t="str">
        <f>IF(OR(C406="", H406=""), "Cannot Check - Date Missing", IF(H406&lt;C406, "Invalid - Ship Before Order", "Valid"))</f>
        <v>Invalid - Ship Before Order</v>
      </c>
      <c r="K406" s="5" t="str">
        <f>IF(OR(C406="", H406=""), "", IF(H406&lt;C406, "", H406-C406))</f>
        <v/>
      </c>
      <c r="L406" s="3" t="s">
        <v>3324</v>
      </c>
      <c r="M406" s="3" t="s">
        <v>83</v>
      </c>
      <c r="N406" s="4" t="str">
        <f>TRIM(SUBSTITUTE(M406,"_"," "))</f>
        <v>Vikram Iyer</v>
      </c>
      <c r="O406" s="3" t="s">
        <v>108</v>
      </c>
      <c r="P406" s="6" t="str">
        <f>PROPER(TRIM(SUBSTITUTE(O406,".","")))</f>
        <v>Corporate</v>
      </c>
      <c r="Q406" s="3" t="s">
        <v>27</v>
      </c>
      <c r="R406" s="7" t="str">
        <f>PROPER(TRIM(SUBSTITUTE(Q406,"  "," ")))</f>
        <v>North</v>
      </c>
      <c r="S406" s="3" t="s">
        <v>154</v>
      </c>
      <c r="T406" s="6" t="str">
        <f>PROPER(TRIM(SUBSTITUTE(S406,"  "," ")))</f>
        <v>Punjab</v>
      </c>
      <c r="U406" s="3" t="s">
        <v>155</v>
      </c>
      <c r="V406" s="6" t="str">
        <f>PROPER(TRIM(SUBSTITUTE(U406,"  "," ")))</f>
        <v>Ludhiana</v>
      </c>
      <c r="W406" s="3" t="s">
        <v>30</v>
      </c>
      <c r="X406" s="6" t="str">
        <f>PROPER(TRIM(SUBSTITUTE(W406,"  "," ")))</f>
        <v>Office Supplies</v>
      </c>
      <c r="Y406" s="3" t="s">
        <v>54</v>
      </c>
      <c r="Z406" s="6" t="str">
        <f>PROPER(TRIM(SUBSTITUTE(Y406,"  "," ")))</f>
        <v>Art</v>
      </c>
      <c r="AA406" s="3" t="s">
        <v>3325</v>
      </c>
      <c r="AB406" s="3" t="s">
        <v>33</v>
      </c>
      <c r="AC406" s="6" t="str">
        <f>PROPER(TRIM(SUBSTITUTE(AB406,"  "," ")))</f>
        <v>Second Class</v>
      </c>
      <c r="AD406" s="3">
        <v>5</v>
      </c>
      <c r="AE406" s="3">
        <v>1559.16</v>
      </c>
      <c r="AF406" s="3">
        <v>0.05</v>
      </c>
      <c r="AG406" s="17">
        <v>0.05</v>
      </c>
      <c r="AH406" s="6" t="str">
        <f t="shared" si="51"/>
        <v>Valid</v>
      </c>
      <c r="AI406" s="3">
        <v>7406.01</v>
      </c>
      <c r="AJ406" s="3">
        <v>5941.74</v>
      </c>
      <c r="AK406" s="3">
        <v>1464.27</v>
      </c>
      <c r="AL406" s="3" t="s">
        <v>34</v>
      </c>
      <c r="AM406" s="6" t="str">
        <f>PROPER(TRIM(SUBSTITUTE(AL406,".","")))</f>
        <v>Paid</v>
      </c>
      <c r="AN406" s="3" t="s">
        <v>35</v>
      </c>
      <c r="AO406" s="8" t="str">
        <f>PROPER(TRIM(SUBSTITUTE(AN406,".","")))</f>
        <v>Completed</v>
      </c>
      <c r="AP406" t="str">
        <f>IF(COUNTIF($A$2:$A$933, A406) &gt; 1, "Duplicate ID", "Unique")</f>
        <v>Unique</v>
      </c>
      <c r="AR406">
        <f t="shared" si="52"/>
        <v>7406.01</v>
      </c>
      <c r="AS406">
        <f t="shared" si="53"/>
        <v>1464.2700000000004</v>
      </c>
      <c r="AT406" s="15">
        <f t="shared" si="54"/>
        <v>0.19771374869869207</v>
      </c>
      <c r="AU406" t="str">
        <f t="shared" si="55"/>
        <v>Invalid</v>
      </c>
      <c r="AV406" s="8" t="str">
        <f t="shared" si="56"/>
        <v>Active</v>
      </c>
    </row>
    <row r="407" spans="1:48">
      <c r="A407" s="3" t="s">
        <v>1710</v>
      </c>
      <c r="B407" s="3" t="s">
        <v>1711</v>
      </c>
      <c r="C407" s="9">
        <f>IFERROR(DATEVALUE(TEXT(B407,"DD/MM/YYYY")), IF(ISNUMBER(B407), B407, ""))</f>
        <v>45634</v>
      </c>
      <c r="D407" s="9" t="str">
        <f>IF(B407="","Missing", IF(AND(ISNUMBER(B407)=FALSE, C407=""),"Invalid - Could Not Parse", IF(AND(ISNUMBER(B407)=FALSE, C407&lt;&gt;""),"Text - Converted to Date", IF(ISNUMBER(B407),"Valid","Check"))))</f>
        <v>Text - Converted to Date</v>
      </c>
      <c r="E407" s="5">
        <f t="shared" si="49"/>
        <v>12</v>
      </c>
      <c r="F407" s="5">
        <f t="shared" si="50"/>
        <v>2024</v>
      </c>
      <c r="G407" s="3" t="s">
        <v>1464</v>
      </c>
      <c r="H407" s="9">
        <f>IFERROR(DATEVALUE(TEXT(G407,"DD/MM/YYYY")), IF(ISNUMBER(G407), G407, ""))</f>
        <v>45516</v>
      </c>
      <c r="I407" s="9" t="str">
        <f>IF(G407="","Missing", IF(AND(ISNUMBER(G407)=FALSE, H407=""),"Invalid - Could Not Parse", IF(AND(ISNUMBER(G407)=FALSE, H407&lt;&gt;""),"Text - Converted to Date", IF(ISNUMBER(G407),"Valid","Check"))))</f>
        <v>Text - Converted to Date</v>
      </c>
      <c r="J407" s="9" t="str">
        <f>IF(OR(C407="", H407=""), "Cannot Check - Date Missing", IF(H407&lt;C407, "Invalid - Ship Before Order", "Valid"))</f>
        <v>Invalid - Ship Before Order</v>
      </c>
      <c r="K407" s="5" t="str">
        <f>IF(OR(C407="", H407=""), "", IF(H407&lt;C407, "", H407-C407))</f>
        <v/>
      </c>
      <c r="L407" s="3" t="s">
        <v>1712</v>
      </c>
      <c r="M407" s="3" t="s">
        <v>61</v>
      </c>
      <c r="N407" s="4" t="str">
        <f>TRIM(SUBSTITUTE(M407,"_"," "))</f>
        <v>Arjun Bose</v>
      </c>
      <c r="O407" s="3" t="s">
        <v>41</v>
      </c>
      <c r="P407" s="6" t="str">
        <f>PROPER(TRIM(SUBSTITUTE(O407,".","")))</f>
        <v>Small Business</v>
      </c>
      <c r="Q407" s="3" t="s">
        <v>62</v>
      </c>
      <c r="R407" s="7" t="str">
        <f>PROPER(TRIM(SUBSTITUTE(Q407,"  "," ")))</f>
        <v>South</v>
      </c>
      <c r="S407" s="3" t="s">
        <v>100</v>
      </c>
      <c r="T407" s="6" t="str">
        <f>PROPER(TRIM(SUBSTITUTE(S407,"  "," ")))</f>
        <v>Andhra Pradesh</v>
      </c>
      <c r="U407" s="3" t="s">
        <v>101</v>
      </c>
      <c r="V407" s="6" t="str">
        <f>PROPER(TRIM(SUBSTITUTE(U407,"  "," ")))</f>
        <v>Vijayawada</v>
      </c>
      <c r="W407" s="3" t="s">
        <v>86</v>
      </c>
      <c r="X407" s="6" t="str">
        <f>PROPER(TRIM(SUBSTITUTE(W407,"  "," ")))</f>
        <v>Technology</v>
      </c>
      <c r="Y407" s="3" t="s">
        <v>87</v>
      </c>
      <c r="Z407" s="6" t="str">
        <f>PROPER(TRIM(SUBSTITUTE(Y407,"  "," ")))</f>
        <v>Accessories</v>
      </c>
      <c r="AA407" s="3" t="s">
        <v>1713</v>
      </c>
      <c r="AB407" s="3" t="s">
        <v>56</v>
      </c>
      <c r="AC407" s="6" t="str">
        <f>PROPER(TRIM(SUBSTITUTE(AB407,"  "," ")))</f>
        <v>First Class</v>
      </c>
      <c r="AD407" s="3">
        <v>8</v>
      </c>
      <c r="AE407" s="3">
        <v>4402.3599999999997</v>
      </c>
      <c r="AF407" s="3">
        <v>0.25</v>
      </c>
      <c r="AG407" s="17">
        <v>0.25</v>
      </c>
      <c r="AH407" s="6" t="str">
        <f t="shared" si="51"/>
        <v>Valid</v>
      </c>
      <c r="AI407" s="3">
        <v>26414.16</v>
      </c>
      <c r="AJ407" s="3">
        <v>21822.53</v>
      </c>
      <c r="AK407" s="3">
        <v>4591.63</v>
      </c>
      <c r="AL407" s="3" t="s">
        <v>34</v>
      </c>
      <c r="AM407" s="6" t="str">
        <f>PROPER(TRIM(SUBSTITUTE(AL407,".","")))</f>
        <v>Paid</v>
      </c>
      <c r="AN407" s="3" t="s">
        <v>35</v>
      </c>
      <c r="AO407" s="8" t="str">
        <f>PROPER(TRIM(SUBSTITUTE(AN407,".","")))</f>
        <v>Completed</v>
      </c>
      <c r="AP407" t="str">
        <f>IF(COUNTIF($A$2:$A$933, A407) &gt; 1, "Duplicate ID", "Unique")</f>
        <v>Unique</v>
      </c>
      <c r="AR407">
        <f t="shared" si="52"/>
        <v>26414.159999999996</v>
      </c>
      <c r="AS407">
        <f t="shared" si="53"/>
        <v>4591.6299999999974</v>
      </c>
      <c r="AT407" s="15">
        <f t="shared" si="54"/>
        <v>0.17383214154832097</v>
      </c>
      <c r="AU407" t="str">
        <f t="shared" si="55"/>
        <v>Invalid</v>
      </c>
      <c r="AV407" s="8" t="str">
        <f t="shared" si="56"/>
        <v>Active</v>
      </c>
    </row>
    <row r="408" spans="1:48">
      <c r="A408" s="3" t="s">
        <v>1036</v>
      </c>
      <c r="B408" s="3" t="s">
        <v>1037</v>
      </c>
      <c r="C408" s="9">
        <f>IFERROR(DATEVALUE(TEXT(B408,"DD/MM/YYYY")), IF(ISNUMBER(B408), B408, ""))</f>
        <v>45635</v>
      </c>
      <c r="D408" s="9" t="str">
        <f>IF(B408="","Missing", IF(AND(ISNUMBER(B408)=FALSE, C408=""),"Invalid - Could Not Parse", IF(AND(ISNUMBER(B408)=FALSE, C408&lt;&gt;""),"Text - Converted to Date", IF(ISNUMBER(B408),"Valid","Check"))))</f>
        <v>Text - Converted to Date</v>
      </c>
      <c r="E408" s="5">
        <f t="shared" si="49"/>
        <v>12</v>
      </c>
      <c r="F408" s="5">
        <f t="shared" si="50"/>
        <v>2024</v>
      </c>
      <c r="G408" s="3" t="s">
        <v>1038</v>
      </c>
      <c r="H408" s="9">
        <f>IFERROR(DATEVALUE(MID(G408,4,2) &amp; "/" &amp; LEFT(G408,2) &amp; "/" &amp; RIGHT(G408,4)), IF(ISNUMBER(G408), G408, IFERROR(DATEVALUE(G408), "")))</f>
        <v>45642</v>
      </c>
      <c r="I408" s="9" t="str">
        <f>IF(G408="","Missing", IF(AND(ISNUMBER(G408)=FALSE, H408=""),"Invalid - Could Not Parse", IF(AND(ISNUMBER(G408)=FALSE, H408&lt;&gt;""),"Text - Converted to Date", IF(ISNUMBER(G408),"Valid","Check"))))</f>
        <v>Text - Converted to Date</v>
      </c>
      <c r="J408" s="9" t="str">
        <f>IF(OR(C408="", H408=""), "Cannot Check - Date Missing", IF(H408&lt;C408, "Invalid - Ship Before Order", "Valid"))</f>
        <v>Valid</v>
      </c>
      <c r="K408" s="5">
        <f>IF(OR(C408="", H408=""), "", IF(H408&lt;C408, "", H408-C408))</f>
        <v>7</v>
      </c>
      <c r="L408" s="3" t="s">
        <v>1039</v>
      </c>
      <c r="M408" s="3" t="s">
        <v>53</v>
      </c>
      <c r="N408" s="4" t="str">
        <f>TRIM(SUBSTITUTE(M408,"_"," "))</f>
        <v>Isha Nair</v>
      </c>
      <c r="O408" s="3" t="s">
        <v>115</v>
      </c>
      <c r="P408" s="6" t="str">
        <f>PROPER(TRIM(SUBSTITUTE(O408,".","")))</f>
        <v>Home Office</v>
      </c>
      <c r="Q408" s="3" t="s">
        <v>73</v>
      </c>
      <c r="R408" s="7" t="str">
        <f>PROPER(TRIM(SUBSTITUTE(Q408,"  "," ")))</f>
        <v>West</v>
      </c>
      <c r="S408" s="3" t="s">
        <v>235</v>
      </c>
      <c r="T408" s="6" t="str">
        <f>PROPER(TRIM(SUBSTITUTE(S408,"  "," ")))</f>
        <v>Gujarat</v>
      </c>
      <c r="U408" s="3" t="s">
        <v>236</v>
      </c>
      <c r="V408" s="6" t="str">
        <f>PROPER(TRIM(SUBSTITUTE(U408,"  "," ")))</f>
        <v>Ahmedabad</v>
      </c>
      <c r="W408" s="3" t="s">
        <v>45</v>
      </c>
      <c r="X408" s="6" t="str">
        <f>PROPER(TRIM(SUBSTITUTE(W408,"  "," ")))</f>
        <v>Furniture</v>
      </c>
      <c r="Y408" s="3" t="s">
        <v>76</v>
      </c>
      <c r="Z408" s="6" t="str">
        <f>PROPER(TRIM(SUBSTITUTE(Y408,"  "," ")))</f>
        <v>Chairs</v>
      </c>
      <c r="AA408" s="3" t="s">
        <v>1040</v>
      </c>
      <c r="AB408" s="3" t="s">
        <v>56</v>
      </c>
      <c r="AC408" s="6" t="str">
        <f>PROPER(TRIM(SUBSTITUTE(AB408,"  "," ")))</f>
        <v>First Class</v>
      </c>
      <c r="AD408" s="3">
        <v>4</v>
      </c>
      <c r="AE408" s="3">
        <v>2191.0300000000002</v>
      </c>
      <c r="AF408" s="3">
        <v>0</v>
      </c>
      <c r="AG408" s="17">
        <v>0</v>
      </c>
      <c r="AH408" s="6" t="str">
        <f t="shared" si="51"/>
        <v>Valid</v>
      </c>
      <c r="AI408" s="3">
        <v>8764.1200000000008</v>
      </c>
      <c r="AJ408" s="3">
        <v>7220.05</v>
      </c>
      <c r="AK408" s="3">
        <v>1544.07</v>
      </c>
      <c r="AL408" s="3" t="s">
        <v>34</v>
      </c>
      <c r="AM408" s="6" t="str">
        <f>PROPER(TRIM(SUBSTITUTE(AL408,".","")))</f>
        <v>Paid</v>
      </c>
      <c r="AN408" s="3" t="s">
        <v>35</v>
      </c>
      <c r="AO408" s="8" t="str">
        <f>PROPER(TRIM(SUBSTITUTE(AN408,".","")))</f>
        <v>Completed</v>
      </c>
      <c r="AP408" t="str">
        <f>IF(COUNTIF($A$2:$A$933, A408) &gt; 1, "Duplicate ID", "Unique")</f>
        <v>Unique</v>
      </c>
      <c r="AR408">
        <f t="shared" si="52"/>
        <v>8764.1200000000008</v>
      </c>
      <c r="AS408">
        <f t="shared" si="53"/>
        <v>1544.0700000000006</v>
      </c>
      <c r="AT408" s="15">
        <f t="shared" si="54"/>
        <v>0.17618083732308554</v>
      </c>
      <c r="AU408" t="str">
        <f t="shared" si="55"/>
        <v>Clean</v>
      </c>
      <c r="AV408" s="8" t="str">
        <f t="shared" si="56"/>
        <v>Active</v>
      </c>
    </row>
    <row r="409" spans="1:48">
      <c r="A409" s="3" t="s">
        <v>3697</v>
      </c>
      <c r="B409" s="3" t="s">
        <v>3698</v>
      </c>
      <c r="C409" s="9">
        <f>IFERROR(DATEVALUE(TEXT(B409,"DD/MM/YYYY")), IF(ISNUMBER(B409), B409, ""))</f>
        <v>45635</v>
      </c>
      <c r="D409" s="9" t="str">
        <f>IF(B409="","Missing", IF(AND(ISNUMBER(B409)=FALSE, C409=""),"Invalid - Could Not Parse", IF(AND(ISNUMBER(B409)=FALSE, C409&lt;&gt;""),"Text - Converted to Date", IF(ISNUMBER(B409),"Valid","Check"))))</f>
        <v>Text - Converted to Date</v>
      </c>
      <c r="E409" s="5">
        <f t="shared" si="49"/>
        <v>12</v>
      </c>
      <c r="F409" s="5">
        <f t="shared" si="50"/>
        <v>2024</v>
      </c>
      <c r="G409" s="3" t="s">
        <v>733</v>
      </c>
      <c r="H409" s="9">
        <f>IFERROR(DATEVALUE(TEXT(G409,"DD/MM/YYYY")), IF(ISNUMBER(G409), G409, ""))</f>
        <v>45639</v>
      </c>
      <c r="I409" s="9" t="str">
        <f>IF(G409="","Missing", IF(AND(ISNUMBER(G409)=FALSE, H409=""),"Invalid - Could Not Parse", IF(AND(ISNUMBER(G409)=FALSE, H409&lt;&gt;""),"Text - Converted to Date", IF(ISNUMBER(G409),"Valid","Check"))))</f>
        <v>Text - Converted to Date</v>
      </c>
      <c r="J409" s="9" t="str">
        <f>IF(OR(C409="", H409=""), "Cannot Check - Date Missing", IF(H409&lt;C409, "Invalid - Ship Before Order", "Valid"))</f>
        <v>Valid</v>
      </c>
      <c r="K409" s="5">
        <f>IF(OR(C409="", H409=""), "", IF(H409&lt;C409, "", H409-C409))</f>
        <v>4</v>
      </c>
      <c r="L409" s="3" t="s">
        <v>3699</v>
      </c>
      <c r="M409" s="3" t="s">
        <v>180</v>
      </c>
      <c r="N409" s="4" t="str">
        <f>TRIM(SUBSTITUTE(M409,"_"," "))</f>
        <v>Rohan Mehta</v>
      </c>
      <c r="O409" s="3" t="s">
        <v>26</v>
      </c>
      <c r="P409" s="6" t="str">
        <f>PROPER(TRIM(SUBSTITUTE(O409,".","")))</f>
        <v>Consumer</v>
      </c>
      <c r="Q409" s="3"/>
      <c r="R409" s="6" t="str">
        <f>IF(ISBLANK(Q409), "Unknown", Q409)</f>
        <v>Unknown</v>
      </c>
      <c r="S409" s="3" t="s">
        <v>311</v>
      </c>
      <c r="T409" s="6" t="str">
        <f>PROPER(TRIM(SUBSTITUTE(S409,"  "," ")))</f>
        <v>Jharkhand</v>
      </c>
      <c r="U409" s="3" t="s">
        <v>312</v>
      </c>
      <c r="V409" s="6" t="str">
        <f>PROPER(TRIM(SUBSTITUTE(U409,"  "," ")))</f>
        <v>Ranchi</v>
      </c>
      <c r="W409" s="3" t="s">
        <v>30</v>
      </c>
      <c r="X409" s="6" t="str">
        <f>PROPER(TRIM(SUBSTITUTE(W409,"  "," ")))</f>
        <v>Office Supplies</v>
      </c>
      <c r="Y409" s="3" t="s">
        <v>109</v>
      </c>
      <c r="Z409" s="6" t="str">
        <f>PROPER(TRIM(SUBSTITUTE(Y409,"  "," ")))</f>
        <v>Labels</v>
      </c>
      <c r="AA409" s="3" t="s">
        <v>3700</v>
      </c>
      <c r="AB409" s="3" t="s">
        <v>56</v>
      </c>
      <c r="AC409" s="6" t="str">
        <f>PROPER(TRIM(SUBSTITUTE(AB409,"  "," ")))</f>
        <v>First Class</v>
      </c>
      <c r="AD409" s="3">
        <v>1</v>
      </c>
      <c r="AE409" s="3">
        <v>4306.6499999999996</v>
      </c>
      <c r="AF409" s="3">
        <v>0</v>
      </c>
      <c r="AG409" s="17">
        <v>0</v>
      </c>
      <c r="AH409" s="6" t="str">
        <f t="shared" si="51"/>
        <v>Valid</v>
      </c>
      <c r="AI409" s="3">
        <v>4306.6499999999996</v>
      </c>
      <c r="AJ409" s="3">
        <v>2568.8200000000002</v>
      </c>
      <c r="AK409" s="3">
        <v>1737.83</v>
      </c>
      <c r="AL409" s="3" t="s">
        <v>34</v>
      </c>
      <c r="AM409" s="6" t="str">
        <f>PROPER(TRIM(SUBSTITUTE(AL409,".","")))</f>
        <v>Paid</v>
      </c>
      <c r="AN409" s="3" t="s">
        <v>35</v>
      </c>
      <c r="AO409" s="8" t="str">
        <f>PROPER(TRIM(SUBSTITUTE(AN409,".","")))</f>
        <v>Completed</v>
      </c>
      <c r="AP409" t="str">
        <f>IF(COUNTIF($A$2:$A$933, A409) &gt; 1, "Duplicate ID", "Unique")</f>
        <v>Unique</v>
      </c>
      <c r="AR409">
        <f t="shared" si="52"/>
        <v>4306.6499999999996</v>
      </c>
      <c r="AS409">
        <f t="shared" si="53"/>
        <v>1737.8299999999995</v>
      </c>
      <c r="AT409" s="15">
        <f t="shared" si="54"/>
        <v>0.40352245945224235</v>
      </c>
      <c r="AU409" t="str">
        <f t="shared" si="55"/>
        <v>Clean</v>
      </c>
      <c r="AV409" s="8" t="str">
        <f t="shared" si="56"/>
        <v>Active</v>
      </c>
    </row>
    <row r="410" spans="1:48">
      <c r="A410" s="3" t="s">
        <v>3775</v>
      </c>
      <c r="B410" s="3" t="s">
        <v>3776</v>
      </c>
      <c r="C410" s="9">
        <f>IFERROR(DATEVALUE(TEXT(B410,"DD/MM/YYYY")), IF(ISNUMBER(B410), B410, ""))</f>
        <v>45636</v>
      </c>
      <c r="D410" s="9" t="str">
        <f>IF(B410="","Missing", IF(AND(ISNUMBER(B410)=FALSE, C410=""),"Invalid - Could Not Parse", IF(AND(ISNUMBER(B410)=FALSE, C410&lt;&gt;""),"Text - Converted to Date", IF(ISNUMBER(B410),"Valid","Check"))))</f>
        <v>Text - Converted to Date</v>
      </c>
      <c r="E410" s="5">
        <f t="shared" si="49"/>
        <v>12</v>
      </c>
      <c r="F410" s="5">
        <f t="shared" si="50"/>
        <v>2024</v>
      </c>
      <c r="G410" s="3" t="s">
        <v>3777</v>
      </c>
      <c r="H410" s="9">
        <f>IFERROR(DATEVALUE(TEXT(G410,"DD/MM/YYYY")), IF(ISNUMBER(G410), G410, ""))</f>
        <v>45573</v>
      </c>
      <c r="I410" s="9" t="str">
        <f>IF(G410="","Missing", IF(AND(ISNUMBER(G410)=FALSE, H410=""),"Invalid - Could Not Parse", IF(AND(ISNUMBER(G410)=FALSE, H410&lt;&gt;""),"Text - Converted to Date", IF(ISNUMBER(G410),"Valid","Check"))))</f>
        <v>Text - Converted to Date</v>
      </c>
      <c r="J410" s="9" t="str">
        <f>IF(OR(C410="", H410=""), "Cannot Check - Date Missing", IF(H410&lt;C410, "Invalid - Ship Before Order", "Valid"))</f>
        <v>Invalid - Ship Before Order</v>
      </c>
      <c r="K410" s="5" t="str">
        <f>IF(OR(C410="", H410=""), "", IF(H410&lt;C410, "", H410-C410))</f>
        <v/>
      </c>
      <c r="L410" s="3" t="s">
        <v>3778</v>
      </c>
      <c r="M410" s="3" t="s">
        <v>40</v>
      </c>
      <c r="N410" s="4" t="str">
        <f>TRIM(SUBSTITUTE(M410,"_"," "))</f>
        <v>Mira Das</v>
      </c>
      <c r="O410" s="3" t="s">
        <v>108</v>
      </c>
      <c r="P410" s="6" t="str">
        <f>PROPER(TRIM(SUBSTITUTE(O410,".","")))</f>
        <v>Corporate</v>
      </c>
      <c r="Q410" s="3" t="s">
        <v>42</v>
      </c>
      <c r="R410" s="7" t="str">
        <f>PROPER(TRIM(SUBSTITUTE(Q410,"  "," ")))</f>
        <v>East</v>
      </c>
      <c r="S410" s="3" t="s">
        <v>216</v>
      </c>
      <c r="T410" s="6" t="str">
        <f>PROPER(TRIM(SUBSTITUTE(S410,"  "," ")))</f>
        <v>Assam</v>
      </c>
      <c r="U410" s="3" t="s">
        <v>217</v>
      </c>
      <c r="V410" s="6" t="str">
        <f>PROPER(TRIM(SUBSTITUTE(U410,"  "," ")))</f>
        <v>Guwahati</v>
      </c>
      <c r="W410" s="3" t="s">
        <v>45</v>
      </c>
      <c r="X410" s="6" t="str">
        <f>PROPER(TRIM(SUBSTITUTE(W410,"  "," ")))</f>
        <v>Furniture</v>
      </c>
      <c r="Y410" s="3" t="s">
        <v>65</v>
      </c>
      <c r="Z410" s="6" t="str">
        <f>PROPER(TRIM(SUBSTITUTE(Y410,"  "," ")))</f>
        <v>Furnishings</v>
      </c>
      <c r="AA410" s="3" t="s">
        <v>3779</v>
      </c>
      <c r="AB410" s="3" t="s">
        <v>33</v>
      </c>
      <c r="AC410" s="6" t="str">
        <f>PROPER(TRIM(SUBSTITUTE(AB410,"  "," ")))</f>
        <v>Second Class</v>
      </c>
      <c r="AD410" s="3">
        <v>4</v>
      </c>
      <c r="AE410" s="3">
        <v>3202.04</v>
      </c>
      <c r="AF410" s="3">
        <v>0.2</v>
      </c>
      <c r="AG410" s="17">
        <v>0.2</v>
      </c>
      <c r="AH410" s="6" t="str">
        <f t="shared" si="51"/>
        <v>Valid</v>
      </c>
      <c r="AI410" s="3">
        <v>10246.530000000001</v>
      </c>
      <c r="AJ410" s="3">
        <v>8634.42</v>
      </c>
      <c r="AK410" s="3">
        <v>1612.11</v>
      </c>
      <c r="AL410" s="3" t="s">
        <v>137</v>
      </c>
      <c r="AM410" s="6" t="str">
        <f>PROPER(TRIM(SUBSTITUTE(AL410,".","")))</f>
        <v>Pending</v>
      </c>
      <c r="AN410" s="3" t="s">
        <v>125</v>
      </c>
      <c r="AO410" s="8" t="str">
        <f>PROPER(TRIM(SUBSTITUTE(AN410,".","")))</f>
        <v>Returned</v>
      </c>
      <c r="AP410" t="str">
        <f>IF(COUNTIF($A$2:$A$933, A410) &gt; 1, "Duplicate ID", "Unique")</f>
        <v>Unique</v>
      </c>
      <c r="AR410">
        <f t="shared" si="52"/>
        <v>10246.528</v>
      </c>
      <c r="AS410">
        <f t="shared" si="53"/>
        <v>1612.1080000000002</v>
      </c>
      <c r="AT410" s="15">
        <f t="shared" si="54"/>
        <v>0.15733212264681268</v>
      </c>
      <c r="AU410" t="str">
        <f t="shared" si="55"/>
        <v>Invalid</v>
      </c>
      <c r="AV410" s="8" t="str">
        <f t="shared" si="56"/>
        <v>Active</v>
      </c>
    </row>
    <row r="411" spans="1:48">
      <c r="A411" s="3" t="s">
        <v>3726</v>
      </c>
      <c r="B411" s="3" t="s">
        <v>3727</v>
      </c>
      <c r="C411" s="9">
        <f>IFERROR(DATEVALUE(TEXT(B411,"DD/MM/YYYY")), IF(ISNUMBER(B411), B411, ""))</f>
        <v>45638</v>
      </c>
      <c r="D411" s="9" t="str">
        <f>IF(B411="","Missing", IF(AND(ISNUMBER(B411)=FALSE, C411=""),"Invalid - Could Not Parse", IF(AND(ISNUMBER(B411)=FALSE, C411&lt;&gt;""),"Text - Converted to Date", IF(ISNUMBER(B411),"Valid","Check"))))</f>
        <v>Text - Converted to Date</v>
      </c>
      <c r="E411" s="5">
        <f t="shared" si="49"/>
        <v>12</v>
      </c>
      <c r="F411" s="5">
        <f t="shared" si="50"/>
        <v>2024</v>
      </c>
      <c r="G411" s="3" t="s">
        <v>3728</v>
      </c>
      <c r="H411" s="9">
        <f>IFERROR(DATEVALUE(TEXT(G411,"DD/MM/YYYY")), IF(ISNUMBER(G411), G411, ""))</f>
        <v>45645</v>
      </c>
      <c r="I411" s="9" t="str">
        <f>IF(G411="","Missing", IF(AND(ISNUMBER(G411)=FALSE, H411=""),"Invalid - Could Not Parse", IF(AND(ISNUMBER(G411)=FALSE, H411&lt;&gt;""),"Text - Converted to Date", IF(ISNUMBER(G411),"Valid","Check"))))</f>
        <v>Text - Converted to Date</v>
      </c>
      <c r="J411" s="9" t="str">
        <f>IF(OR(C411="", H411=""), "Cannot Check - Date Missing", IF(H411&lt;C411, "Invalid - Ship Before Order", "Valid"))</f>
        <v>Valid</v>
      </c>
      <c r="K411" s="5">
        <f>IF(OR(C411="", H411=""), "", IF(H411&lt;C411, "", H411-C411))</f>
        <v>7</v>
      </c>
      <c r="L411" s="3" t="s">
        <v>3729</v>
      </c>
      <c r="M411" s="3" t="s">
        <v>180</v>
      </c>
      <c r="N411" s="4" t="str">
        <f>TRIM(SUBSTITUTE(M411,"_"," "))</f>
        <v>Rohan Mehta</v>
      </c>
      <c r="O411" s="3" t="s">
        <v>115</v>
      </c>
      <c r="P411" s="6" t="str">
        <f>PROPER(TRIM(SUBSTITUTE(O411,".","")))</f>
        <v>Home Office</v>
      </c>
      <c r="Q411" s="3" t="s">
        <v>27</v>
      </c>
      <c r="R411" s="7" t="str">
        <f>PROPER(TRIM(SUBSTITUTE(Q411,"  "," ")))</f>
        <v>North</v>
      </c>
      <c r="S411" s="3" t="s">
        <v>323</v>
      </c>
      <c r="T411" s="6" t="str">
        <f>PROPER(TRIM(SUBSTITUTE(S411,"  "," ")))</f>
        <v>Haryana</v>
      </c>
      <c r="U411" s="3" t="s">
        <v>324</v>
      </c>
      <c r="V411" s="6" t="str">
        <f>PROPER(TRIM(SUBSTITUTE(U411,"  "," ")))</f>
        <v>Gurugram</v>
      </c>
      <c r="W411" s="3" t="s">
        <v>86</v>
      </c>
      <c r="X411" s="6" t="str">
        <f>PROPER(TRIM(SUBSTITUTE(W411,"  "," ")))</f>
        <v>Technology</v>
      </c>
      <c r="Y411" s="3" t="s">
        <v>87</v>
      </c>
      <c r="Z411" s="6" t="str">
        <f>PROPER(TRIM(SUBSTITUTE(Y411,"  "," ")))</f>
        <v>Accessories</v>
      </c>
      <c r="AA411" s="3" t="s">
        <v>3730</v>
      </c>
      <c r="AB411" s="3" t="s">
        <v>56</v>
      </c>
      <c r="AC411" s="6" t="str">
        <f>PROPER(TRIM(SUBSTITUTE(AB411,"  "," ")))</f>
        <v>First Class</v>
      </c>
      <c r="AD411" s="3">
        <v>2</v>
      </c>
      <c r="AE411" s="3">
        <v>1610.75</v>
      </c>
      <c r="AF411" s="3">
        <v>0.2</v>
      </c>
      <c r="AG411" s="17">
        <v>0.2</v>
      </c>
      <c r="AH411" s="6" t="str">
        <f t="shared" si="51"/>
        <v>Valid</v>
      </c>
      <c r="AI411" s="3">
        <v>2577.1999999999998</v>
      </c>
      <c r="AJ411" s="3">
        <v>1475.87</v>
      </c>
      <c r="AK411" s="3">
        <v>1101.33</v>
      </c>
      <c r="AL411" s="3" t="s">
        <v>34</v>
      </c>
      <c r="AM411" s="6" t="str">
        <f>PROPER(TRIM(SUBSTITUTE(AL411,".","")))</f>
        <v>Paid</v>
      </c>
      <c r="AN411" s="3" t="s">
        <v>35</v>
      </c>
      <c r="AO411" s="8" t="str">
        <f>PROPER(TRIM(SUBSTITUTE(AN411,".","")))</f>
        <v>Completed</v>
      </c>
      <c r="AP411" t="str">
        <f>IF(COUNTIF($A$2:$A$933, A411) &gt; 1, "Duplicate ID", "Unique")</f>
        <v>Unique</v>
      </c>
      <c r="AR411">
        <f t="shared" si="52"/>
        <v>2577.2000000000003</v>
      </c>
      <c r="AS411">
        <f t="shared" si="53"/>
        <v>1101.3300000000004</v>
      </c>
      <c r="AT411" s="15">
        <f t="shared" si="54"/>
        <v>0.42733586838429316</v>
      </c>
      <c r="AU411" t="str">
        <f t="shared" si="55"/>
        <v>Clean</v>
      </c>
      <c r="AV411" s="8" t="str">
        <f t="shared" si="56"/>
        <v>Active</v>
      </c>
    </row>
    <row r="412" spans="1:48">
      <c r="A412" s="3" t="s">
        <v>732</v>
      </c>
      <c r="B412" s="3" t="s">
        <v>733</v>
      </c>
      <c r="C412" s="9">
        <f>IFERROR(DATEVALUE(TEXT(B412,"DD/MM/YYYY")), IF(ISNUMBER(B412), B412, ""))</f>
        <v>45639</v>
      </c>
      <c r="D412" s="9" t="str">
        <f>IF(B412="","Missing", IF(AND(ISNUMBER(B412)=FALSE, C412=""),"Invalid - Could Not Parse", IF(AND(ISNUMBER(B412)=FALSE, C412&lt;&gt;""),"Text - Converted to Date", IF(ISNUMBER(B412),"Valid","Check"))))</f>
        <v>Text - Converted to Date</v>
      </c>
      <c r="E412" s="5">
        <f t="shared" si="49"/>
        <v>12</v>
      </c>
      <c r="F412" s="5">
        <f t="shared" si="50"/>
        <v>2024</v>
      </c>
      <c r="G412" s="3" t="s">
        <v>734</v>
      </c>
      <c r="H412" s="9">
        <f>IFERROR(DATEVALUE(TEXT(G412,"DD/MM/YYYY")), IF(ISNUMBER(G412), G412, ""))</f>
        <v>45642</v>
      </c>
      <c r="I412" s="9" t="str">
        <f>IF(G412="","Missing", IF(AND(ISNUMBER(G412)=FALSE, H412=""),"Invalid - Could Not Parse", IF(AND(ISNUMBER(G412)=FALSE, H412&lt;&gt;""),"Text - Converted to Date", IF(ISNUMBER(G412),"Valid","Check"))))</f>
        <v>Text - Converted to Date</v>
      </c>
      <c r="J412" s="9" t="str">
        <f>IF(OR(C412="", H412=""), "Cannot Check - Date Missing", IF(H412&lt;C412, "Invalid - Ship Before Order", "Valid"))</f>
        <v>Valid</v>
      </c>
      <c r="K412" s="5">
        <f>IF(OR(C412="", H412=""), "", IF(H412&lt;C412, "", H412-C412))</f>
        <v>3</v>
      </c>
      <c r="L412" s="3" t="s">
        <v>735</v>
      </c>
      <c r="M412" s="3" t="s">
        <v>93</v>
      </c>
      <c r="N412" s="4" t="str">
        <f>TRIM(SUBSTITUTE(M412,"_"," "))</f>
        <v>Neha Gupta</v>
      </c>
      <c r="O412" s="3" t="s">
        <v>41</v>
      </c>
      <c r="P412" s="6" t="str">
        <f>PROPER(TRIM(SUBSTITUTE(O412,".","")))</f>
        <v>Small Business</v>
      </c>
      <c r="Q412" s="3" t="s">
        <v>42</v>
      </c>
      <c r="R412" s="7" t="str">
        <f>PROPER(TRIM(SUBSTITUTE(Q412,"  "," ")))</f>
        <v>East</v>
      </c>
      <c r="S412" s="3" t="s">
        <v>43</v>
      </c>
      <c r="T412" s="6" t="str">
        <f>PROPER(TRIM(SUBSTITUTE(S412,"  "," ")))</f>
        <v>Odisha</v>
      </c>
      <c r="U412" s="3" t="s">
        <v>44</v>
      </c>
      <c r="V412" s="6" t="str">
        <f>PROPER(TRIM(SUBSTITUTE(U412,"  "," ")))</f>
        <v>Bhubaneswar</v>
      </c>
      <c r="W412" s="3" t="s">
        <v>45</v>
      </c>
      <c r="X412" s="6" t="str">
        <f>PROPER(TRIM(SUBSTITUTE(W412,"  "," ")))</f>
        <v>Furniture</v>
      </c>
      <c r="Y412" s="3" t="s">
        <v>65</v>
      </c>
      <c r="Z412" s="6" t="str">
        <f>PROPER(TRIM(SUBSTITUTE(Y412,"  "," ")))</f>
        <v>Furnishings</v>
      </c>
      <c r="AA412" s="3" t="s">
        <v>736</v>
      </c>
      <c r="AB412" s="3" t="s">
        <v>67</v>
      </c>
      <c r="AC412" s="6" t="str">
        <f>PROPER(TRIM(SUBSTITUTE(AB412,"  "," ")))</f>
        <v>Standard Class</v>
      </c>
      <c r="AD412" s="3">
        <v>5</v>
      </c>
      <c r="AE412" s="3">
        <v>923.45</v>
      </c>
      <c r="AF412" s="3">
        <v>0.05</v>
      </c>
      <c r="AG412" s="17">
        <v>0.05</v>
      </c>
      <c r="AH412" s="6" t="str">
        <f t="shared" si="51"/>
        <v>Valid</v>
      </c>
      <c r="AI412" s="3">
        <v>4386.3900000000003</v>
      </c>
      <c r="AJ412" s="3">
        <v>3366.88</v>
      </c>
      <c r="AK412" s="3">
        <v>1019.51</v>
      </c>
      <c r="AL412" s="3" t="s">
        <v>34</v>
      </c>
      <c r="AM412" s="6" t="str">
        <f>PROPER(TRIM(SUBSTITUTE(AL412,".","")))</f>
        <v>Paid</v>
      </c>
      <c r="AN412" s="3" t="s">
        <v>125</v>
      </c>
      <c r="AO412" s="8" t="str">
        <f>PROPER(TRIM(SUBSTITUTE(AN412,".","")))</f>
        <v>Returned</v>
      </c>
      <c r="AP412" t="str">
        <f>IF(COUNTIF($A$2:$A$933, A412) &gt; 1, "Duplicate ID", "Unique")</f>
        <v>Unique</v>
      </c>
      <c r="AR412">
        <f t="shared" si="52"/>
        <v>4386.3874999999998</v>
      </c>
      <c r="AS412">
        <f t="shared" si="53"/>
        <v>1019.5074999999997</v>
      </c>
      <c r="AT412" s="15">
        <f t="shared" si="54"/>
        <v>0.2324253158208206</v>
      </c>
      <c r="AU412" t="str">
        <f t="shared" si="55"/>
        <v>Clean</v>
      </c>
      <c r="AV412" s="8" t="str">
        <f t="shared" si="56"/>
        <v>Active</v>
      </c>
    </row>
    <row r="413" spans="1:48">
      <c r="A413" s="3" t="s">
        <v>2087</v>
      </c>
      <c r="B413" s="3" t="s">
        <v>2088</v>
      </c>
      <c r="C413" s="9">
        <f>IFERROR(DATEVALUE(TEXT(B413,"DD/MM/YYYY")), IF(ISNUMBER(B413), B413, ""))</f>
        <v>45342</v>
      </c>
      <c r="D413" s="9" t="str">
        <f>IF(B413="","Missing", IF(AND(ISNUMBER(B413)=FALSE, C413=""),"Invalid - Could Not Parse", IF(AND(ISNUMBER(B413)=FALSE, C413&lt;&gt;""),"Text - Converted to Date", IF(ISNUMBER(B413),"Valid","Check"))))</f>
        <v>Text - Converted to Date</v>
      </c>
      <c r="E413" s="5">
        <f t="shared" si="49"/>
        <v>2</v>
      </c>
      <c r="F413" s="5">
        <f t="shared" si="50"/>
        <v>2024</v>
      </c>
      <c r="G413" s="3" t="s">
        <v>2089</v>
      </c>
      <c r="H413" s="9">
        <f>IFERROR(DATEVALUE(TEXT(G413,"DD/MM/YYYY")), IF(ISNUMBER(G413), G413, ""))</f>
        <v>45349</v>
      </c>
      <c r="I413" s="9" t="str">
        <f>IF(G413="","Missing", IF(AND(ISNUMBER(G413)=FALSE, H413=""),"Invalid - Could Not Parse", IF(AND(ISNUMBER(G413)=FALSE, H413&lt;&gt;""),"Text - Converted to Date", IF(ISNUMBER(G413),"Valid","Check"))))</f>
        <v>Text - Converted to Date</v>
      </c>
      <c r="J413" s="9" t="str">
        <f>IF(OR(C413="", H413=""), "Cannot Check - Date Missing", IF(H413&lt;C413, "Invalid - Ship Before Order", "Valid"))</f>
        <v>Valid</v>
      </c>
      <c r="K413" s="5">
        <f>IF(OR(C413="", H413=""), "", IF(H413&lt;C413, "", H413-C413))</f>
        <v>7</v>
      </c>
      <c r="L413" s="3" t="s">
        <v>2090</v>
      </c>
      <c r="M413" s="3" t="s">
        <v>210</v>
      </c>
      <c r="N413" s="4" t="str">
        <f>TRIM(SUBSTITUTE(M413,"_"," "))</f>
        <v>Diya Patel</v>
      </c>
      <c r="O413" s="3" t="s">
        <v>26</v>
      </c>
      <c r="P413" s="6" t="str">
        <f>PROPER(TRIM(SUBSTITUTE(O413,".","")))</f>
        <v>Consumer</v>
      </c>
      <c r="Q413" s="3" t="s">
        <v>62</v>
      </c>
      <c r="R413" s="7" t="str">
        <f>PROPER(TRIM(SUBSTITUTE(Q413,"  "," ")))</f>
        <v>South</v>
      </c>
      <c r="S413" s="3" t="s">
        <v>242</v>
      </c>
      <c r="T413" s="6" t="str">
        <f>PROPER(TRIM(SUBSTITUTE(S413,"  "," ")))</f>
        <v>Kerala</v>
      </c>
      <c r="U413" s="3" t="s">
        <v>243</v>
      </c>
      <c r="V413" s="6" t="str">
        <f>PROPER(TRIM(SUBSTITUTE(U413,"  "," ")))</f>
        <v>Kochi</v>
      </c>
      <c r="W413" s="3" t="s">
        <v>86</v>
      </c>
      <c r="X413" s="6" t="str">
        <f>PROPER(TRIM(SUBSTITUTE(W413,"  "," ")))</f>
        <v>Technology</v>
      </c>
      <c r="Y413" s="3" t="s">
        <v>87</v>
      </c>
      <c r="Z413" s="6" t="str">
        <f>PROPER(TRIM(SUBSTITUTE(Y413,"  "," ")))</f>
        <v>Accessories</v>
      </c>
      <c r="AA413" s="3" t="s">
        <v>2091</v>
      </c>
      <c r="AB413" s="3" t="s">
        <v>2092</v>
      </c>
      <c r="AC413" s="6" t="str">
        <f>PROPER(TRIM(SUBSTITUTE(AB413,"  "," ")))</f>
        <v>First Class</v>
      </c>
      <c r="AD413" s="3">
        <v>9</v>
      </c>
      <c r="AE413" s="3">
        <v>3779.31</v>
      </c>
      <c r="AF413" s="3">
        <v>0.2</v>
      </c>
      <c r="AG413" s="17">
        <v>0.2</v>
      </c>
      <c r="AH413" s="6" t="str">
        <f t="shared" si="51"/>
        <v>Valid</v>
      </c>
      <c r="AI413" s="3">
        <v>27211.03</v>
      </c>
      <c r="AJ413" s="3">
        <v>17940.43</v>
      </c>
      <c r="AK413" s="3">
        <v>9270.6</v>
      </c>
      <c r="AL413" s="3" t="s">
        <v>34</v>
      </c>
      <c r="AM413" s="6" t="str">
        <f>PROPER(TRIM(SUBSTITUTE(AL413,".","")))</f>
        <v>Paid</v>
      </c>
      <c r="AN413" s="3" t="s">
        <v>35</v>
      </c>
      <c r="AO413" s="8" t="str">
        <f>PROPER(TRIM(SUBSTITUTE(AN413,".","")))</f>
        <v>Completed</v>
      </c>
      <c r="AP413" t="str">
        <f>IF(COUNTIF($A$2:$A$933, A413) &gt; 1, "Duplicate ID", "Unique")</f>
        <v>Duplicate ID</v>
      </c>
      <c r="AQ413" t="s">
        <v>4106</v>
      </c>
      <c r="AR413">
        <f t="shared" si="52"/>
        <v>27211.032000000003</v>
      </c>
      <c r="AS413">
        <f t="shared" si="53"/>
        <v>9270.6020000000026</v>
      </c>
      <c r="AT413" s="15">
        <f t="shared" si="54"/>
        <v>0.34069277490100347</v>
      </c>
      <c r="AU413" t="str">
        <f t="shared" si="55"/>
        <v>Invalid</v>
      </c>
      <c r="AV413" s="8" t="str">
        <f t="shared" si="56"/>
        <v>Active</v>
      </c>
    </row>
    <row r="414" spans="1:48">
      <c r="A414" s="3" t="s">
        <v>2087</v>
      </c>
      <c r="B414" s="3" t="s">
        <v>2088</v>
      </c>
      <c r="C414" s="9">
        <f>IFERROR(DATEVALUE(TEXT(B414,"DD/MM/YYYY")), IF(ISNUMBER(B414), B414, ""))</f>
        <v>45342</v>
      </c>
      <c r="D414" s="9" t="str">
        <f>IF(B414="","Missing", IF(AND(ISNUMBER(B414)=FALSE, C414=""),"Invalid - Could Not Parse", IF(AND(ISNUMBER(B414)=FALSE, C414&lt;&gt;""),"Text - Converted to Date", IF(ISNUMBER(B414),"Valid","Check"))))</f>
        <v>Text - Converted to Date</v>
      </c>
      <c r="E414" s="5">
        <f t="shared" si="49"/>
        <v>2</v>
      </c>
      <c r="F414" s="5">
        <f t="shared" si="50"/>
        <v>2024</v>
      </c>
      <c r="G414" s="3" t="s">
        <v>2089</v>
      </c>
      <c r="H414" s="9">
        <f>IFERROR(DATEVALUE(TEXT(G414,"DD/MM/YYYY")), IF(ISNUMBER(G414), G414, ""))</f>
        <v>45349</v>
      </c>
      <c r="I414" s="9" t="str">
        <f>IF(G414="","Missing", IF(AND(ISNUMBER(G414)=FALSE, H414=""),"Invalid - Could Not Parse", IF(AND(ISNUMBER(G414)=FALSE, H414&lt;&gt;""),"Text - Converted to Date", IF(ISNUMBER(G414),"Valid","Check"))))</f>
        <v>Text - Converted to Date</v>
      </c>
      <c r="J414" s="9" t="str">
        <f>IF(OR(C414="", H414=""), "Cannot Check - Date Missing", IF(H414&lt;C414, "Invalid - Ship Before Order", "Valid"))</f>
        <v>Valid</v>
      </c>
      <c r="K414" s="5">
        <f>IF(OR(C414="", H414=""), "", IF(H414&lt;C414, "", H414-C414))</f>
        <v>7</v>
      </c>
      <c r="L414" s="3" t="s">
        <v>2090</v>
      </c>
      <c r="M414" s="3" t="s">
        <v>210</v>
      </c>
      <c r="N414" s="4" t="str">
        <f>TRIM(SUBSTITUTE(M414,"_"," "))</f>
        <v>Diya Patel</v>
      </c>
      <c r="O414" s="3" t="s">
        <v>26</v>
      </c>
      <c r="P414" s="6" t="str">
        <f>PROPER(TRIM(SUBSTITUTE(O414,".","")))</f>
        <v>Consumer</v>
      </c>
      <c r="Q414" s="3" t="s">
        <v>62</v>
      </c>
      <c r="R414" s="7" t="str">
        <f>PROPER(TRIM(SUBSTITUTE(Q414,"  "," ")))</f>
        <v>South</v>
      </c>
      <c r="S414" s="3" t="s">
        <v>242</v>
      </c>
      <c r="T414" s="6" t="str">
        <f>PROPER(TRIM(SUBSTITUTE(S414,"  "," ")))</f>
        <v>Kerala</v>
      </c>
      <c r="U414" s="3" t="s">
        <v>243</v>
      </c>
      <c r="V414" s="6" t="str">
        <f>PROPER(TRIM(SUBSTITUTE(U414,"  "," ")))</f>
        <v>Kochi</v>
      </c>
      <c r="W414" s="3" t="s">
        <v>86</v>
      </c>
      <c r="X414" s="6" t="str">
        <f>PROPER(TRIM(SUBSTITUTE(W414,"  "," ")))</f>
        <v>Technology</v>
      </c>
      <c r="Y414" s="3" t="s">
        <v>87</v>
      </c>
      <c r="Z414" s="6" t="str">
        <f>PROPER(TRIM(SUBSTITUTE(Y414,"  "," ")))</f>
        <v>Accessories</v>
      </c>
      <c r="AA414" s="3" t="s">
        <v>2091</v>
      </c>
      <c r="AB414" s="3" t="s">
        <v>2092</v>
      </c>
      <c r="AC414" s="6" t="str">
        <f>PROPER(TRIM(SUBSTITUTE(AB414,"  "," ")))</f>
        <v>First Class</v>
      </c>
      <c r="AD414" s="3">
        <v>9</v>
      </c>
      <c r="AE414" s="3">
        <v>3779.31</v>
      </c>
      <c r="AF414" s="3">
        <v>0.2</v>
      </c>
      <c r="AG414" s="17">
        <v>0.2</v>
      </c>
      <c r="AH414" s="6" t="str">
        <f t="shared" si="51"/>
        <v>Valid</v>
      </c>
      <c r="AI414" s="3">
        <v>27322.9</v>
      </c>
      <c r="AJ414" s="3">
        <v>17940.43</v>
      </c>
      <c r="AK414" s="3">
        <v>9270.6</v>
      </c>
      <c r="AL414" s="3" t="s">
        <v>34</v>
      </c>
      <c r="AM414" s="6" t="str">
        <f>PROPER(TRIM(SUBSTITUTE(AL414,".","")))</f>
        <v>Paid</v>
      </c>
      <c r="AN414" s="3" t="s">
        <v>125</v>
      </c>
      <c r="AO414" s="8" t="str">
        <f>PROPER(TRIM(SUBSTITUTE(AN414,".","")))</f>
        <v>Returned</v>
      </c>
      <c r="AP414" t="str">
        <f>IF(COUNTIF($A$2:$A$933, A414) &gt; 1, "Duplicate ID", "Unique")</f>
        <v>Duplicate ID</v>
      </c>
      <c r="AQ414" t="s">
        <v>4106</v>
      </c>
      <c r="AR414">
        <f t="shared" si="52"/>
        <v>27211.032000000003</v>
      </c>
      <c r="AS414">
        <f t="shared" si="53"/>
        <v>9270.6020000000026</v>
      </c>
      <c r="AT414" s="15">
        <f t="shared" si="54"/>
        <v>0.34069277490100347</v>
      </c>
      <c r="AU414" t="str">
        <f t="shared" si="55"/>
        <v>Invalid</v>
      </c>
      <c r="AV414" s="8" t="str">
        <f t="shared" si="56"/>
        <v>Active</v>
      </c>
    </row>
    <row r="415" spans="1:48">
      <c r="A415" s="3" t="s">
        <v>2460</v>
      </c>
      <c r="B415" s="3" t="s">
        <v>2461</v>
      </c>
      <c r="C415" s="9">
        <f>IFERROR(DATEVALUE(TEXT(B415,"DD/MM/YYYY")), IF(ISNUMBER(B415), B415, ""))</f>
        <v>45641</v>
      </c>
      <c r="D415" s="9" t="str">
        <f>IF(B415="","Missing", IF(AND(ISNUMBER(B415)=FALSE, C415=""),"Invalid - Could Not Parse", IF(AND(ISNUMBER(B415)=FALSE, C415&lt;&gt;""),"Text - Converted to Date", IF(ISNUMBER(B415),"Valid","Check"))))</f>
        <v>Text - Converted to Date</v>
      </c>
      <c r="E415" s="5">
        <f t="shared" si="49"/>
        <v>12</v>
      </c>
      <c r="F415" s="5">
        <f t="shared" si="50"/>
        <v>2024</v>
      </c>
      <c r="G415" s="3" t="s">
        <v>2462</v>
      </c>
      <c r="H415" s="9">
        <f>IFERROR(DATEVALUE(TEXT(G415,"DD/MM/YYYY")), IF(ISNUMBER(G415), G415, ""))</f>
        <v>45641</v>
      </c>
      <c r="I415" s="9" t="str">
        <f>IF(G415="","Missing", IF(AND(ISNUMBER(G415)=FALSE, H415=""),"Invalid - Could Not Parse", IF(AND(ISNUMBER(G415)=FALSE, H415&lt;&gt;""),"Text - Converted to Date", IF(ISNUMBER(G415),"Valid","Check"))))</f>
        <v>Text - Converted to Date</v>
      </c>
      <c r="J415" s="9" t="str">
        <f>IF(OR(C415="", H415=""), "Cannot Check - Date Missing", IF(H415&lt;C415, "Invalid - Ship Before Order", "Valid"))</f>
        <v>Valid</v>
      </c>
      <c r="K415" s="5">
        <f>IF(OR(C415="", H415=""), "", IF(H415&lt;C415, "", H415-C415))</f>
        <v>0</v>
      </c>
      <c r="L415" s="3" t="s">
        <v>2463</v>
      </c>
      <c r="M415" s="3" t="s">
        <v>162</v>
      </c>
      <c r="N415" s="4" t="str">
        <f>TRIM(SUBSTITUTE(M415,"_"," "))</f>
        <v>Aarav Sharma</v>
      </c>
      <c r="O415" s="3" t="s">
        <v>41</v>
      </c>
      <c r="P415" s="6" t="str">
        <f>PROPER(TRIM(SUBSTITUTE(O415,".","")))</f>
        <v>Small Business</v>
      </c>
      <c r="Q415" s="3" t="s">
        <v>27</v>
      </c>
      <c r="R415" s="7" t="str">
        <f>PROPER(TRIM(SUBSTITUTE(Q415,"  "," ")))</f>
        <v>North</v>
      </c>
      <c r="S415" s="3" t="s">
        <v>154</v>
      </c>
      <c r="T415" s="6" t="str">
        <f>PROPER(TRIM(SUBSTITUTE(S415,"  "," ")))</f>
        <v>Punjab</v>
      </c>
      <c r="U415" s="3" t="s">
        <v>155</v>
      </c>
      <c r="V415" s="6" t="str">
        <f>PROPER(TRIM(SUBSTITUTE(U415,"  "," ")))</f>
        <v>Ludhiana</v>
      </c>
      <c r="W415" s="3" t="s">
        <v>45</v>
      </c>
      <c r="X415" s="6" t="str">
        <f>PROPER(TRIM(SUBSTITUTE(W415,"  "," ")))</f>
        <v>Furniture</v>
      </c>
      <c r="Y415" s="3" t="s">
        <v>65</v>
      </c>
      <c r="Z415" s="6" t="str">
        <f>PROPER(TRIM(SUBSTITUTE(Y415,"  "," ")))</f>
        <v>Furnishings</v>
      </c>
      <c r="AA415" s="3" t="s">
        <v>2464</v>
      </c>
      <c r="AB415" s="3" t="s">
        <v>56</v>
      </c>
      <c r="AC415" s="6" t="str">
        <f>PROPER(TRIM(SUBSTITUTE(AB415,"  "," ")))</f>
        <v>First Class</v>
      </c>
      <c r="AD415" s="3">
        <v>2</v>
      </c>
      <c r="AE415" s="3">
        <v>669.8</v>
      </c>
      <c r="AF415" s="3">
        <v>0.1</v>
      </c>
      <c r="AG415" s="17">
        <v>0.1</v>
      </c>
      <c r="AH415" s="6" t="str">
        <f t="shared" si="51"/>
        <v>Valid</v>
      </c>
      <c r="AI415" s="3">
        <v>1205.6400000000001</v>
      </c>
      <c r="AJ415" s="3">
        <v>842.07</v>
      </c>
      <c r="AK415" s="3">
        <v>363.57</v>
      </c>
      <c r="AL415" s="3" t="s">
        <v>124</v>
      </c>
      <c r="AM415" s="6" t="str">
        <f>PROPER(TRIM(SUBSTITUTE(AL415,".","")))</f>
        <v>Refunded</v>
      </c>
      <c r="AN415" s="3" t="s">
        <v>125</v>
      </c>
      <c r="AO415" s="8" t="str">
        <f>PROPER(TRIM(SUBSTITUTE(AN415,".","")))</f>
        <v>Returned</v>
      </c>
      <c r="AP415" t="str">
        <f>IF(COUNTIF($A$2:$A$933, A415) &gt; 1, "Duplicate ID", "Unique")</f>
        <v>Unique</v>
      </c>
      <c r="AR415">
        <f t="shared" si="52"/>
        <v>1205.6399999999999</v>
      </c>
      <c r="AS415">
        <f t="shared" si="53"/>
        <v>363.56999999999982</v>
      </c>
      <c r="AT415" s="15">
        <f t="shared" si="54"/>
        <v>0.30155767890912699</v>
      </c>
      <c r="AU415" t="str">
        <f t="shared" si="55"/>
        <v>Clean</v>
      </c>
      <c r="AV415" s="8" t="str">
        <f t="shared" si="56"/>
        <v>Refund</v>
      </c>
    </row>
    <row r="416" spans="1:48">
      <c r="A416" s="3" t="s">
        <v>3246</v>
      </c>
      <c r="B416" s="3" t="s">
        <v>2461</v>
      </c>
      <c r="C416" s="9">
        <f>IFERROR(DATEVALUE(TEXT(B416,"DD/MM/YYYY")), IF(ISNUMBER(B416), B416, ""))</f>
        <v>45641</v>
      </c>
      <c r="D416" s="9" t="str">
        <f>IF(B416="","Missing", IF(AND(ISNUMBER(B416)=FALSE, C416=""),"Invalid - Could Not Parse", IF(AND(ISNUMBER(B416)=FALSE, C416&lt;&gt;""),"Text - Converted to Date", IF(ISNUMBER(B416),"Valid","Check"))))</f>
        <v>Text - Converted to Date</v>
      </c>
      <c r="E416" s="5">
        <f t="shared" si="49"/>
        <v>12</v>
      </c>
      <c r="F416" s="5">
        <f t="shared" si="50"/>
        <v>2024</v>
      </c>
      <c r="G416" s="3" t="s">
        <v>3247</v>
      </c>
      <c r="H416" s="9">
        <f>IFERROR(DATEVALUE(TEXT(G416,"DD/MM/YYYY")), IF(ISNUMBER(G416), G416, ""))</f>
        <v>45642</v>
      </c>
      <c r="I416" s="9" t="str">
        <f>IF(G416="","Missing", IF(AND(ISNUMBER(G416)=FALSE, H416=""),"Invalid - Could Not Parse", IF(AND(ISNUMBER(G416)=FALSE, H416&lt;&gt;""),"Text - Converted to Date", IF(ISNUMBER(G416),"Valid","Check"))))</f>
        <v>Text - Converted to Date</v>
      </c>
      <c r="J416" s="9" t="str">
        <f>IF(OR(C416="", H416=""), "Cannot Check - Date Missing", IF(H416&lt;C416, "Invalid - Ship Before Order", "Valid"))</f>
        <v>Valid</v>
      </c>
      <c r="K416" s="5">
        <f>IF(OR(C416="", H416=""), "", IF(H416&lt;C416, "", H416-C416))</f>
        <v>1</v>
      </c>
      <c r="L416" s="3" t="s">
        <v>3248</v>
      </c>
      <c r="M416" s="3" t="s">
        <v>180</v>
      </c>
      <c r="N416" s="4" t="str">
        <f>TRIM(SUBSTITUTE(M416,"_"," "))</f>
        <v>Rohan Mehta</v>
      </c>
      <c r="O416" s="3" t="s">
        <v>26</v>
      </c>
      <c r="P416" s="6" t="str">
        <f>PROPER(TRIM(SUBSTITUTE(O416,".","")))</f>
        <v>Consumer</v>
      </c>
      <c r="Q416" s="3" t="s">
        <v>42</v>
      </c>
      <c r="R416" s="7" t="str">
        <f>PROPER(TRIM(SUBSTITUTE(Q416,"  "," ")))</f>
        <v>East</v>
      </c>
      <c r="S416" s="3" t="s">
        <v>43</v>
      </c>
      <c r="T416" s="6" t="str">
        <f>PROPER(TRIM(SUBSTITUTE(S416,"  "," ")))</f>
        <v>Odisha</v>
      </c>
      <c r="U416" s="3" t="s">
        <v>44</v>
      </c>
      <c r="V416" s="6" t="str">
        <f>PROPER(TRIM(SUBSTITUTE(U416,"  "," ")))</f>
        <v>Bhubaneswar</v>
      </c>
      <c r="W416" s="3" t="s">
        <v>86</v>
      </c>
      <c r="X416" s="6" t="str">
        <f>PROPER(TRIM(SUBSTITUTE(W416,"  "," ")))</f>
        <v>Technology</v>
      </c>
      <c r="Y416" s="3" t="s">
        <v>94</v>
      </c>
      <c r="Z416" s="6" t="str">
        <f>PROPER(TRIM(SUBSTITUTE(Y416,"  "," ")))</f>
        <v>Copiers</v>
      </c>
      <c r="AA416" s="3" t="s">
        <v>3249</v>
      </c>
      <c r="AB416" s="3" t="s">
        <v>33</v>
      </c>
      <c r="AC416" s="6" t="str">
        <f>PROPER(TRIM(SUBSTITUTE(AB416,"  "," ")))</f>
        <v>Second Class</v>
      </c>
      <c r="AD416" s="3">
        <v>6</v>
      </c>
      <c r="AE416" s="3">
        <v>1538.1</v>
      </c>
      <c r="AF416" s="3">
        <v>0.05</v>
      </c>
      <c r="AG416" s="17">
        <v>0.05</v>
      </c>
      <c r="AH416" s="6" t="str">
        <f t="shared" si="51"/>
        <v>Valid</v>
      </c>
      <c r="AI416" s="3">
        <v>8767.17</v>
      </c>
      <c r="AJ416" s="3">
        <v>5098.2</v>
      </c>
      <c r="AK416" s="3">
        <v>3668.97</v>
      </c>
      <c r="AL416" s="3" t="s">
        <v>34</v>
      </c>
      <c r="AM416" s="6" t="str">
        <f>PROPER(TRIM(SUBSTITUTE(AL416,".","")))</f>
        <v>Paid</v>
      </c>
      <c r="AN416" s="3" t="s">
        <v>35</v>
      </c>
      <c r="AO416" s="8" t="str">
        <f>PROPER(TRIM(SUBSTITUTE(AN416,".","")))</f>
        <v>Completed</v>
      </c>
      <c r="AP416" t="str">
        <f>IF(COUNTIF($A$2:$A$933, A416) &gt; 1, "Duplicate ID", "Unique")</f>
        <v>Unique</v>
      </c>
      <c r="AR416">
        <f t="shared" si="52"/>
        <v>8767.1699999999983</v>
      </c>
      <c r="AS416">
        <f t="shared" si="53"/>
        <v>3668.9699999999984</v>
      </c>
      <c r="AT416" s="15">
        <f t="shared" si="54"/>
        <v>0.41848966085977563</v>
      </c>
      <c r="AU416" t="str">
        <f t="shared" si="55"/>
        <v>Clean</v>
      </c>
      <c r="AV416" s="8" t="str">
        <f t="shared" si="56"/>
        <v>Active</v>
      </c>
    </row>
    <row r="417" spans="1:48">
      <c r="A417" s="3" t="s">
        <v>3833</v>
      </c>
      <c r="B417" s="3" t="s">
        <v>2462</v>
      </c>
      <c r="C417" s="9">
        <f>IFERROR(DATEVALUE(TEXT(B417,"DD/MM/YYYY")), IF(ISNUMBER(B417), B417, ""))</f>
        <v>45641</v>
      </c>
      <c r="D417" s="9" t="str">
        <f>IF(B417="","Missing", IF(AND(ISNUMBER(B417)=FALSE, C417=""),"Invalid - Could Not Parse", IF(AND(ISNUMBER(B417)=FALSE, C417&lt;&gt;""),"Text - Converted to Date", IF(ISNUMBER(B417),"Valid","Check"))))</f>
        <v>Text - Converted to Date</v>
      </c>
      <c r="E417" s="5">
        <f t="shared" si="49"/>
        <v>12</v>
      </c>
      <c r="F417" s="5">
        <f t="shared" si="50"/>
        <v>2024</v>
      </c>
      <c r="G417" s="3" t="s">
        <v>3834</v>
      </c>
      <c r="H417" s="9">
        <f>IFERROR(DATEVALUE(TEXT(G417,"DD/MM/YYYY")), IF(ISNUMBER(G417), G417, ""))</f>
        <v>45644</v>
      </c>
      <c r="I417" s="9" t="str">
        <f>IF(G417="","Missing", IF(AND(ISNUMBER(G417)=FALSE, H417=""),"Invalid - Could Not Parse", IF(AND(ISNUMBER(G417)=FALSE, H417&lt;&gt;""),"Text - Converted to Date", IF(ISNUMBER(G417),"Valid","Check"))))</f>
        <v>Text - Converted to Date</v>
      </c>
      <c r="J417" s="9" t="str">
        <f>IF(OR(C417="", H417=""), "Cannot Check - Date Missing", IF(H417&lt;C417, "Invalid - Ship Before Order", "Valid"))</f>
        <v>Valid</v>
      </c>
      <c r="K417" s="5">
        <f>IF(OR(C417="", H417=""), "", IF(H417&lt;C417, "", H417-C417))</f>
        <v>3</v>
      </c>
      <c r="L417" s="3" t="s">
        <v>3835</v>
      </c>
      <c r="M417" s="3" t="s">
        <v>53</v>
      </c>
      <c r="N417" s="4" t="str">
        <f>TRIM(SUBSTITUTE(M417,"_"," "))</f>
        <v>Isha Nair</v>
      </c>
      <c r="O417" s="3" t="s">
        <v>41</v>
      </c>
      <c r="P417" s="6" t="str">
        <f>PROPER(TRIM(SUBSTITUTE(O417,".","")))</f>
        <v>Small Business</v>
      </c>
      <c r="Q417" s="3" t="s">
        <v>27</v>
      </c>
      <c r="R417" s="7" t="str">
        <f>PROPER(TRIM(SUBSTITUTE(Q417,"  "," ")))</f>
        <v>North</v>
      </c>
      <c r="S417" s="3" t="s">
        <v>28</v>
      </c>
      <c r="T417" s="6" t="str">
        <f>PROPER(TRIM(SUBSTITUTE(S417,"  "," ")))</f>
        <v>Rajasthan</v>
      </c>
      <c r="U417" s="3" t="s">
        <v>29</v>
      </c>
      <c r="V417" s="6" t="str">
        <f>PROPER(TRIM(SUBSTITUTE(U417,"  "," ")))</f>
        <v>Jaipur</v>
      </c>
      <c r="W417" s="3" t="s">
        <v>30</v>
      </c>
      <c r="X417" s="6" t="str">
        <f>PROPER(TRIM(SUBSTITUTE(W417,"  "," ")))</f>
        <v>Office Supplies</v>
      </c>
      <c r="Y417" s="3" t="s">
        <v>109</v>
      </c>
      <c r="Z417" s="6" t="str">
        <f>PROPER(TRIM(SUBSTITUTE(Y417,"  "," ")))</f>
        <v>Labels</v>
      </c>
      <c r="AA417" s="3" t="s">
        <v>3836</v>
      </c>
      <c r="AB417" s="3" t="s">
        <v>33</v>
      </c>
      <c r="AC417" s="6" t="str">
        <f>PROPER(TRIM(SUBSTITUTE(AB417,"  "," ")))</f>
        <v>Second Class</v>
      </c>
      <c r="AD417" s="3">
        <v>2</v>
      </c>
      <c r="AE417" s="3">
        <v>537.11</v>
      </c>
      <c r="AF417" s="3">
        <v>0</v>
      </c>
      <c r="AG417" s="17">
        <v>0</v>
      </c>
      <c r="AH417" s="6" t="str">
        <f t="shared" si="51"/>
        <v>Valid</v>
      </c>
      <c r="AI417" s="3">
        <v>1074.22</v>
      </c>
      <c r="AJ417" s="3">
        <v>850.86</v>
      </c>
      <c r="AK417" s="3">
        <v>223.36</v>
      </c>
      <c r="AL417" s="3" t="s">
        <v>34</v>
      </c>
      <c r="AM417" s="6" t="str">
        <f>PROPER(TRIM(SUBSTITUTE(AL417,".","")))</f>
        <v>Paid</v>
      </c>
      <c r="AN417" s="3" t="s">
        <v>35</v>
      </c>
      <c r="AO417" s="8" t="str">
        <f>PROPER(TRIM(SUBSTITUTE(AN417,".","")))</f>
        <v>Completed</v>
      </c>
      <c r="AP417" t="str">
        <f>IF(COUNTIF($A$2:$A$933, A417) &gt; 1, "Duplicate ID", "Unique")</f>
        <v>Unique</v>
      </c>
      <c r="AR417">
        <f t="shared" si="52"/>
        <v>1074.22</v>
      </c>
      <c r="AS417">
        <f t="shared" si="53"/>
        <v>223.36</v>
      </c>
      <c r="AT417" s="15">
        <f t="shared" si="54"/>
        <v>0.20792761259332354</v>
      </c>
      <c r="AU417" t="str">
        <f t="shared" si="55"/>
        <v>Clean</v>
      </c>
      <c r="AV417" s="8" t="str">
        <f t="shared" si="56"/>
        <v>Active</v>
      </c>
    </row>
    <row r="418" spans="1:48">
      <c r="A418" s="3" t="s">
        <v>1266</v>
      </c>
      <c r="B418" s="3" t="s">
        <v>1267</v>
      </c>
      <c r="C418" s="9">
        <f>IFERROR(DATEVALUE(TEXT(B418,"DD/MM/YYYY")), IF(ISNUMBER(B418), B418, ""))</f>
        <v>45643</v>
      </c>
      <c r="D418" s="9" t="str">
        <f>IF(B418="","Missing", IF(AND(ISNUMBER(B418)=FALSE, C418=""),"Invalid - Could Not Parse", IF(AND(ISNUMBER(B418)=FALSE, C418&lt;&gt;""),"Text - Converted to Date", IF(ISNUMBER(B418),"Valid","Check"))))</f>
        <v>Text - Converted to Date</v>
      </c>
      <c r="E418" s="5">
        <f t="shared" si="49"/>
        <v>12</v>
      </c>
      <c r="F418" s="5">
        <f t="shared" si="50"/>
        <v>2024</v>
      </c>
      <c r="G418" s="3" t="s">
        <v>824</v>
      </c>
      <c r="H418" s="9">
        <f>IFERROR(DATEVALUE(TEXT(G418,"DD/MM/YYYY")), IF(ISNUMBER(G418), G418, ""))</f>
        <v>45649</v>
      </c>
      <c r="I418" s="9" t="str">
        <f>IF(G418="","Missing", IF(AND(ISNUMBER(G418)=FALSE, H418=""),"Invalid - Could Not Parse", IF(AND(ISNUMBER(G418)=FALSE, H418&lt;&gt;""),"Text - Converted to Date", IF(ISNUMBER(G418),"Valid","Check"))))</f>
        <v>Text - Converted to Date</v>
      </c>
      <c r="J418" s="9" t="str">
        <f>IF(OR(C418="", H418=""), "Cannot Check - Date Missing", IF(H418&lt;C418, "Invalid - Ship Before Order", "Valid"))</f>
        <v>Valid</v>
      </c>
      <c r="K418" s="5">
        <f>IF(OR(C418="", H418=""), "", IF(H418&lt;C418, "", H418-C418))</f>
        <v>6</v>
      </c>
      <c r="L418" s="3" t="s">
        <v>1268</v>
      </c>
      <c r="M418" s="3" t="s">
        <v>162</v>
      </c>
      <c r="N418" s="4" t="str">
        <f>TRIM(SUBSTITUTE(M418,"_"," "))</f>
        <v>Aarav Sharma</v>
      </c>
      <c r="O418" s="3" t="s">
        <v>108</v>
      </c>
      <c r="P418" s="6" t="str">
        <f>PROPER(TRIM(SUBSTITUTE(O418,".","")))</f>
        <v>Corporate</v>
      </c>
      <c r="Q418" s="3" t="s">
        <v>62</v>
      </c>
      <c r="R418" s="7" t="str">
        <f>PROPER(TRIM(SUBSTITUTE(Q418,"  "," ")))</f>
        <v>South</v>
      </c>
      <c r="S418" s="3" t="s">
        <v>63</v>
      </c>
      <c r="T418" s="6" t="str">
        <f>PROPER(TRIM(SUBSTITUTE(S418,"  "," ")))</f>
        <v>Telangana</v>
      </c>
      <c r="U418" s="3" t="s">
        <v>64</v>
      </c>
      <c r="V418" s="6" t="str">
        <f>PROPER(TRIM(SUBSTITUTE(U418,"  "," ")))</f>
        <v>Hyderabad</v>
      </c>
      <c r="W418" s="3" t="s">
        <v>30</v>
      </c>
      <c r="X418" s="6" t="str">
        <f>PROPER(TRIM(SUBSTITUTE(W418,"  "," ")))</f>
        <v>Office Supplies</v>
      </c>
      <c r="Y418" s="3" t="s">
        <v>198</v>
      </c>
      <c r="Z418" s="6" t="str">
        <f>PROPER(TRIM(SUBSTITUTE(Y418,"  "," ")))</f>
        <v>Binders</v>
      </c>
      <c r="AA418" s="3" t="s">
        <v>1269</v>
      </c>
      <c r="AB418" s="3" t="s">
        <v>56</v>
      </c>
      <c r="AC418" s="6" t="str">
        <f>PROPER(TRIM(SUBSTITUTE(AB418,"  "," ")))</f>
        <v>First Class</v>
      </c>
      <c r="AD418" s="3">
        <v>9</v>
      </c>
      <c r="AE418" s="3">
        <v>2315.1</v>
      </c>
      <c r="AF418" s="3">
        <v>0</v>
      </c>
      <c r="AG418" s="17">
        <v>0</v>
      </c>
      <c r="AH418" s="6" t="str">
        <f t="shared" si="51"/>
        <v>Valid</v>
      </c>
      <c r="AI418" s="3">
        <v>20835.900000000001</v>
      </c>
      <c r="AJ418" s="3">
        <v>13928.19</v>
      </c>
      <c r="AK418" s="3">
        <v>6907.71</v>
      </c>
      <c r="AL418" s="3" t="s">
        <v>34</v>
      </c>
      <c r="AM418" s="6" t="str">
        <f>PROPER(TRIM(SUBSTITUTE(AL418,".","")))</f>
        <v>Paid</v>
      </c>
      <c r="AN418" s="3" t="s">
        <v>35</v>
      </c>
      <c r="AO418" s="8" t="str">
        <f>PROPER(TRIM(SUBSTITUTE(AN418,".","")))</f>
        <v>Completed</v>
      </c>
      <c r="AP418" t="str">
        <f>IF(COUNTIF($A$2:$A$933, A418) &gt; 1, "Duplicate ID", "Unique")</f>
        <v>Unique</v>
      </c>
      <c r="AR418">
        <f t="shared" si="52"/>
        <v>20835.899999999998</v>
      </c>
      <c r="AS418">
        <f t="shared" si="53"/>
        <v>6907.7099999999973</v>
      </c>
      <c r="AT418" s="15">
        <f t="shared" si="54"/>
        <v>0.33152923559817421</v>
      </c>
      <c r="AU418" t="str">
        <f t="shared" si="55"/>
        <v>Clean</v>
      </c>
      <c r="AV418" s="8" t="str">
        <f t="shared" si="56"/>
        <v>Active</v>
      </c>
    </row>
    <row r="419" spans="1:48">
      <c r="A419" s="3" t="s">
        <v>131</v>
      </c>
      <c r="B419" s="3" t="s">
        <v>132</v>
      </c>
      <c r="C419" s="9">
        <f>IFERROR(DATEVALUE(TEXT(B419,"DD/MM/YYYY")), IF(ISNUMBER(B419), B419, ""))</f>
        <v>45646</v>
      </c>
      <c r="D419" s="9" t="str">
        <f>IF(B419="","Missing", IF(AND(ISNUMBER(B419)=FALSE, C419=""),"Invalid - Could Not Parse", IF(AND(ISNUMBER(B419)=FALSE, C419&lt;&gt;""),"Text - Converted to Date", IF(ISNUMBER(B419),"Valid","Check"))))</f>
        <v>Text - Converted to Date</v>
      </c>
      <c r="E419" s="5">
        <f t="shared" si="49"/>
        <v>12</v>
      </c>
      <c r="F419" s="5">
        <f t="shared" si="50"/>
        <v>2024</v>
      </c>
      <c r="G419" s="3" t="s">
        <v>133</v>
      </c>
      <c r="H419" s="9">
        <f>IFERROR(DATEVALUE(MID(G419,4,2) &amp; "/" &amp; LEFT(G419,2) &amp; "/" &amp; RIGHT(G419,4)), IF(ISNUMBER(G419), G419, IFERROR(DATEVALUE(G419), "")))</f>
        <v>45647</v>
      </c>
      <c r="I419" s="9" t="str">
        <f>IF(G419="","Missing", IF(AND(ISNUMBER(G419)=FALSE, H419=""),"Invalid - Could Not Parse", IF(AND(ISNUMBER(G419)=FALSE, H419&lt;&gt;""),"Text - Converted to Date", IF(ISNUMBER(G419),"Valid","Check"))))</f>
        <v>Text - Converted to Date</v>
      </c>
      <c r="J419" s="9" t="str">
        <f>IF(OR(C419="", H419=""), "Cannot Check - Date Missing", IF(H419&lt;C419, "Invalid - Ship Before Order", "Valid"))</f>
        <v>Valid</v>
      </c>
      <c r="K419" s="5">
        <f>IF(OR(C419="", H419=""), "", IF(H419&lt;C419, "", H419-C419))</f>
        <v>1</v>
      </c>
      <c r="L419" s="3" t="s">
        <v>134</v>
      </c>
      <c r="M419" s="3" t="s">
        <v>72</v>
      </c>
      <c r="N419" s="4" t="str">
        <f>TRIM(SUBSTITUTE(M419,"_"," "))</f>
        <v>Ananya Rao</v>
      </c>
      <c r="O419" s="3" t="s">
        <v>108</v>
      </c>
      <c r="P419" s="6" t="str">
        <f>PROPER(TRIM(SUBSTITUTE(O419,".","")))</f>
        <v>Corporate</v>
      </c>
      <c r="Q419" s="3" t="s">
        <v>73</v>
      </c>
      <c r="R419" s="7" t="str">
        <f>PROPER(TRIM(SUBSTITUTE(Q419,"  "," ")))</f>
        <v>West</v>
      </c>
      <c r="S419" s="3" t="s">
        <v>28</v>
      </c>
      <c r="T419" s="6" t="str">
        <f>PROPER(TRIM(SUBSTITUTE(S419,"  "," ")))</f>
        <v>Rajasthan</v>
      </c>
      <c r="U419" s="3" t="s">
        <v>135</v>
      </c>
      <c r="V419" s="6" t="str">
        <f>PROPER(TRIM(SUBSTITUTE(U419,"  "," ")))</f>
        <v>Udaipur</v>
      </c>
      <c r="W419" s="3" t="s">
        <v>30</v>
      </c>
      <c r="X419" s="6" t="str">
        <f>PROPER(TRIM(SUBSTITUTE(W419,"  "," ")))</f>
        <v>Office Supplies</v>
      </c>
      <c r="Y419" s="3" t="s">
        <v>31</v>
      </c>
      <c r="Z419" s="6" t="str">
        <f>PROPER(TRIM(SUBSTITUTE(Y419,"  "," ")))</f>
        <v>Paper</v>
      </c>
      <c r="AA419" s="3" t="s">
        <v>136</v>
      </c>
      <c r="AB419" s="3" t="s">
        <v>56</v>
      </c>
      <c r="AC419" s="6" t="str">
        <f>PROPER(TRIM(SUBSTITUTE(AB419,"  "," ")))</f>
        <v>First Class</v>
      </c>
      <c r="AD419" s="3">
        <v>1</v>
      </c>
      <c r="AE419" s="3">
        <v>702.14</v>
      </c>
      <c r="AF419" s="3">
        <v>0.15</v>
      </c>
      <c r="AG419" s="17">
        <v>0.15</v>
      </c>
      <c r="AH419" s="6" t="str">
        <f t="shared" si="51"/>
        <v>Valid</v>
      </c>
      <c r="AI419" s="3">
        <v>596.82000000000005</v>
      </c>
      <c r="AJ419" s="3">
        <v>380.25</v>
      </c>
      <c r="AK419" s="3">
        <v>216.57</v>
      </c>
      <c r="AL419" s="3" t="s">
        <v>137</v>
      </c>
      <c r="AM419" s="6" t="str">
        <f>PROPER(TRIM(SUBSTITUTE(AL419,".","")))</f>
        <v>Pending</v>
      </c>
      <c r="AN419" s="3" t="s">
        <v>125</v>
      </c>
      <c r="AO419" s="8" t="str">
        <f>PROPER(TRIM(SUBSTITUTE(AN419,".","")))</f>
        <v>Returned</v>
      </c>
      <c r="AP419" t="str">
        <f>IF(COUNTIF($A$2:$A$933, A419) &gt; 1, "Duplicate ID", "Unique")</f>
        <v>Unique</v>
      </c>
      <c r="AR419">
        <f t="shared" si="52"/>
        <v>596.81899999999996</v>
      </c>
      <c r="AS419">
        <f t="shared" si="53"/>
        <v>216.56899999999996</v>
      </c>
      <c r="AT419" s="15">
        <f t="shared" si="54"/>
        <v>0.36287216057129545</v>
      </c>
      <c r="AU419" t="str">
        <f t="shared" si="55"/>
        <v>Clean</v>
      </c>
      <c r="AV419" s="8" t="str">
        <f t="shared" si="56"/>
        <v>Active</v>
      </c>
    </row>
    <row r="420" spans="1:48">
      <c r="A420" s="3" t="s">
        <v>1403</v>
      </c>
      <c r="B420" s="3" t="s">
        <v>1404</v>
      </c>
      <c r="C420" s="9">
        <f>IFERROR(DATEVALUE(TEXT(B420,"DD/MM/YYYY")), IF(ISNUMBER(B420), B420, ""))</f>
        <v>45647</v>
      </c>
      <c r="D420" s="9" t="str">
        <f>IF(B420="","Missing", IF(AND(ISNUMBER(B420)=FALSE, C420=""),"Invalid - Could Not Parse", IF(AND(ISNUMBER(B420)=FALSE, C420&lt;&gt;""),"Text - Converted to Date", IF(ISNUMBER(B420),"Valid","Check"))))</f>
        <v>Text - Converted to Date</v>
      </c>
      <c r="E420" s="5">
        <f t="shared" si="49"/>
        <v>12</v>
      </c>
      <c r="F420" s="5">
        <f t="shared" si="50"/>
        <v>2024</v>
      </c>
      <c r="G420" s="3" t="s">
        <v>1405</v>
      </c>
      <c r="H420" s="9">
        <f>IFERROR(DATEVALUE(TEXT(G420,"DD/MM/YYYY")), IF(ISNUMBER(G420), G420, ""))</f>
        <v>45651</v>
      </c>
      <c r="I420" s="9" t="str">
        <f>IF(G420="","Missing", IF(AND(ISNUMBER(G420)=FALSE, H420=""),"Invalid - Could Not Parse", IF(AND(ISNUMBER(G420)=FALSE, H420&lt;&gt;""),"Text - Converted to Date", IF(ISNUMBER(G420),"Valid","Check"))))</f>
        <v>Text - Converted to Date</v>
      </c>
      <c r="J420" s="9" t="str">
        <f>IF(OR(C420="", H420=""), "Cannot Check - Date Missing", IF(H420&lt;C420, "Invalid - Ship Before Order", "Valid"))</f>
        <v>Valid</v>
      </c>
      <c r="K420" s="5">
        <f>IF(OR(C420="", H420=""), "", IF(H420&lt;C420, "", H420-C420))</f>
        <v>4</v>
      </c>
      <c r="L420" s="3" t="s">
        <v>1406</v>
      </c>
      <c r="M420" s="3" t="s">
        <v>107</v>
      </c>
      <c r="N420" s="4" t="str">
        <f>TRIM(SUBSTITUTE(M420,"_"," "))</f>
        <v>Aditi Sen</v>
      </c>
      <c r="O420" s="3" t="s">
        <v>26</v>
      </c>
      <c r="P420" s="6" t="str">
        <f>PROPER(TRIM(SUBSTITUTE(O420,".","")))</f>
        <v>Consumer</v>
      </c>
      <c r="Q420" s="3" t="s">
        <v>62</v>
      </c>
      <c r="R420" s="7" t="str">
        <f>PROPER(TRIM(SUBSTITUTE(Q420,"  "," ")))</f>
        <v>South</v>
      </c>
      <c r="S420" s="3" t="s">
        <v>63</v>
      </c>
      <c r="T420" s="6" t="str">
        <f>PROPER(TRIM(SUBSTITUTE(S420,"  "," ")))</f>
        <v>Telangana</v>
      </c>
      <c r="U420" s="3" t="s">
        <v>64</v>
      </c>
      <c r="V420" s="6" t="str">
        <f>PROPER(TRIM(SUBSTITUTE(U420,"  "," ")))</f>
        <v>Hyderabad</v>
      </c>
      <c r="W420" s="3" t="s">
        <v>30</v>
      </c>
      <c r="X420" s="6" t="str">
        <f>PROPER(TRIM(SUBSTITUTE(W420,"  "," ")))</f>
        <v>Office Supplies</v>
      </c>
      <c r="Y420" s="3" t="s">
        <v>198</v>
      </c>
      <c r="Z420" s="6" t="str">
        <f>PROPER(TRIM(SUBSTITUTE(Y420,"  "," ")))</f>
        <v>Binders</v>
      </c>
      <c r="AA420" s="3" t="s">
        <v>1407</v>
      </c>
      <c r="AB420" s="3" t="s">
        <v>67</v>
      </c>
      <c r="AC420" s="6" t="str">
        <f>PROPER(TRIM(SUBSTITUTE(AB420,"  "," ")))</f>
        <v>Standard Class</v>
      </c>
      <c r="AD420" s="3">
        <v>7</v>
      </c>
      <c r="AE420" s="3">
        <v>1667.75</v>
      </c>
      <c r="AF420" s="3">
        <v>0</v>
      </c>
      <c r="AG420" s="17">
        <v>0</v>
      </c>
      <c r="AH420" s="6" t="str">
        <f t="shared" si="51"/>
        <v>Valid</v>
      </c>
      <c r="AI420" s="3">
        <v>11674.25</v>
      </c>
      <c r="AJ420" s="3">
        <v>9621.19</v>
      </c>
      <c r="AK420" s="3">
        <v>2053.06</v>
      </c>
      <c r="AL420" s="3" t="s">
        <v>200</v>
      </c>
      <c r="AM420" s="6" t="str">
        <f>PROPER(TRIM(SUBSTITUTE(AL420,".","")))</f>
        <v>Failed</v>
      </c>
      <c r="AN420" s="3" t="s">
        <v>78</v>
      </c>
      <c r="AO420" s="8" t="str">
        <f>PROPER(TRIM(SUBSTITUTE(AN420,".","")))</f>
        <v>Cancelled</v>
      </c>
      <c r="AP420" t="str">
        <f>IF(COUNTIF($A$2:$A$933, A420) &gt; 1, "Duplicate ID", "Unique")</f>
        <v>Unique</v>
      </c>
      <c r="AR420">
        <f t="shared" si="52"/>
        <v>11674.25</v>
      </c>
      <c r="AS420">
        <f t="shared" si="53"/>
        <v>2053.0599999999995</v>
      </c>
      <c r="AT420" s="15">
        <f t="shared" si="54"/>
        <v>0.17586226095894808</v>
      </c>
      <c r="AU420" t="str">
        <f t="shared" si="55"/>
        <v>Clean</v>
      </c>
      <c r="AV420" s="8" t="str">
        <f t="shared" si="56"/>
        <v>Cancelled</v>
      </c>
    </row>
    <row r="421" spans="1:48">
      <c r="A421" s="3" t="s">
        <v>2429</v>
      </c>
      <c r="B421" s="3" t="s">
        <v>2430</v>
      </c>
      <c r="C421" s="9">
        <f>IFERROR(DATEVALUE(TEXT(B421,"DD/MM/YYYY")), IF(ISNUMBER(B421), B421, ""))</f>
        <v>45648</v>
      </c>
      <c r="D421" s="9" t="str">
        <f>IF(B421="","Missing", IF(AND(ISNUMBER(B421)=FALSE, C421=""),"Invalid - Could Not Parse", IF(AND(ISNUMBER(B421)=FALSE, C421&lt;&gt;""),"Text - Converted to Date", IF(ISNUMBER(B421),"Valid","Check"))))</f>
        <v>Text - Converted to Date</v>
      </c>
      <c r="E421" s="5">
        <f t="shared" si="49"/>
        <v>12</v>
      </c>
      <c r="F421" s="5">
        <f t="shared" si="50"/>
        <v>2024</v>
      </c>
      <c r="G421" s="3" t="s">
        <v>1445</v>
      </c>
      <c r="H421" s="9">
        <f>IFERROR(DATEVALUE(TEXT(G421,"DD/MM/YYYY")), IF(ISNUMBER(G421), G421, ""))</f>
        <v>45652</v>
      </c>
      <c r="I421" s="9" t="str">
        <f>IF(G421="","Missing", IF(AND(ISNUMBER(G421)=FALSE, H421=""),"Invalid - Could Not Parse", IF(AND(ISNUMBER(G421)=FALSE, H421&lt;&gt;""),"Text - Converted to Date", IF(ISNUMBER(G421),"Valid","Check"))))</f>
        <v>Text - Converted to Date</v>
      </c>
      <c r="J421" s="9" t="str">
        <f>IF(OR(C421="", H421=""), "Cannot Check - Date Missing", IF(H421&lt;C421, "Invalid - Ship Before Order", "Valid"))</f>
        <v>Valid</v>
      </c>
      <c r="K421" s="5">
        <f>IF(OR(C421="", H421=""), "", IF(H421&lt;C421, "", H421-C421))</f>
        <v>4</v>
      </c>
      <c r="L421" s="3" t="s">
        <v>2431</v>
      </c>
      <c r="M421" s="3" t="s">
        <v>148</v>
      </c>
      <c r="N421" s="4" t="str">
        <f>TRIM(SUBSTITUTE(M421,"_"," "))</f>
        <v>Rahul Verma</v>
      </c>
      <c r="O421" s="3" t="s">
        <v>115</v>
      </c>
      <c r="P421" s="6" t="str">
        <f>PROPER(TRIM(SUBSTITUTE(O421,".","")))</f>
        <v>Home Office</v>
      </c>
      <c r="Q421" s="3" t="s">
        <v>27</v>
      </c>
      <c r="R421" s="7" t="str">
        <f>PROPER(TRIM(SUBSTITUTE(Q421,"  "," ")))</f>
        <v>North</v>
      </c>
      <c r="S421" s="3" t="s">
        <v>174</v>
      </c>
      <c r="T421" s="6" t="str">
        <f>PROPER(TRIM(SUBSTITUTE(S421,"  "," ")))</f>
        <v>Uttar Pradesh</v>
      </c>
      <c r="U421" s="3" t="s">
        <v>175</v>
      </c>
      <c r="V421" s="6" t="str">
        <f>PROPER(TRIM(SUBSTITUTE(U421,"  "," ")))</f>
        <v>Noida</v>
      </c>
      <c r="W421" s="3" t="s">
        <v>45</v>
      </c>
      <c r="X421" s="6" t="str">
        <f>PROPER(TRIM(SUBSTITUTE(W421,"  "," ")))</f>
        <v>Furniture</v>
      </c>
      <c r="Y421" s="3" t="s">
        <v>76</v>
      </c>
      <c r="Z421" s="6" t="str">
        <f>PROPER(TRIM(SUBSTITUTE(Y421,"  "," ")))</f>
        <v>Chairs</v>
      </c>
      <c r="AA421" s="3" t="s">
        <v>2432</v>
      </c>
      <c r="AB421" s="3" t="s">
        <v>67</v>
      </c>
      <c r="AC421" s="6" t="str">
        <f>PROPER(TRIM(SUBSTITUTE(AB421,"  "," ")))</f>
        <v>Standard Class</v>
      </c>
      <c r="AD421" s="3">
        <v>9</v>
      </c>
      <c r="AE421" s="3">
        <v>1110.8699999999999</v>
      </c>
      <c r="AF421" s="3"/>
      <c r="AG421" s="18">
        <f>IF(ISBLANK(AF421), 0, AF421)</f>
        <v>0</v>
      </c>
      <c r="AH421" s="6" t="str">
        <f t="shared" si="51"/>
        <v>Missing</v>
      </c>
      <c r="AI421" s="3">
        <v>7498.37</v>
      </c>
      <c r="AJ421" s="3">
        <v>6059.07</v>
      </c>
      <c r="AK421" s="3">
        <v>1439.3</v>
      </c>
      <c r="AL421" s="3" t="s">
        <v>34</v>
      </c>
      <c r="AM421" s="6" t="str">
        <f>PROPER(TRIM(SUBSTITUTE(AL421,".","")))</f>
        <v>Paid</v>
      </c>
      <c r="AN421" s="3" t="s">
        <v>78</v>
      </c>
      <c r="AO421" s="8" t="str">
        <f>PROPER(TRIM(SUBSTITUTE(AN421,".","")))</f>
        <v>Cancelled</v>
      </c>
      <c r="AP421" t="str">
        <f>IF(COUNTIF($A$2:$A$933, A421) &gt; 1, "Duplicate ID", "Unique")</f>
        <v>Unique</v>
      </c>
      <c r="AR421">
        <f t="shared" si="52"/>
        <v>9997.8299999999981</v>
      </c>
      <c r="AS421">
        <f t="shared" si="53"/>
        <v>3938.7599999999984</v>
      </c>
      <c r="AT421" s="15">
        <f t="shared" si="54"/>
        <v>0.3939614896432525</v>
      </c>
      <c r="AU421" t="str">
        <f t="shared" si="55"/>
        <v>Warning</v>
      </c>
      <c r="AV421" s="8" t="str">
        <f t="shared" si="56"/>
        <v>Cancelled</v>
      </c>
    </row>
    <row r="422" spans="1:48">
      <c r="A422" s="3" t="s">
        <v>424</v>
      </c>
      <c r="B422" s="3" t="s">
        <v>425</v>
      </c>
      <c r="C422" s="9">
        <f>IFERROR(DATEVALUE(TEXT(B422,"DD/MM/YYYY")), IF(ISNUMBER(B422), B422, ""))</f>
        <v>45649</v>
      </c>
      <c r="D422" s="9" t="str">
        <f>IF(B422="","Missing", IF(AND(ISNUMBER(B422)=FALSE, C422=""),"Invalid - Could Not Parse", IF(AND(ISNUMBER(B422)=FALSE, C422&lt;&gt;""),"Text - Converted to Date", IF(ISNUMBER(B422),"Valid","Check"))))</f>
        <v>Text - Converted to Date</v>
      </c>
      <c r="E422" s="5">
        <f t="shared" si="49"/>
        <v>12</v>
      </c>
      <c r="F422" s="5">
        <f t="shared" si="50"/>
        <v>2024</v>
      </c>
      <c r="G422" s="3" t="s">
        <v>426</v>
      </c>
      <c r="H422" s="9">
        <f>IFERROR(DATEVALUE(MID(G422,4,2) &amp; "/" &amp; LEFT(G422,2) &amp; "/" &amp; RIGHT(G422,4)), IF(ISNUMBER(G422), G422, IFERROR(DATEVALUE(G422), "")))</f>
        <v>45655</v>
      </c>
      <c r="I422" s="9" t="str">
        <f>IF(G422="","Missing", IF(AND(ISNUMBER(G422)=FALSE, H422=""),"Invalid - Could Not Parse", IF(AND(ISNUMBER(G422)=FALSE, H422&lt;&gt;""),"Text - Converted to Date", IF(ISNUMBER(G422),"Valid","Check"))))</f>
        <v>Text - Converted to Date</v>
      </c>
      <c r="J422" s="9" t="str">
        <f>IF(OR(C422="", H422=""), "Cannot Check - Date Missing", IF(H422&lt;C422, "Invalid - Ship Before Order", "Valid"))</f>
        <v>Valid</v>
      </c>
      <c r="K422" s="5">
        <f>IF(OR(C422="", H422=""), "", IF(H422&lt;C422, "", H422-C422))</f>
        <v>6</v>
      </c>
      <c r="L422" s="3" t="s">
        <v>427</v>
      </c>
      <c r="M422" s="3" t="s">
        <v>162</v>
      </c>
      <c r="N422" s="4" t="str">
        <f>TRIM(SUBSTITUTE(M422,"_"," "))</f>
        <v>Aarav Sharma</v>
      </c>
      <c r="O422" s="3" t="s">
        <v>108</v>
      </c>
      <c r="P422" s="6" t="str">
        <f>PROPER(TRIM(SUBSTITUTE(O422,".","")))</f>
        <v>Corporate</v>
      </c>
      <c r="Q422" s="3" t="s">
        <v>42</v>
      </c>
      <c r="R422" s="7" t="str">
        <f>PROPER(TRIM(SUBSTITUTE(Q422,"  "," ")))</f>
        <v>East</v>
      </c>
      <c r="S422" s="3" t="s">
        <v>311</v>
      </c>
      <c r="T422" s="6" t="str">
        <f>PROPER(TRIM(SUBSTITUTE(S422,"  "," ")))</f>
        <v>Jharkhand</v>
      </c>
      <c r="U422" s="3" t="s">
        <v>312</v>
      </c>
      <c r="V422" s="6" t="str">
        <f>PROPER(TRIM(SUBSTITUTE(U422,"  "," ")))</f>
        <v>Ranchi</v>
      </c>
      <c r="W422" s="3" t="s">
        <v>30</v>
      </c>
      <c r="X422" s="6" t="str">
        <f>PROPER(TRIM(SUBSTITUTE(W422,"  "," ")))</f>
        <v>Office Supplies</v>
      </c>
      <c r="Y422" s="3" t="s">
        <v>31</v>
      </c>
      <c r="Z422" s="6" t="str">
        <f>PROPER(TRIM(SUBSTITUTE(Y422,"  "," ")))</f>
        <v>Paper</v>
      </c>
      <c r="AA422" s="3" t="s">
        <v>428</v>
      </c>
      <c r="AB422" s="3" t="s">
        <v>56</v>
      </c>
      <c r="AC422" s="6" t="str">
        <f>PROPER(TRIM(SUBSTITUTE(AB422,"  "," ")))</f>
        <v>First Class</v>
      </c>
      <c r="AD422" s="3">
        <v>7</v>
      </c>
      <c r="AE422" s="3">
        <v>447.84</v>
      </c>
      <c r="AF422" s="3">
        <v>0</v>
      </c>
      <c r="AG422" s="17">
        <v>0</v>
      </c>
      <c r="AH422" s="6" t="str">
        <f t="shared" si="51"/>
        <v>Valid</v>
      </c>
      <c r="AI422" s="3">
        <v>3134.88</v>
      </c>
      <c r="AJ422" s="3">
        <v>2367.63</v>
      </c>
      <c r="AK422" s="3">
        <v>767.25</v>
      </c>
      <c r="AL422" s="3" t="s">
        <v>124</v>
      </c>
      <c r="AM422" s="6" t="str">
        <f>PROPER(TRIM(SUBSTITUTE(AL422,".","")))</f>
        <v>Refunded</v>
      </c>
      <c r="AN422" s="3" t="s">
        <v>125</v>
      </c>
      <c r="AO422" s="8" t="str">
        <f>PROPER(TRIM(SUBSTITUTE(AN422,".","")))</f>
        <v>Returned</v>
      </c>
      <c r="AP422" t="str">
        <f>IF(COUNTIF($A$2:$A$933, A422) &gt; 1, "Duplicate ID", "Unique")</f>
        <v>Unique</v>
      </c>
      <c r="AR422">
        <f t="shared" si="52"/>
        <v>3134.8799999999997</v>
      </c>
      <c r="AS422">
        <f t="shared" si="53"/>
        <v>767.24999999999955</v>
      </c>
      <c r="AT422" s="15">
        <f t="shared" si="54"/>
        <v>0.24474621038125849</v>
      </c>
      <c r="AU422" t="str">
        <f t="shared" si="55"/>
        <v>Clean</v>
      </c>
      <c r="AV422" s="8" t="str">
        <f t="shared" si="56"/>
        <v>Refund</v>
      </c>
    </row>
    <row r="423" spans="1:48">
      <c r="A423" s="3" t="s">
        <v>823</v>
      </c>
      <c r="B423" s="3" t="s">
        <v>824</v>
      </c>
      <c r="C423" s="9">
        <f>IFERROR(DATEVALUE(TEXT(B423,"DD/MM/YYYY")), IF(ISNUMBER(B423), B423, ""))</f>
        <v>45649</v>
      </c>
      <c r="D423" s="9" t="str">
        <f>IF(B423="","Missing", IF(AND(ISNUMBER(B423)=FALSE, C423=""),"Invalid - Could Not Parse", IF(AND(ISNUMBER(B423)=FALSE, C423&lt;&gt;""),"Text - Converted to Date", IF(ISNUMBER(B423),"Valid","Check"))))</f>
        <v>Text - Converted to Date</v>
      </c>
      <c r="E423" s="5">
        <f t="shared" si="49"/>
        <v>12</v>
      </c>
      <c r="F423" s="5">
        <f t="shared" si="50"/>
        <v>2024</v>
      </c>
      <c r="G423" s="3" t="s">
        <v>825</v>
      </c>
      <c r="H423" s="9">
        <f>IFERROR(DATEVALUE(TEXT(G423,"DD/MM/YYYY")), IF(ISNUMBER(G423), G423, ""))</f>
        <v>45656</v>
      </c>
      <c r="I423" s="9" t="str">
        <f>IF(G423="","Missing", IF(AND(ISNUMBER(G423)=FALSE, H423=""),"Invalid - Could Not Parse", IF(AND(ISNUMBER(G423)=FALSE, H423&lt;&gt;""),"Text - Converted to Date", IF(ISNUMBER(G423),"Valid","Check"))))</f>
        <v>Text - Converted to Date</v>
      </c>
      <c r="J423" s="9" t="str">
        <f>IF(OR(C423="", H423=""), "Cannot Check - Date Missing", IF(H423&lt;C423, "Invalid - Ship Before Order", "Valid"))</f>
        <v>Valid</v>
      </c>
      <c r="K423" s="5">
        <f>IF(OR(C423="", H423=""), "", IF(H423&lt;C423, "", H423-C423))</f>
        <v>7</v>
      </c>
      <c r="L423" s="3" t="s">
        <v>826</v>
      </c>
      <c r="M423" s="3" t="s">
        <v>142</v>
      </c>
      <c r="N423" s="4" t="str">
        <f>TRIM(SUBSTITUTE(M423,"_"," "))</f>
        <v>Priya Menon</v>
      </c>
      <c r="O423" s="3" t="s">
        <v>115</v>
      </c>
      <c r="P423" s="6" t="str">
        <f>PROPER(TRIM(SUBSTITUTE(O423,".","")))</f>
        <v>Home Office</v>
      </c>
      <c r="Q423" s="3" t="s">
        <v>73</v>
      </c>
      <c r="R423" s="7" t="str">
        <f>PROPER(TRIM(SUBSTITUTE(Q423,"  "," ")))</f>
        <v>West</v>
      </c>
      <c r="S423" s="3" t="s">
        <v>249</v>
      </c>
      <c r="T423" s="6" t="str">
        <f>PROPER(TRIM(SUBSTITUTE(S423,"  "," ")))</f>
        <v>Goa</v>
      </c>
      <c r="U423" s="3" t="s">
        <v>250</v>
      </c>
      <c r="V423" s="6" t="str">
        <f>PROPER(TRIM(SUBSTITUTE(U423,"  "," ")))</f>
        <v>Panaji</v>
      </c>
      <c r="W423" s="3" t="s">
        <v>45</v>
      </c>
      <c r="X423" s="6" t="str">
        <f>PROPER(TRIM(SUBSTITUTE(W423,"  "," ")))</f>
        <v>Furniture</v>
      </c>
      <c r="Y423" s="3" t="s">
        <v>65</v>
      </c>
      <c r="Z423" s="6" t="str">
        <f>PROPER(TRIM(SUBSTITUTE(Y423,"  "," ")))</f>
        <v>Furnishings</v>
      </c>
      <c r="AA423" s="3" t="s">
        <v>827</v>
      </c>
      <c r="AB423" s="3" t="s">
        <v>56</v>
      </c>
      <c r="AC423" s="6" t="str">
        <f>PROPER(TRIM(SUBSTITUTE(AB423,"  "," ")))</f>
        <v>First Class</v>
      </c>
      <c r="AD423" s="3">
        <v>8</v>
      </c>
      <c r="AE423" s="3">
        <v>386.1</v>
      </c>
      <c r="AF423" s="3">
        <v>0.1</v>
      </c>
      <c r="AG423" s="17">
        <v>0.1</v>
      </c>
      <c r="AH423" s="6" t="str">
        <f t="shared" si="51"/>
        <v>Valid</v>
      </c>
      <c r="AI423" s="3">
        <v>2779.92</v>
      </c>
      <c r="AJ423" s="3">
        <v>1744.05</v>
      </c>
      <c r="AK423" s="3">
        <v>1035.8699999999999</v>
      </c>
      <c r="AL423" s="3" t="s">
        <v>34</v>
      </c>
      <c r="AM423" s="6" t="str">
        <f>PROPER(TRIM(SUBSTITUTE(AL423,".","")))</f>
        <v>Paid</v>
      </c>
      <c r="AN423" s="3" t="s">
        <v>35</v>
      </c>
      <c r="AO423" s="8" t="str">
        <f>PROPER(TRIM(SUBSTITUTE(AN423,".","")))</f>
        <v>Completed</v>
      </c>
      <c r="AP423" t="str">
        <f>IF(COUNTIF($A$2:$A$933, A423) &gt; 1, "Duplicate ID", "Unique")</f>
        <v>Unique</v>
      </c>
      <c r="AR423">
        <f t="shared" si="52"/>
        <v>2779.92</v>
      </c>
      <c r="AS423">
        <f t="shared" si="53"/>
        <v>1035.8700000000001</v>
      </c>
      <c r="AT423" s="15">
        <f t="shared" si="54"/>
        <v>0.37262583095916435</v>
      </c>
      <c r="AU423" t="str">
        <f t="shared" si="55"/>
        <v>Clean</v>
      </c>
      <c r="AV423" s="8" t="str">
        <f t="shared" si="56"/>
        <v>Active</v>
      </c>
    </row>
    <row r="424" spans="1:48">
      <c r="A424" s="3" t="s">
        <v>2357</v>
      </c>
      <c r="B424" s="3" t="s">
        <v>1405</v>
      </c>
      <c r="C424" s="9">
        <f>IFERROR(DATEVALUE(TEXT(B424,"DD/MM/YYYY")), IF(ISNUMBER(B424), B424, ""))</f>
        <v>45651</v>
      </c>
      <c r="D424" s="9" t="str">
        <f>IF(B424="","Missing", IF(AND(ISNUMBER(B424)=FALSE, C424=""),"Invalid - Could Not Parse", IF(AND(ISNUMBER(B424)=FALSE, C424&lt;&gt;""),"Text - Converted to Date", IF(ISNUMBER(B424),"Valid","Check"))))</f>
        <v>Text - Converted to Date</v>
      </c>
      <c r="E424" s="5">
        <f t="shared" si="49"/>
        <v>12</v>
      </c>
      <c r="F424" s="5">
        <f t="shared" si="50"/>
        <v>2024</v>
      </c>
      <c r="G424" s="3" t="s">
        <v>2358</v>
      </c>
      <c r="H424" s="9">
        <f>IFERROR(DATEVALUE(TEXT(G424,"DD/MM/YYYY")), IF(ISNUMBER(G424), G424, ""))</f>
        <v>45651</v>
      </c>
      <c r="I424" s="9" t="str">
        <f>IF(G424="","Missing", IF(AND(ISNUMBER(G424)=FALSE, H424=""),"Invalid - Could Not Parse", IF(AND(ISNUMBER(G424)=FALSE, H424&lt;&gt;""),"Text - Converted to Date", IF(ISNUMBER(G424),"Valid","Check"))))</f>
        <v>Text - Converted to Date</v>
      </c>
      <c r="J424" s="9" t="str">
        <f>IF(OR(C424="", H424=""), "Cannot Check - Date Missing", IF(H424&lt;C424, "Invalid - Ship Before Order", "Valid"))</f>
        <v>Valid</v>
      </c>
      <c r="K424" s="5">
        <f>IF(OR(C424="", H424=""), "", IF(H424&lt;C424, "", H424-C424))</f>
        <v>0</v>
      </c>
      <c r="L424" s="3" t="s">
        <v>2359</v>
      </c>
      <c r="M424" s="3" t="s">
        <v>40</v>
      </c>
      <c r="N424" s="4" t="str">
        <f>TRIM(SUBSTITUTE(M424,"_"," "))</f>
        <v>Mira Das</v>
      </c>
      <c r="O424" s="3" t="s">
        <v>108</v>
      </c>
      <c r="P424" s="6" t="str">
        <f>PROPER(TRIM(SUBSTITUTE(O424,".","")))</f>
        <v>Corporate</v>
      </c>
      <c r="Q424" s="3" t="s">
        <v>42</v>
      </c>
      <c r="R424" s="7" t="str">
        <f>PROPER(TRIM(SUBSTITUTE(Q424,"  "," ")))</f>
        <v>East</v>
      </c>
      <c r="S424" s="3" t="s">
        <v>186</v>
      </c>
      <c r="T424" s="6" t="str">
        <f>PROPER(TRIM(SUBSTITUTE(S424,"  "," ")))</f>
        <v>Bihar</v>
      </c>
      <c r="U424" s="3" t="s">
        <v>187</v>
      </c>
      <c r="V424" s="6" t="str">
        <f>PROPER(TRIM(SUBSTITUTE(U424,"  "," ")))</f>
        <v>Patna</v>
      </c>
      <c r="W424" s="3" t="s">
        <v>86</v>
      </c>
      <c r="X424" s="6" t="str">
        <f>PROPER(TRIM(SUBSTITUTE(W424,"  "," ")))</f>
        <v>Technology</v>
      </c>
      <c r="Y424" s="3" t="s">
        <v>94</v>
      </c>
      <c r="Z424" s="6" t="str">
        <f>PROPER(TRIM(SUBSTITUTE(Y424,"  "," ")))</f>
        <v>Copiers</v>
      </c>
      <c r="AA424" s="3" t="s">
        <v>2360</v>
      </c>
      <c r="AB424" s="3" t="s">
        <v>67</v>
      </c>
      <c r="AC424" s="6" t="str">
        <f>PROPER(TRIM(SUBSTITUTE(AB424,"  "," ")))</f>
        <v>Standard Class</v>
      </c>
      <c r="AD424" s="3">
        <v>1</v>
      </c>
      <c r="AE424" s="3">
        <v>829.66</v>
      </c>
      <c r="AF424" s="3">
        <v>0.15</v>
      </c>
      <c r="AG424" s="17">
        <v>0.15</v>
      </c>
      <c r="AH424" s="6" t="str">
        <f t="shared" si="51"/>
        <v>Valid</v>
      </c>
      <c r="AI424" s="3">
        <v>705.21</v>
      </c>
      <c r="AJ424" s="3">
        <v>438.32</v>
      </c>
      <c r="AK424" s="3">
        <v>266.89</v>
      </c>
      <c r="AL424" s="3" t="s">
        <v>34</v>
      </c>
      <c r="AM424" s="6" t="str">
        <f>PROPER(TRIM(SUBSTITUTE(AL424,".","")))</f>
        <v>Paid</v>
      </c>
      <c r="AN424" s="3" t="s">
        <v>35</v>
      </c>
      <c r="AO424" s="8" t="str">
        <f>PROPER(TRIM(SUBSTITUTE(AN424,".","")))</f>
        <v>Completed</v>
      </c>
      <c r="AP424" t="str">
        <f>IF(COUNTIF($A$2:$A$933, A424) &gt; 1, "Duplicate ID", "Unique")</f>
        <v>Unique</v>
      </c>
      <c r="AR424">
        <f t="shared" si="52"/>
        <v>705.2109999999999</v>
      </c>
      <c r="AS424">
        <f t="shared" si="53"/>
        <v>266.89099999999991</v>
      </c>
      <c r="AT424" s="15">
        <f t="shared" si="54"/>
        <v>0.37845552607659261</v>
      </c>
      <c r="AU424" t="str">
        <f t="shared" si="55"/>
        <v>Clean</v>
      </c>
      <c r="AV424" s="8" t="str">
        <f t="shared" si="56"/>
        <v>Active</v>
      </c>
    </row>
    <row r="425" spans="1:48">
      <c r="A425" s="3" t="s">
        <v>144</v>
      </c>
      <c r="B425" s="3" t="s">
        <v>145</v>
      </c>
      <c r="C425" s="9">
        <f>IFERROR(DATEVALUE(TEXT(B425,"DD/MM/YYYY")), IF(ISNUMBER(B425), B425, ""))</f>
        <v>45653</v>
      </c>
      <c r="D425" s="9" t="str">
        <f>IF(B425="","Missing", IF(AND(ISNUMBER(B425)=FALSE, C425=""),"Invalid - Could Not Parse", IF(AND(ISNUMBER(B425)=FALSE, C425&lt;&gt;""),"Text - Converted to Date", IF(ISNUMBER(B425),"Valid","Check"))))</f>
        <v>Text - Converted to Date</v>
      </c>
      <c r="E425" s="5">
        <f t="shared" si="49"/>
        <v>12</v>
      </c>
      <c r="F425" s="5">
        <f t="shared" si="50"/>
        <v>2024</v>
      </c>
      <c r="G425" s="3" t="s">
        <v>146</v>
      </c>
      <c r="H425" s="9">
        <f>IFERROR(DATEVALUE(MID(G425,4,2) &amp; "/" &amp; LEFT(G425,2) &amp; "/" &amp; RIGHT(G425,4)), IF(ISNUMBER(G425), G425, IFERROR(DATEVALUE(G425), "")))</f>
        <v>45654</v>
      </c>
      <c r="I425" s="9" t="str">
        <f>IF(G425="","Missing", IF(AND(ISNUMBER(G425)=FALSE, H425=""),"Invalid - Could Not Parse", IF(AND(ISNUMBER(G425)=FALSE, H425&lt;&gt;""),"Text - Converted to Date", IF(ISNUMBER(G425),"Valid","Check"))))</f>
        <v>Text - Converted to Date</v>
      </c>
      <c r="J425" s="9" t="str">
        <f>IF(OR(C425="", H425=""), "Cannot Check - Date Missing", IF(H425&lt;C425, "Invalid - Ship Before Order", "Valid"))</f>
        <v>Valid</v>
      </c>
      <c r="K425" s="5">
        <f>IF(OR(C425="", H425=""), "", IF(H425&lt;C425, "", H425-C425))</f>
        <v>1</v>
      </c>
      <c r="L425" s="3" t="s">
        <v>147</v>
      </c>
      <c r="M425" s="3" t="s">
        <v>148</v>
      </c>
      <c r="N425" s="4" t="str">
        <f>TRIM(SUBSTITUTE(M425,"_"," "))</f>
        <v>Rahul Verma</v>
      </c>
      <c r="O425" s="3" t="s">
        <v>26</v>
      </c>
      <c r="P425" s="6" t="str">
        <f>PROPER(TRIM(SUBSTITUTE(O425,".","")))</f>
        <v>Consumer</v>
      </c>
      <c r="Q425" s="3" t="s">
        <v>73</v>
      </c>
      <c r="R425" s="7" t="str">
        <f>PROPER(TRIM(SUBSTITUTE(Q425,"  "," ")))</f>
        <v>West</v>
      </c>
      <c r="S425" s="3" t="s">
        <v>28</v>
      </c>
      <c r="T425" s="6" t="str">
        <f>PROPER(TRIM(SUBSTITUTE(S425,"  "," ")))</f>
        <v>Rajasthan</v>
      </c>
      <c r="U425" s="3" t="s">
        <v>135</v>
      </c>
      <c r="V425" s="6" t="str">
        <f>PROPER(TRIM(SUBSTITUTE(U425,"  "," ")))</f>
        <v>Udaipur</v>
      </c>
      <c r="W425" s="3" t="s">
        <v>86</v>
      </c>
      <c r="X425" s="6" t="str">
        <f>PROPER(TRIM(SUBSTITUTE(W425,"  "," ")))</f>
        <v>Technology</v>
      </c>
      <c r="Y425" s="3" t="s">
        <v>94</v>
      </c>
      <c r="Z425" s="6" t="str">
        <f>PROPER(TRIM(SUBSTITUTE(Y425,"  "," ")))</f>
        <v>Copiers</v>
      </c>
      <c r="AA425" s="3" t="s">
        <v>149</v>
      </c>
      <c r="AB425" s="3" t="s">
        <v>67</v>
      </c>
      <c r="AC425" s="6" t="str">
        <f>PROPER(TRIM(SUBSTITUTE(AB425,"  "," ")))</f>
        <v>Standard Class</v>
      </c>
      <c r="AD425" s="3">
        <v>2</v>
      </c>
      <c r="AE425" s="3">
        <v>2737.83</v>
      </c>
      <c r="AF425" s="3">
        <v>0.25</v>
      </c>
      <c r="AG425" s="17">
        <v>0.25</v>
      </c>
      <c r="AH425" s="6" t="str">
        <f t="shared" si="51"/>
        <v>Valid</v>
      </c>
      <c r="AI425" s="3">
        <v>4106.74</v>
      </c>
      <c r="AJ425" s="3">
        <v>2666.3</v>
      </c>
      <c r="AK425" s="3">
        <v>1440.44</v>
      </c>
      <c r="AL425" s="3" t="s">
        <v>34</v>
      </c>
      <c r="AM425" s="6" t="str">
        <f>PROPER(TRIM(SUBSTITUTE(AL425,".","")))</f>
        <v>Paid</v>
      </c>
      <c r="AN425" s="3" t="s">
        <v>35</v>
      </c>
      <c r="AO425" s="8" t="str">
        <f>PROPER(TRIM(SUBSTITUTE(AN425,".","")))</f>
        <v>Completed</v>
      </c>
      <c r="AP425" t="str">
        <f>IF(COUNTIF($A$2:$A$933, A425) &gt; 1, "Duplicate ID", "Unique")</f>
        <v>Unique</v>
      </c>
      <c r="AR425">
        <f t="shared" si="52"/>
        <v>4106.7449999999999</v>
      </c>
      <c r="AS425">
        <f t="shared" si="53"/>
        <v>1440.4449999999997</v>
      </c>
      <c r="AT425" s="15">
        <f t="shared" si="54"/>
        <v>0.35075102057712365</v>
      </c>
      <c r="AU425" t="str">
        <f t="shared" si="55"/>
        <v>Clean</v>
      </c>
      <c r="AV425" s="8" t="str">
        <f t="shared" si="56"/>
        <v>Active</v>
      </c>
    </row>
    <row r="426" spans="1:48">
      <c r="A426" s="3" t="s">
        <v>666</v>
      </c>
      <c r="B426" s="3" t="s">
        <v>667</v>
      </c>
      <c r="C426" s="9">
        <f>IFERROR(DATEVALUE(TEXT(B426,"DD/MM/YYYY")), IF(ISNUMBER(B426), B426, ""))</f>
        <v>45653</v>
      </c>
      <c r="D426" s="9" t="str">
        <f>IF(B426="","Missing", IF(AND(ISNUMBER(B426)=FALSE, C426=""),"Invalid - Could Not Parse", IF(AND(ISNUMBER(B426)=FALSE, C426&lt;&gt;""),"Text - Converted to Date", IF(ISNUMBER(B426),"Valid","Check"))))</f>
        <v>Text - Converted to Date</v>
      </c>
      <c r="E426" s="5">
        <f t="shared" si="49"/>
        <v>12</v>
      </c>
      <c r="F426" s="5">
        <f t="shared" si="50"/>
        <v>2024</v>
      </c>
      <c r="G426" s="3" t="s">
        <v>668</v>
      </c>
      <c r="H426" s="9">
        <f>IFERROR(DATEVALUE(TEXT(G426,"DD/MM/YYYY")), IF(ISNUMBER(G426), G426, ""))</f>
        <v>45658</v>
      </c>
      <c r="I426" s="9" t="str">
        <f>IF(G426="","Missing", IF(AND(ISNUMBER(G426)=FALSE, H426=""),"Invalid - Could Not Parse", IF(AND(ISNUMBER(G426)=FALSE, H426&lt;&gt;""),"Text - Converted to Date", IF(ISNUMBER(G426),"Valid","Check"))))</f>
        <v>Text - Converted to Date</v>
      </c>
      <c r="J426" s="9" t="str">
        <f>IF(OR(C426="", H426=""), "Cannot Check - Date Missing", IF(H426&lt;C426, "Invalid - Ship Before Order", "Valid"))</f>
        <v>Valid</v>
      </c>
      <c r="K426" s="5">
        <f>IF(OR(C426="", H426=""), "", IF(H426&lt;C426, "", H426-C426))</f>
        <v>5</v>
      </c>
      <c r="L426" s="3" t="s">
        <v>669</v>
      </c>
      <c r="M426" s="3" t="s">
        <v>366</v>
      </c>
      <c r="N426" s="4" t="str">
        <f>TRIM(SUBSTITUTE(M426,"_"," "))</f>
        <v>Kabir Singh</v>
      </c>
      <c r="O426" s="3" t="s">
        <v>108</v>
      </c>
      <c r="P426" s="6" t="str">
        <f>PROPER(TRIM(SUBSTITUTE(O426,".","")))</f>
        <v>Corporate</v>
      </c>
      <c r="Q426" s="3" t="s">
        <v>62</v>
      </c>
      <c r="R426" s="7" t="str">
        <f>PROPER(TRIM(SUBSTITUTE(Q426,"  "," ")))</f>
        <v>South</v>
      </c>
      <c r="S426" s="3" t="s">
        <v>339</v>
      </c>
      <c r="T426" s="6" t="str">
        <f>PROPER(TRIM(SUBSTITUTE(S426,"  "," ")))</f>
        <v>Tamil Nadu</v>
      </c>
      <c r="U426" s="3" t="s">
        <v>340</v>
      </c>
      <c r="V426" s="6" t="str">
        <f>PROPER(TRIM(SUBSTITUTE(U426,"  "," ")))</f>
        <v>Chennai</v>
      </c>
      <c r="W426" s="3" t="s">
        <v>30</v>
      </c>
      <c r="X426" s="6" t="str">
        <f>PROPER(TRIM(SUBSTITUTE(W426,"  "," ")))</f>
        <v>Office Supplies</v>
      </c>
      <c r="Y426" s="3" t="s">
        <v>198</v>
      </c>
      <c r="Z426" s="6" t="str">
        <f>PROPER(TRIM(SUBSTITUTE(Y426,"  "," ")))</f>
        <v>Binders</v>
      </c>
      <c r="AA426" s="3" t="s">
        <v>670</v>
      </c>
      <c r="AB426" s="3" t="s">
        <v>48</v>
      </c>
      <c r="AC426" s="6" t="str">
        <f>PROPER(TRIM(SUBSTITUTE(AB426,"  "," ")))</f>
        <v>Same Day</v>
      </c>
      <c r="AD426" s="3">
        <v>2</v>
      </c>
      <c r="AE426" s="3">
        <v>446.34</v>
      </c>
      <c r="AF426" s="3">
        <v>0.15</v>
      </c>
      <c r="AG426" s="17">
        <v>0.15</v>
      </c>
      <c r="AH426" s="6" t="str">
        <f t="shared" si="51"/>
        <v>Valid</v>
      </c>
      <c r="AI426" s="3">
        <v>758.78</v>
      </c>
      <c r="AJ426" s="3">
        <v>490.74</v>
      </c>
      <c r="AK426" s="3">
        <v>268.04000000000002</v>
      </c>
      <c r="AL426" s="3" t="s">
        <v>34</v>
      </c>
      <c r="AM426" s="6" t="str">
        <f>PROPER(TRIM(SUBSTITUTE(AL426,".","")))</f>
        <v>Paid</v>
      </c>
      <c r="AN426" s="3" t="s">
        <v>78</v>
      </c>
      <c r="AO426" s="8" t="str">
        <f>PROPER(TRIM(SUBSTITUTE(AN426,".","")))</f>
        <v>Cancelled</v>
      </c>
      <c r="AP426" t="str">
        <f>IF(COUNTIF($A$2:$A$933, A426) &gt; 1, "Duplicate ID", "Unique")</f>
        <v>Unique</v>
      </c>
      <c r="AR426">
        <f t="shared" si="52"/>
        <v>758.77799999999991</v>
      </c>
      <c r="AS426">
        <f t="shared" si="53"/>
        <v>268.0379999999999</v>
      </c>
      <c r="AT426" s="15">
        <f t="shared" si="54"/>
        <v>0.35324956706704719</v>
      </c>
      <c r="AU426" t="str">
        <f t="shared" si="55"/>
        <v>Clean</v>
      </c>
      <c r="AV426" s="8" t="str">
        <f t="shared" si="56"/>
        <v>Cancelled</v>
      </c>
    </row>
    <row r="427" spans="1:48">
      <c r="A427" s="3" t="s">
        <v>1778</v>
      </c>
      <c r="B427" s="3" t="s">
        <v>145</v>
      </c>
      <c r="C427" s="9">
        <f>IFERROR(DATEVALUE(TEXT(B427,"DD/MM/YYYY")), IF(ISNUMBER(B427), B427, ""))</f>
        <v>45653</v>
      </c>
      <c r="D427" s="9" t="str">
        <f>IF(B427="","Missing", IF(AND(ISNUMBER(B427)=FALSE, C427=""),"Invalid - Could Not Parse", IF(AND(ISNUMBER(B427)=FALSE, C427&lt;&gt;""),"Text - Converted to Date", IF(ISNUMBER(B427),"Valid","Check"))))</f>
        <v>Text - Converted to Date</v>
      </c>
      <c r="E427" s="5">
        <f t="shared" si="49"/>
        <v>12</v>
      </c>
      <c r="F427" s="5">
        <f t="shared" si="50"/>
        <v>2024</v>
      </c>
      <c r="G427" s="3" t="s">
        <v>1779</v>
      </c>
      <c r="H427" s="9">
        <f>IFERROR(DATEVALUE(TEXT(G427,"DD/MM/YYYY")), IF(ISNUMBER(G427), G427, ""))</f>
        <v>45657</v>
      </c>
      <c r="I427" s="9" t="str">
        <f>IF(G427="","Missing", IF(AND(ISNUMBER(G427)=FALSE, H427=""),"Invalid - Could Not Parse", IF(AND(ISNUMBER(G427)=FALSE, H427&lt;&gt;""),"Text - Converted to Date", IF(ISNUMBER(G427),"Valid","Check"))))</f>
        <v>Text - Converted to Date</v>
      </c>
      <c r="J427" s="9" t="str">
        <f>IF(OR(C427="", H427=""), "Cannot Check - Date Missing", IF(H427&lt;C427, "Invalid - Ship Before Order", "Valid"))</f>
        <v>Valid</v>
      </c>
      <c r="K427" s="5">
        <f>IF(OR(C427="", H427=""), "", IF(H427&lt;C427, "", H427-C427))</f>
        <v>4</v>
      </c>
      <c r="L427" s="3" t="s">
        <v>1780</v>
      </c>
      <c r="M427" s="3" t="s">
        <v>366</v>
      </c>
      <c r="N427" s="4" t="str">
        <f>TRIM(SUBSTITUTE(M427,"_"," "))</f>
        <v>Kabir Singh</v>
      </c>
      <c r="O427" s="3" t="s">
        <v>1781</v>
      </c>
      <c r="P427" s="6" t="str">
        <f>PROPER(TRIM(SUBSTITUTE(O427,".","")))</f>
        <v>Corporate</v>
      </c>
      <c r="Q427" s="3" t="s">
        <v>27</v>
      </c>
      <c r="R427" s="7" t="str">
        <f>PROPER(TRIM(SUBSTITUTE(Q427,"  "," ")))</f>
        <v>North</v>
      </c>
      <c r="S427" s="3" t="s">
        <v>154</v>
      </c>
      <c r="T427" s="6" t="str">
        <f>PROPER(TRIM(SUBSTITUTE(S427,"  "," ")))</f>
        <v>Punjab</v>
      </c>
      <c r="U427" s="3" t="s">
        <v>155</v>
      </c>
      <c r="V427" s="6" t="str">
        <f>PROPER(TRIM(SUBSTITUTE(U427,"  "," ")))</f>
        <v>Ludhiana</v>
      </c>
      <c r="W427" s="3" t="s">
        <v>45</v>
      </c>
      <c r="X427" s="6" t="str">
        <f>PROPER(TRIM(SUBSTITUTE(W427,"  "," ")))</f>
        <v>Furniture</v>
      </c>
      <c r="Y427" s="3" t="s">
        <v>65</v>
      </c>
      <c r="Z427" s="6" t="str">
        <f>PROPER(TRIM(SUBSTITUTE(Y427,"  "," ")))</f>
        <v>Furnishings</v>
      </c>
      <c r="AA427" s="3" t="s">
        <v>1782</v>
      </c>
      <c r="AB427" s="3" t="s">
        <v>67</v>
      </c>
      <c r="AC427" s="6" t="str">
        <f>PROPER(TRIM(SUBSTITUTE(AB427,"  "," ")))</f>
        <v>Standard Class</v>
      </c>
      <c r="AD427" s="3">
        <v>6</v>
      </c>
      <c r="AE427" s="3">
        <v>3346.78</v>
      </c>
      <c r="AF427" s="3">
        <v>-0.06</v>
      </c>
      <c r="AG427" s="17">
        <v>-0.06</v>
      </c>
      <c r="AH427" s="6" t="str">
        <f t="shared" si="51"/>
        <v>Invalid - Negative</v>
      </c>
      <c r="AI427" s="3">
        <v>20080.68</v>
      </c>
      <c r="AJ427" s="3">
        <v>12908.84</v>
      </c>
      <c r="AK427" s="3">
        <v>7171.84</v>
      </c>
      <c r="AL427" s="3" t="s">
        <v>137</v>
      </c>
      <c r="AM427" s="6" t="str">
        <f>PROPER(TRIM(SUBSTITUTE(AL427,".","")))</f>
        <v>Pending</v>
      </c>
      <c r="AN427" s="3" t="s">
        <v>78</v>
      </c>
      <c r="AO427" s="8" t="str">
        <f>PROPER(TRIM(SUBSTITUTE(AN427,".","")))</f>
        <v>Cancelled</v>
      </c>
      <c r="AP427" t="str">
        <f>IF(COUNTIF($A$2:$A$933, A427) &gt; 1, "Duplicate ID", "Unique")</f>
        <v>Unique</v>
      </c>
      <c r="AR427">
        <f t="shared" si="52"/>
        <v>21285.520800000002</v>
      </c>
      <c r="AS427">
        <f t="shared" si="53"/>
        <v>8376.6808000000019</v>
      </c>
      <c r="AT427" s="15">
        <f t="shared" si="54"/>
        <v>0.39353891683965753</v>
      </c>
      <c r="AU427" t="str">
        <f t="shared" si="55"/>
        <v>Invalid</v>
      </c>
      <c r="AV427" s="8" t="str">
        <f t="shared" si="56"/>
        <v>Cancelled</v>
      </c>
    </row>
    <row r="428" spans="1:48">
      <c r="A428" s="3" t="s">
        <v>2361</v>
      </c>
      <c r="B428" s="3" t="s">
        <v>2362</v>
      </c>
      <c r="C428" s="9">
        <f>IFERROR(DATEVALUE(TEXT(B428,"DD/MM/YYYY")), IF(ISNUMBER(B428), B428, ""))</f>
        <v>45654</v>
      </c>
      <c r="D428" s="9" t="str">
        <f>IF(B428="","Missing", IF(AND(ISNUMBER(B428)=FALSE, C428=""),"Invalid - Could Not Parse", IF(AND(ISNUMBER(B428)=FALSE, C428&lt;&gt;""),"Text - Converted to Date", IF(ISNUMBER(B428),"Valid","Check"))))</f>
        <v>Text - Converted to Date</v>
      </c>
      <c r="E428" s="5">
        <f t="shared" si="49"/>
        <v>12</v>
      </c>
      <c r="F428" s="5">
        <f t="shared" si="50"/>
        <v>2024</v>
      </c>
      <c r="G428" s="3" t="s">
        <v>2363</v>
      </c>
      <c r="H428" s="9">
        <f>IFERROR(DATEVALUE(MID(G428,4,2) &amp; "/" &amp; LEFT(G428,2) &amp; "/" &amp; RIGHT(G428,4)), IF(ISNUMBER(G428), G428, IFERROR(DATEVALUE(G428), "")))</f>
        <v>45657</v>
      </c>
      <c r="I428" s="9" t="str">
        <f>IF(G428="","Missing", IF(AND(ISNUMBER(G428)=FALSE, H428=""),"Invalid - Could Not Parse", IF(AND(ISNUMBER(G428)=FALSE, H428&lt;&gt;""),"Text - Converted to Date", IF(ISNUMBER(G428),"Valid","Check"))))</f>
        <v>Text - Converted to Date</v>
      </c>
      <c r="J428" s="9" t="str">
        <f>IF(OR(C428="", H428=""), "Cannot Check - Date Missing", IF(H428&lt;C428, "Invalid - Ship Before Order", "Valid"))</f>
        <v>Valid</v>
      </c>
      <c r="K428" s="5">
        <f>IF(OR(C428="", H428=""), "", IF(H428&lt;C428, "", H428-C428))</f>
        <v>3</v>
      </c>
      <c r="L428" s="3" t="s">
        <v>2364</v>
      </c>
      <c r="M428" s="3" t="s">
        <v>40</v>
      </c>
      <c r="N428" s="4" t="str">
        <f>TRIM(SUBSTITUTE(M428,"_"," "))</f>
        <v>Mira Das</v>
      </c>
      <c r="O428" s="3" t="s">
        <v>41</v>
      </c>
      <c r="P428" s="6" t="str">
        <f>PROPER(TRIM(SUBSTITUTE(O428,".","")))</f>
        <v>Small Business</v>
      </c>
      <c r="Q428" s="3" t="s">
        <v>62</v>
      </c>
      <c r="R428" s="7" t="str">
        <f>PROPER(TRIM(SUBSTITUTE(Q428,"  "," ")))</f>
        <v>South</v>
      </c>
      <c r="S428" s="3" t="s">
        <v>100</v>
      </c>
      <c r="T428" s="6" t="str">
        <f>PROPER(TRIM(SUBSTITUTE(S428,"  "," ")))</f>
        <v>Andhra Pradesh</v>
      </c>
      <c r="U428" s="3" t="s">
        <v>101</v>
      </c>
      <c r="V428" s="6" t="str">
        <f>PROPER(TRIM(SUBSTITUTE(U428,"  "," ")))</f>
        <v>Vijayawada</v>
      </c>
      <c r="W428" s="3" t="s">
        <v>45</v>
      </c>
      <c r="X428" s="6" t="str">
        <f>PROPER(TRIM(SUBSTITUTE(W428,"  "," ")))</f>
        <v>Furniture</v>
      </c>
      <c r="Y428" s="3" t="s">
        <v>65</v>
      </c>
      <c r="Z428" s="6" t="str">
        <f>PROPER(TRIM(SUBSTITUTE(Y428,"  "," ")))</f>
        <v>Furnishings</v>
      </c>
      <c r="AA428" s="3" t="s">
        <v>2365</v>
      </c>
      <c r="AB428" s="3" t="s">
        <v>56</v>
      </c>
      <c r="AC428" s="6" t="str">
        <f>PROPER(TRIM(SUBSTITUTE(AB428,"  "," ")))</f>
        <v>First Class</v>
      </c>
      <c r="AD428" s="3">
        <v>6</v>
      </c>
      <c r="AE428" s="3">
        <v>3641.22</v>
      </c>
      <c r="AF428" s="3">
        <v>0.25</v>
      </c>
      <c r="AG428" s="17">
        <v>0.25</v>
      </c>
      <c r="AH428" s="6" t="str">
        <f t="shared" si="51"/>
        <v>Valid</v>
      </c>
      <c r="AI428" s="3">
        <v>16385.490000000002</v>
      </c>
      <c r="AJ428" s="3">
        <v>13679.24</v>
      </c>
      <c r="AK428" s="3">
        <v>2706.25</v>
      </c>
      <c r="AL428" s="3" t="s">
        <v>34</v>
      </c>
      <c r="AM428" s="6" t="str">
        <f>PROPER(TRIM(SUBSTITUTE(AL428,".","")))</f>
        <v>Paid</v>
      </c>
      <c r="AN428" s="3" t="s">
        <v>35</v>
      </c>
      <c r="AO428" s="8" t="str">
        <f>PROPER(TRIM(SUBSTITUTE(AN428,".","")))</f>
        <v>Completed</v>
      </c>
      <c r="AP428" t="str">
        <f>IF(COUNTIF($A$2:$A$933, A428) &gt; 1, "Duplicate ID", "Unique")</f>
        <v>Unique</v>
      </c>
      <c r="AR428">
        <f t="shared" si="52"/>
        <v>16385.489999999998</v>
      </c>
      <c r="AS428">
        <f t="shared" si="53"/>
        <v>2706.2499999999982</v>
      </c>
      <c r="AT428" s="15">
        <f t="shared" si="54"/>
        <v>0.16516137143289572</v>
      </c>
      <c r="AU428" t="str">
        <f t="shared" si="55"/>
        <v>Clean</v>
      </c>
      <c r="AV428" s="8" t="str">
        <f t="shared" si="56"/>
        <v>Active</v>
      </c>
    </row>
    <row r="429" spans="1:48">
      <c r="A429" s="3" t="s">
        <v>1875</v>
      </c>
      <c r="B429" s="3" t="s">
        <v>1876</v>
      </c>
      <c r="C429" s="9">
        <f>IFERROR(DATEVALUE(TEXT(B429,"DD/MM/YYYY")), IF(ISNUMBER(B429), B429, ""))</f>
        <v>45655</v>
      </c>
      <c r="D429" s="9" t="str">
        <f>IF(B429="","Missing", IF(AND(ISNUMBER(B429)=FALSE, C429=""),"Invalid - Could Not Parse", IF(AND(ISNUMBER(B429)=FALSE, C429&lt;&gt;""),"Text - Converted to Date", IF(ISNUMBER(B429),"Valid","Check"))))</f>
        <v>Text - Converted to Date</v>
      </c>
      <c r="E429" s="5">
        <f t="shared" si="49"/>
        <v>12</v>
      </c>
      <c r="F429" s="5">
        <f t="shared" si="50"/>
        <v>2024</v>
      </c>
      <c r="G429" s="3" t="s">
        <v>1779</v>
      </c>
      <c r="H429" s="9">
        <f>IFERROR(DATEVALUE(TEXT(G429,"DD/MM/YYYY")), IF(ISNUMBER(G429), G429, ""))</f>
        <v>45657</v>
      </c>
      <c r="I429" s="9" t="str">
        <f>IF(G429="","Missing", IF(AND(ISNUMBER(G429)=FALSE, H429=""),"Invalid - Could Not Parse", IF(AND(ISNUMBER(G429)=FALSE, H429&lt;&gt;""),"Text - Converted to Date", IF(ISNUMBER(G429),"Valid","Check"))))</f>
        <v>Text - Converted to Date</v>
      </c>
      <c r="J429" s="9" t="str">
        <f>IF(OR(C429="", H429=""), "Cannot Check - Date Missing", IF(H429&lt;C429, "Invalid - Ship Before Order", "Valid"))</f>
        <v>Valid</v>
      </c>
      <c r="K429" s="5">
        <f>IF(OR(C429="", H429=""), "", IF(H429&lt;C429, "", H429-C429))</f>
        <v>2</v>
      </c>
      <c r="L429" s="3" t="s">
        <v>1877</v>
      </c>
      <c r="M429" s="3" t="s">
        <v>53</v>
      </c>
      <c r="N429" s="4" t="str">
        <f>TRIM(SUBSTITUTE(M429,"_"," "))</f>
        <v>Isha Nair</v>
      </c>
      <c r="O429" s="3" t="s">
        <v>41</v>
      </c>
      <c r="P429" s="6" t="str">
        <f>PROPER(TRIM(SUBSTITUTE(O429,".","")))</f>
        <v>Small Business</v>
      </c>
      <c r="Q429" s="3" t="s">
        <v>42</v>
      </c>
      <c r="R429" s="7" t="str">
        <f>PROPER(TRIM(SUBSTITUTE(Q429,"  "," ")))</f>
        <v>East</v>
      </c>
      <c r="S429" s="3" t="s">
        <v>186</v>
      </c>
      <c r="T429" s="6" t="str">
        <f>PROPER(TRIM(SUBSTITUTE(S429,"  "," ")))</f>
        <v>Bihar</v>
      </c>
      <c r="U429" s="3" t="s">
        <v>187</v>
      </c>
      <c r="V429" s="6" t="str">
        <f>PROPER(TRIM(SUBSTITUTE(U429,"  "," ")))</f>
        <v>Patna</v>
      </c>
      <c r="W429" s="3" t="s">
        <v>45</v>
      </c>
      <c r="X429" s="6" t="str">
        <f>PROPER(TRIM(SUBSTITUTE(W429,"  "," ")))</f>
        <v>Furniture</v>
      </c>
      <c r="Y429" s="3" t="s">
        <v>76</v>
      </c>
      <c r="Z429" s="6" t="str">
        <f>PROPER(TRIM(SUBSTITUTE(Y429,"  "," ")))</f>
        <v>Chairs</v>
      </c>
      <c r="AA429" s="3" t="s">
        <v>1878</v>
      </c>
      <c r="AB429" s="3" t="s">
        <v>56</v>
      </c>
      <c r="AC429" s="6" t="str">
        <f>PROPER(TRIM(SUBSTITUTE(AB429,"  "," ")))</f>
        <v>First Class</v>
      </c>
      <c r="AD429" s="3">
        <v>6</v>
      </c>
      <c r="AE429" s="3">
        <v>1844.78</v>
      </c>
      <c r="AF429" s="3">
        <v>0.2</v>
      </c>
      <c r="AG429" s="17">
        <v>0.2</v>
      </c>
      <c r="AH429" s="6" t="str">
        <f t="shared" si="51"/>
        <v>Valid</v>
      </c>
      <c r="AI429" s="3">
        <v>8854.94</v>
      </c>
      <c r="AJ429" s="3">
        <v>7433.95</v>
      </c>
      <c r="AK429" s="3">
        <v>1420.99</v>
      </c>
      <c r="AL429" s="3" t="s">
        <v>34</v>
      </c>
      <c r="AM429" s="6" t="str">
        <f>PROPER(TRIM(SUBSTITUTE(AL429,".","")))</f>
        <v>Paid</v>
      </c>
      <c r="AN429" s="3" t="s">
        <v>35</v>
      </c>
      <c r="AO429" s="8" t="str">
        <f>PROPER(TRIM(SUBSTITUTE(AN429,".","")))</f>
        <v>Completed</v>
      </c>
      <c r="AP429" t="str">
        <f>IF(COUNTIF($A$2:$A$933, A429) &gt; 1, "Duplicate ID", "Unique")</f>
        <v>Unique</v>
      </c>
      <c r="AR429">
        <f t="shared" si="52"/>
        <v>8854.9440000000013</v>
      </c>
      <c r="AS429">
        <f t="shared" si="53"/>
        <v>1420.9940000000015</v>
      </c>
      <c r="AT429" s="15">
        <f t="shared" si="54"/>
        <v>0.1604746455765278</v>
      </c>
      <c r="AU429" t="str">
        <f t="shared" si="55"/>
        <v>Clean</v>
      </c>
      <c r="AV429" s="8" t="str">
        <f t="shared" si="56"/>
        <v>Active</v>
      </c>
    </row>
    <row r="430" spans="1:48">
      <c r="A430" s="3" t="s">
        <v>1347</v>
      </c>
      <c r="B430" s="3" t="s">
        <v>825</v>
      </c>
      <c r="C430" s="9">
        <f>IFERROR(DATEVALUE(TEXT(B430,"DD/MM/YYYY")), IF(ISNUMBER(B430), B430, ""))</f>
        <v>45656</v>
      </c>
      <c r="D430" s="9" t="str">
        <f>IF(B430="","Missing", IF(AND(ISNUMBER(B430)=FALSE, C430=""),"Invalid - Could Not Parse", IF(AND(ISNUMBER(B430)=FALSE, C430&lt;&gt;""),"Text - Converted to Date", IF(ISNUMBER(B430),"Valid","Check"))))</f>
        <v>Text - Converted to Date</v>
      </c>
      <c r="E430" s="5">
        <f t="shared" si="49"/>
        <v>12</v>
      </c>
      <c r="F430" s="5">
        <f t="shared" si="50"/>
        <v>2024</v>
      </c>
      <c r="G430" s="3" t="s">
        <v>1348</v>
      </c>
      <c r="H430" s="9">
        <f>IFERROR(DATEVALUE(TEXT(G430,"DD/MM/YYYY")), IF(ISNUMBER(G430), G430, ""))</f>
        <v>45661</v>
      </c>
      <c r="I430" s="9" t="str">
        <f>IF(G430="","Missing", IF(AND(ISNUMBER(G430)=FALSE, H430=""),"Invalid - Could Not Parse", IF(AND(ISNUMBER(G430)=FALSE, H430&lt;&gt;""),"Text - Converted to Date", IF(ISNUMBER(G430),"Valid","Check"))))</f>
        <v>Text - Converted to Date</v>
      </c>
      <c r="J430" s="9" t="str">
        <f>IF(OR(C430="", H430=""), "Cannot Check - Date Missing", IF(H430&lt;C430, "Invalid - Ship Before Order", "Valid"))</f>
        <v>Valid</v>
      </c>
      <c r="K430" s="5">
        <f>IF(OR(C430="", H430=""), "", IF(H430&lt;C430, "", H430-C430))</f>
        <v>5</v>
      </c>
      <c r="L430" s="3" t="s">
        <v>1349</v>
      </c>
      <c r="M430" s="3" t="s">
        <v>168</v>
      </c>
      <c r="N430" s="4" t="str">
        <f>TRIM(SUBSTITUTE(M430,"_"," "))</f>
        <v>Sneha Kapoor</v>
      </c>
      <c r="O430" s="3" t="s">
        <v>108</v>
      </c>
      <c r="P430" s="6" t="str">
        <f>PROPER(TRIM(SUBSTITUTE(O430,".","")))</f>
        <v>Corporate</v>
      </c>
      <c r="Q430" s="3" t="s">
        <v>62</v>
      </c>
      <c r="R430" s="7" t="str">
        <f>PROPER(TRIM(SUBSTITUTE(Q430,"  "," ")))</f>
        <v>South</v>
      </c>
      <c r="S430" s="3" t="s">
        <v>339</v>
      </c>
      <c r="T430" s="6" t="str">
        <f>PROPER(TRIM(SUBSTITUTE(S430,"  "," ")))</f>
        <v>Tamil Nadu</v>
      </c>
      <c r="U430" s="3" t="s">
        <v>340</v>
      </c>
      <c r="V430" s="6" t="str">
        <f>PROPER(TRIM(SUBSTITUTE(U430,"  "," ")))</f>
        <v>Chennai</v>
      </c>
      <c r="W430" s="3" t="s">
        <v>45</v>
      </c>
      <c r="X430" s="6" t="str">
        <f>PROPER(TRIM(SUBSTITUTE(W430,"  "," ")))</f>
        <v>Furniture</v>
      </c>
      <c r="Y430" s="3" t="s">
        <v>46</v>
      </c>
      <c r="Z430" s="6" t="str">
        <f>PROPER(TRIM(SUBSTITUTE(Y430,"  "," ")))</f>
        <v>Tables</v>
      </c>
      <c r="AA430" s="3" t="s">
        <v>1350</v>
      </c>
      <c r="AB430" s="3" t="s">
        <v>48</v>
      </c>
      <c r="AC430" s="6" t="str">
        <f>PROPER(TRIM(SUBSTITUTE(AB430,"  "," ")))</f>
        <v>Same Day</v>
      </c>
      <c r="AD430" s="3">
        <v>2</v>
      </c>
      <c r="AE430" s="3">
        <v>3720.07</v>
      </c>
      <c r="AF430" s="3">
        <v>0.25</v>
      </c>
      <c r="AG430" s="17">
        <v>0.25</v>
      </c>
      <c r="AH430" s="6" t="str">
        <f t="shared" si="51"/>
        <v>Valid</v>
      </c>
      <c r="AI430" s="3">
        <v>5580.11</v>
      </c>
      <c r="AJ430" s="3">
        <v>4307.01</v>
      </c>
      <c r="AK430" s="3">
        <v>1273.0999999999999</v>
      </c>
      <c r="AL430" s="3" t="s">
        <v>34</v>
      </c>
      <c r="AM430" s="6" t="str">
        <f>PROPER(TRIM(SUBSTITUTE(AL430,".","")))</f>
        <v>Paid</v>
      </c>
      <c r="AN430" s="3" t="s">
        <v>35</v>
      </c>
      <c r="AO430" s="8" t="str">
        <f>PROPER(TRIM(SUBSTITUTE(AN430,".","")))</f>
        <v>Completed</v>
      </c>
      <c r="AP430" t="str">
        <f>IF(COUNTIF($A$2:$A$933, A430) &gt; 1, "Duplicate ID", "Unique")</f>
        <v>Unique</v>
      </c>
      <c r="AR430">
        <f t="shared" si="52"/>
        <v>5580.1050000000005</v>
      </c>
      <c r="AS430">
        <f t="shared" si="53"/>
        <v>1273.0950000000003</v>
      </c>
      <c r="AT430" s="15">
        <f t="shared" si="54"/>
        <v>0.22814893268137429</v>
      </c>
      <c r="AU430" t="str">
        <f t="shared" si="55"/>
        <v>Clean</v>
      </c>
      <c r="AV430" s="8" t="str">
        <f t="shared" si="56"/>
        <v>Active</v>
      </c>
    </row>
    <row r="431" spans="1:48">
      <c r="A431" s="3" t="s">
        <v>1870</v>
      </c>
      <c r="B431" s="3" t="s">
        <v>1871</v>
      </c>
      <c r="C431" s="9">
        <f>IFERROR(DATEVALUE(TEXT(B431,"DD/MM/YYYY")), IF(ISNUMBER(B431), B431, ""))</f>
        <v>45657</v>
      </c>
      <c r="D431" s="9" t="str">
        <f>IF(B431="","Missing", IF(AND(ISNUMBER(B431)=FALSE, C431=""),"Invalid - Could Not Parse", IF(AND(ISNUMBER(B431)=FALSE, C431&lt;&gt;""),"Text - Converted to Date", IF(ISNUMBER(B431),"Valid","Check"))))</f>
        <v>Text - Converted to Date</v>
      </c>
      <c r="E431" s="5">
        <f t="shared" si="49"/>
        <v>12</v>
      </c>
      <c r="F431" s="5">
        <f t="shared" si="50"/>
        <v>2024</v>
      </c>
      <c r="G431" s="3" t="s">
        <v>1872</v>
      </c>
      <c r="H431" s="9">
        <f>IFERROR(DATEVALUE(TEXT(G431,"DD/MM/YYYY")), IF(ISNUMBER(G431), G431, ""))</f>
        <v>45661</v>
      </c>
      <c r="I431" s="9" t="str">
        <f>IF(G431="","Missing", IF(AND(ISNUMBER(G431)=FALSE, H431=""),"Invalid - Could Not Parse", IF(AND(ISNUMBER(G431)=FALSE, H431&lt;&gt;""),"Text - Converted to Date", IF(ISNUMBER(G431),"Valid","Check"))))</f>
        <v>Text - Converted to Date</v>
      </c>
      <c r="J431" s="9" t="str">
        <f>IF(OR(C431="", H431=""), "Cannot Check - Date Missing", IF(H431&lt;C431, "Invalid - Ship Before Order", "Valid"))</f>
        <v>Valid</v>
      </c>
      <c r="K431" s="5">
        <f>IF(OR(C431="", H431=""), "", IF(H431&lt;C431, "", H431-C431))</f>
        <v>4</v>
      </c>
      <c r="L431" s="3" t="s">
        <v>1873</v>
      </c>
      <c r="M431" s="3" t="s">
        <v>83</v>
      </c>
      <c r="N431" s="4" t="str">
        <f>TRIM(SUBSTITUTE(M431,"_"," "))</f>
        <v>Vikram Iyer</v>
      </c>
      <c r="O431" s="3" t="s">
        <v>26</v>
      </c>
      <c r="P431" s="6" t="str">
        <f>PROPER(TRIM(SUBSTITUTE(O431,".","")))</f>
        <v>Consumer</v>
      </c>
      <c r="Q431" s="3" t="s">
        <v>27</v>
      </c>
      <c r="R431" s="7" t="str">
        <f>PROPER(TRIM(SUBSTITUTE(Q431,"  "," ")))</f>
        <v>North</v>
      </c>
      <c r="S431" s="3" t="s">
        <v>506</v>
      </c>
      <c r="T431" s="6" t="str">
        <f>PROPER(TRIM(SUBSTITUTE(S431,"  "," ")))</f>
        <v>Delhi</v>
      </c>
      <c r="U431" s="3" t="s">
        <v>507</v>
      </c>
      <c r="V431" s="6" t="str">
        <f>PROPER(TRIM(SUBSTITUTE(U431,"  "," ")))</f>
        <v>New Delhi</v>
      </c>
      <c r="W431" s="3" t="s">
        <v>45</v>
      </c>
      <c r="X431" s="6" t="str">
        <f>PROPER(TRIM(SUBSTITUTE(W431,"  "," ")))</f>
        <v>Furniture</v>
      </c>
      <c r="Y431" s="3" t="s">
        <v>76</v>
      </c>
      <c r="Z431" s="6" t="str">
        <f>PROPER(TRIM(SUBSTITUTE(Y431,"  "," ")))</f>
        <v>Chairs</v>
      </c>
      <c r="AA431" s="3" t="s">
        <v>1874</v>
      </c>
      <c r="AB431" s="3" t="s">
        <v>48</v>
      </c>
      <c r="AC431" s="6" t="str">
        <f>PROPER(TRIM(SUBSTITUTE(AB431,"  "," ")))</f>
        <v>Same Day</v>
      </c>
      <c r="AD431" s="3">
        <v>3</v>
      </c>
      <c r="AE431" s="3">
        <v>1166.6099999999999</v>
      </c>
      <c r="AF431" s="3">
        <v>0.25</v>
      </c>
      <c r="AG431" s="17">
        <v>0.25</v>
      </c>
      <c r="AH431" s="6" t="str">
        <f t="shared" si="51"/>
        <v>Valid</v>
      </c>
      <c r="AI431" s="3">
        <v>2624.87</v>
      </c>
      <c r="AJ431" s="3">
        <v>2253.88</v>
      </c>
      <c r="AK431" s="3">
        <v>370.99</v>
      </c>
      <c r="AL431" s="3" t="s">
        <v>34</v>
      </c>
      <c r="AM431" s="6" t="str">
        <f>PROPER(TRIM(SUBSTITUTE(AL431,".","")))</f>
        <v>Paid</v>
      </c>
      <c r="AN431" s="3" t="s">
        <v>35</v>
      </c>
      <c r="AO431" s="8" t="str">
        <f>PROPER(TRIM(SUBSTITUTE(AN431,".","")))</f>
        <v>Completed</v>
      </c>
      <c r="AP431" t="str">
        <f>IF(COUNTIF($A$2:$A$933, A431) &gt; 1, "Duplicate ID", "Unique")</f>
        <v>Unique</v>
      </c>
      <c r="AR431">
        <f t="shared" si="52"/>
        <v>2624.8724999999999</v>
      </c>
      <c r="AS431">
        <f t="shared" si="53"/>
        <v>370.99249999999984</v>
      </c>
      <c r="AT431" s="15">
        <f t="shared" si="54"/>
        <v>0.14133734114704613</v>
      </c>
      <c r="AU431" t="str">
        <f t="shared" si="55"/>
        <v>Clean</v>
      </c>
      <c r="AV431" s="8" t="str">
        <f t="shared" si="56"/>
        <v>Active</v>
      </c>
    </row>
    <row r="432" spans="1:48">
      <c r="A432" s="3" t="s">
        <v>1328</v>
      </c>
      <c r="B432" s="3" t="s">
        <v>1329</v>
      </c>
      <c r="C432" s="9">
        <f>IFERROR(DATEVALUE(TEXT(B432,"DD/MM/YYYY")), IF(ISNUMBER(B432), B432, ""))</f>
        <v>45658</v>
      </c>
      <c r="D432" s="9" t="str">
        <f>IF(B432="","Missing", IF(AND(ISNUMBER(B432)=FALSE, C432=""),"Invalid - Could Not Parse", IF(AND(ISNUMBER(B432)=FALSE, C432&lt;&gt;""),"Text - Converted to Date", IF(ISNUMBER(B432),"Valid","Check"))))</f>
        <v>Text - Converted to Date</v>
      </c>
      <c r="E432" s="5">
        <f t="shared" si="49"/>
        <v>1</v>
      </c>
      <c r="F432" s="5">
        <f t="shared" si="50"/>
        <v>2025</v>
      </c>
      <c r="G432" s="3" t="s">
        <v>1330</v>
      </c>
      <c r="H432" s="9">
        <f>IFERROR(DATEVALUE(TEXT(G432,"DD/MM/YYYY")), IF(ISNUMBER(G432), G432, ""))</f>
        <v>45660</v>
      </c>
      <c r="I432" s="9" t="str">
        <f>IF(G432="","Missing", IF(AND(ISNUMBER(G432)=FALSE, H432=""),"Invalid - Could Not Parse", IF(AND(ISNUMBER(G432)=FALSE, H432&lt;&gt;""),"Text - Converted to Date", IF(ISNUMBER(G432),"Valid","Check"))))</f>
        <v>Text - Converted to Date</v>
      </c>
      <c r="J432" s="9" t="str">
        <f>IF(OR(C432="", H432=""), "Cannot Check - Date Missing", IF(H432&lt;C432, "Invalid - Ship Before Order", "Valid"))</f>
        <v>Valid</v>
      </c>
      <c r="K432" s="5">
        <f>IF(OR(C432="", H432=""), "", IF(H432&lt;C432, "", H432-C432))</f>
        <v>2</v>
      </c>
      <c r="L432" s="3" t="s">
        <v>1331</v>
      </c>
      <c r="M432" s="3" t="s">
        <v>72</v>
      </c>
      <c r="N432" s="4" t="str">
        <f>TRIM(SUBSTITUTE(M432,"_"," "))</f>
        <v>Ananya Rao</v>
      </c>
      <c r="O432" s="3" t="s">
        <v>26</v>
      </c>
      <c r="P432" s="6" t="str">
        <f>PROPER(TRIM(SUBSTITUTE(O432,".","")))</f>
        <v>Consumer</v>
      </c>
      <c r="Q432" s="3" t="s">
        <v>73</v>
      </c>
      <c r="R432" s="7" t="str">
        <f>PROPER(TRIM(SUBSTITUTE(Q432,"  "," ")))</f>
        <v>West</v>
      </c>
      <c r="S432" s="3" t="s">
        <v>84</v>
      </c>
      <c r="T432" s="6" t="str">
        <f>PROPER(TRIM(SUBSTITUTE(S432,"  "," ")))</f>
        <v>Madhya Pradesh</v>
      </c>
      <c r="U432" s="3" t="s">
        <v>85</v>
      </c>
      <c r="V432" s="6" t="str">
        <f>PROPER(TRIM(SUBSTITUTE(U432,"  "," ")))</f>
        <v>Indore</v>
      </c>
      <c r="W432" s="3" t="s">
        <v>86</v>
      </c>
      <c r="X432" s="6" t="str">
        <f>PROPER(TRIM(SUBSTITUTE(W432,"  "," ")))</f>
        <v>Technology</v>
      </c>
      <c r="Y432" s="3" t="s">
        <v>87</v>
      </c>
      <c r="Z432" s="6" t="str">
        <f>PROPER(TRIM(SUBSTITUTE(Y432,"  "," ")))</f>
        <v>Accessories</v>
      </c>
      <c r="AA432" s="3" t="s">
        <v>1332</v>
      </c>
      <c r="AB432" s="3" t="s">
        <v>48</v>
      </c>
      <c r="AC432" s="6" t="str">
        <f>PROPER(TRIM(SUBSTITUTE(AB432,"  "," ")))</f>
        <v>Same Day</v>
      </c>
      <c r="AD432" s="3">
        <v>7</v>
      </c>
      <c r="AE432" s="3">
        <v>1000.55</v>
      </c>
      <c r="AF432" s="3">
        <v>0.2</v>
      </c>
      <c r="AG432" s="17">
        <v>0.2</v>
      </c>
      <c r="AH432" s="6" t="str">
        <f t="shared" si="51"/>
        <v>Valid</v>
      </c>
      <c r="AI432" s="3">
        <v>5603.08</v>
      </c>
      <c r="AJ432" s="3">
        <v>3132.52</v>
      </c>
      <c r="AK432" s="3">
        <v>2470.56</v>
      </c>
      <c r="AL432" s="3" t="s">
        <v>34</v>
      </c>
      <c r="AM432" s="6" t="str">
        <f>PROPER(TRIM(SUBSTITUTE(AL432,".","")))</f>
        <v>Paid</v>
      </c>
      <c r="AN432" s="3" t="s">
        <v>125</v>
      </c>
      <c r="AO432" s="8" t="str">
        <f>PROPER(TRIM(SUBSTITUTE(AN432,".","")))</f>
        <v>Returned</v>
      </c>
      <c r="AP432" t="str">
        <f>IF(COUNTIF($A$2:$A$933, A432) &gt; 1, "Duplicate ID", "Unique")</f>
        <v>Unique</v>
      </c>
      <c r="AR432">
        <f t="shared" si="52"/>
        <v>5603.08</v>
      </c>
      <c r="AS432">
        <f t="shared" si="53"/>
        <v>2470.56</v>
      </c>
      <c r="AT432" s="15">
        <f t="shared" si="54"/>
        <v>0.44092891766671188</v>
      </c>
      <c r="AU432" t="str">
        <f t="shared" si="55"/>
        <v>Clean</v>
      </c>
      <c r="AV432" s="8" t="str">
        <f t="shared" si="56"/>
        <v>Active</v>
      </c>
    </row>
    <row r="433" spans="1:48">
      <c r="A433" s="3" t="s">
        <v>3060</v>
      </c>
      <c r="B433" s="3" t="s">
        <v>1329</v>
      </c>
      <c r="C433" s="9">
        <f>IFERROR(DATEVALUE(TEXT(B433,"DD/MM/YYYY")), IF(ISNUMBER(B433), B433, ""))</f>
        <v>45658</v>
      </c>
      <c r="D433" s="9" t="str">
        <f>IF(B433="","Missing", IF(AND(ISNUMBER(B433)=FALSE, C433=""),"Invalid - Could Not Parse", IF(AND(ISNUMBER(B433)=FALSE, C433&lt;&gt;""),"Text - Converted to Date", IF(ISNUMBER(B433),"Valid","Check"))))</f>
        <v>Text - Converted to Date</v>
      </c>
      <c r="E433" s="5">
        <f t="shared" si="49"/>
        <v>1</v>
      </c>
      <c r="F433" s="5">
        <f t="shared" si="50"/>
        <v>2025</v>
      </c>
      <c r="G433" s="3" t="s">
        <v>3061</v>
      </c>
      <c r="H433" s="9">
        <f>IFERROR(DATEVALUE(TEXT(G433,"DD/MM/YYYY")), IF(ISNUMBER(G433), G433, ""))</f>
        <v>45666</v>
      </c>
      <c r="I433" s="9" t="str">
        <f>IF(G433="","Missing", IF(AND(ISNUMBER(G433)=FALSE, H433=""),"Invalid - Could Not Parse", IF(AND(ISNUMBER(G433)=FALSE, H433&lt;&gt;""),"Text - Converted to Date", IF(ISNUMBER(G433),"Valid","Check"))))</f>
        <v>Text - Converted to Date</v>
      </c>
      <c r="J433" s="9" t="str">
        <f>IF(OR(C433="", H433=""), "Cannot Check - Date Missing", IF(H433&lt;C433, "Invalid - Ship Before Order", "Valid"))</f>
        <v>Valid</v>
      </c>
      <c r="K433" s="5">
        <f>IF(OR(C433="", H433=""), "", IF(H433&lt;C433, "", H433-C433))</f>
        <v>8</v>
      </c>
      <c r="L433" s="3" t="s">
        <v>3062</v>
      </c>
      <c r="M433" s="3" t="s">
        <v>3063</v>
      </c>
      <c r="N433" s="4" t="str">
        <f>TRIM(SUBSTITUTE(M433,"_"," "))</f>
        <v>Rohan Mehta</v>
      </c>
      <c r="O433" s="3" t="s">
        <v>41</v>
      </c>
      <c r="P433" s="6" t="str">
        <f>PROPER(TRIM(SUBSTITUTE(O433,".","")))</f>
        <v>Small Business</v>
      </c>
      <c r="Q433" s="3" t="s">
        <v>27</v>
      </c>
      <c r="R433" s="7" t="str">
        <f>PROPER(TRIM(SUBSTITUTE(Q433,"  "," ")))</f>
        <v>North</v>
      </c>
      <c r="S433" s="3" t="s">
        <v>154</v>
      </c>
      <c r="T433" s="6" t="str">
        <f>PROPER(TRIM(SUBSTITUTE(S433,"  "," ")))</f>
        <v>Punjab</v>
      </c>
      <c r="U433" s="3" t="s">
        <v>155</v>
      </c>
      <c r="V433" s="6" t="str">
        <f>PROPER(TRIM(SUBSTITUTE(U433,"  "," ")))</f>
        <v>Ludhiana</v>
      </c>
      <c r="W433" s="3" t="s">
        <v>30</v>
      </c>
      <c r="X433" s="6" t="str">
        <f>PROPER(TRIM(SUBSTITUTE(W433,"  "," ")))</f>
        <v>Office Supplies</v>
      </c>
      <c r="Y433" s="3" t="s">
        <v>54</v>
      </c>
      <c r="Z433" s="6" t="str">
        <f>PROPER(TRIM(SUBSTITUTE(Y433,"  "," ")))</f>
        <v>Art</v>
      </c>
      <c r="AA433" s="3" t="s">
        <v>3064</v>
      </c>
      <c r="AB433" s="3" t="s">
        <v>56</v>
      </c>
      <c r="AC433" s="6" t="str">
        <f>PROPER(TRIM(SUBSTITUTE(AB433,"  "," ")))</f>
        <v>First Class</v>
      </c>
      <c r="AD433" s="3">
        <v>8</v>
      </c>
      <c r="AE433" s="3">
        <v>2123.81</v>
      </c>
      <c r="AF433" s="3">
        <v>0.15</v>
      </c>
      <c r="AG433" s="17">
        <v>0.15</v>
      </c>
      <c r="AH433" s="6" t="str">
        <f t="shared" si="51"/>
        <v>Valid</v>
      </c>
      <c r="AI433" s="3">
        <v>14441.91</v>
      </c>
      <c r="AJ433" s="3">
        <v>10872.89</v>
      </c>
      <c r="AK433" s="3">
        <v>3569.02</v>
      </c>
      <c r="AL433" s="3" t="s">
        <v>34</v>
      </c>
      <c r="AM433" s="6" t="str">
        <f>PROPER(TRIM(SUBSTITUTE(AL433,".","")))</f>
        <v>Paid</v>
      </c>
      <c r="AN433" s="3" t="s">
        <v>35</v>
      </c>
      <c r="AO433" s="8" t="str">
        <f>PROPER(TRIM(SUBSTITUTE(AN433,".","")))</f>
        <v>Completed</v>
      </c>
      <c r="AP433" t="str">
        <f>IF(COUNTIF($A$2:$A$933, A433) &gt; 1, "Duplicate ID", "Unique")</f>
        <v>Unique</v>
      </c>
      <c r="AR433">
        <f t="shared" si="52"/>
        <v>14441.907999999999</v>
      </c>
      <c r="AS433">
        <f t="shared" si="53"/>
        <v>3569.018</v>
      </c>
      <c r="AT433" s="15">
        <f t="shared" si="54"/>
        <v>0.24712925743606731</v>
      </c>
      <c r="AU433" t="str">
        <f t="shared" si="55"/>
        <v>Clean</v>
      </c>
      <c r="AV433" s="8" t="str">
        <f t="shared" si="56"/>
        <v>Active</v>
      </c>
    </row>
    <row r="434" spans="1:48">
      <c r="A434" s="3" t="s">
        <v>2322</v>
      </c>
      <c r="B434" s="3" t="s">
        <v>2323</v>
      </c>
      <c r="C434" s="9">
        <f>IFERROR(DATEVALUE(TEXT(B434,"DD/MM/YYYY")), IF(ISNUMBER(B434), B434, ""))</f>
        <v>45660</v>
      </c>
      <c r="D434" s="9" t="str">
        <f>IF(B434="","Missing", IF(AND(ISNUMBER(B434)=FALSE, C434=""),"Invalid - Could Not Parse", IF(AND(ISNUMBER(B434)=FALSE, C434&lt;&gt;""),"Text - Converted to Date", IF(ISNUMBER(B434),"Valid","Check"))))</f>
        <v>Text - Converted to Date</v>
      </c>
      <c r="E434" s="5">
        <f t="shared" si="49"/>
        <v>1</v>
      </c>
      <c r="F434" s="5">
        <f t="shared" si="50"/>
        <v>2025</v>
      </c>
      <c r="G434" s="3" t="s">
        <v>2324</v>
      </c>
      <c r="H434" s="9">
        <f>IFERROR(DATEVALUE(TEXT(G434,"DD/MM/YYYY")), IF(ISNUMBER(G434), G434, ""))</f>
        <v>45724</v>
      </c>
      <c r="I434" s="9" t="str">
        <f>IF(G434="","Missing", IF(AND(ISNUMBER(G434)=FALSE, H434=""),"Invalid - Could Not Parse", IF(AND(ISNUMBER(G434)=FALSE, H434&lt;&gt;""),"Text - Converted to Date", IF(ISNUMBER(G434),"Valid","Check"))))</f>
        <v>Text - Converted to Date</v>
      </c>
      <c r="J434" s="9" t="str">
        <f>IF(OR(C434="", H434=""), "Cannot Check - Date Missing", IF(H434&lt;C434, "Invalid - Ship Before Order", "Valid"))</f>
        <v>Valid</v>
      </c>
      <c r="K434" s="5">
        <f>IF(OR(C434="", H434=""), "", IF(H434&lt;C434, "", H434-C434))</f>
        <v>64</v>
      </c>
      <c r="L434" s="3" t="s">
        <v>2325</v>
      </c>
      <c r="M434" s="3" t="s">
        <v>83</v>
      </c>
      <c r="N434" s="4" t="str">
        <f>TRIM(SUBSTITUTE(M434,"_"," "))</f>
        <v>Vikram Iyer</v>
      </c>
      <c r="O434" s="3" t="s">
        <v>26</v>
      </c>
      <c r="P434" s="6" t="str">
        <f>PROPER(TRIM(SUBSTITUTE(O434,".","")))</f>
        <v>Consumer</v>
      </c>
      <c r="Q434" s="3" t="s">
        <v>42</v>
      </c>
      <c r="R434" s="7" t="str">
        <f>PROPER(TRIM(SUBSTITUTE(Q434,"  "," ")))</f>
        <v>East</v>
      </c>
      <c r="S434" s="3" t="s">
        <v>121</v>
      </c>
      <c r="T434" s="6" t="str">
        <f>PROPER(TRIM(SUBSTITUTE(S434,"  "," ")))</f>
        <v>West Bengal</v>
      </c>
      <c r="U434" s="3" t="s">
        <v>122</v>
      </c>
      <c r="V434" s="6" t="str">
        <f>PROPER(TRIM(SUBSTITUTE(U434,"  "," ")))</f>
        <v>Kolkata</v>
      </c>
      <c r="W434" s="3" t="s">
        <v>45</v>
      </c>
      <c r="X434" s="6" t="str">
        <f>PROPER(TRIM(SUBSTITUTE(W434,"  "," ")))</f>
        <v>Furniture</v>
      </c>
      <c r="Y434" s="3" t="s">
        <v>76</v>
      </c>
      <c r="Z434" s="6" t="str">
        <f>PROPER(TRIM(SUBSTITUTE(Y434,"  "," ")))</f>
        <v>Chairs</v>
      </c>
      <c r="AA434" s="3" t="s">
        <v>2326</v>
      </c>
      <c r="AB434" s="3" t="s">
        <v>48</v>
      </c>
      <c r="AC434" s="6" t="str">
        <f>PROPER(TRIM(SUBSTITUTE(AB434,"  "," ")))</f>
        <v>Same Day</v>
      </c>
      <c r="AD434" s="3">
        <v>8</v>
      </c>
      <c r="AE434" s="3">
        <v>3378.82</v>
      </c>
      <c r="AF434" s="3">
        <v>0.25</v>
      </c>
      <c r="AG434" s="17">
        <v>0.25</v>
      </c>
      <c r="AH434" s="6" t="str">
        <f t="shared" si="51"/>
        <v>Valid</v>
      </c>
      <c r="AI434" s="3">
        <v>20272.919999999998</v>
      </c>
      <c r="AJ434" s="3">
        <v>15873.38</v>
      </c>
      <c r="AK434" s="3">
        <v>4399.54</v>
      </c>
      <c r="AL434" s="3" t="s">
        <v>137</v>
      </c>
      <c r="AM434" s="6" t="str">
        <f>PROPER(TRIM(SUBSTITUTE(AL434,".","")))</f>
        <v>Pending</v>
      </c>
      <c r="AN434" s="3" t="s">
        <v>125</v>
      </c>
      <c r="AO434" s="8" t="str">
        <f>PROPER(TRIM(SUBSTITUTE(AN434,".","")))</f>
        <v>Returned</v>
      </c>
      <c r="AP434" t="str">
        <f>IF(COUNTIF($A$2:$A$933, A434) &gt; 1, "Duplicate ID", "Unique")</f>
        <v>Unique</v>
      </c>
      <c r="AR434">
        <f t="shared" si="52"/>
        <v>20272.920000000002</v>
      </c>
      <c r="AS434">
        <f t="shared" si="53"/>
        <v>4399.5400000000027</v>
      </c>
      <c r="AT434" s="15">
        <f t="shared" si="54"/>
        <v>0.21701560505344086</v>
      </c>
      <c r="AU434" t="str">
        <f t="shared" si="55"/>
        <v>Clean</v>
      </c>
      <c r="AV434" s="8" t="str">
        <f t="shared" si="56"/>
        <v>Active</v>
      </c>
    </row>
    <row r="435" spans="1:48">
      <c r="A435" s="3" t="s">
        <v>3269</v>
      </c>
      <c r="B435" s="3" t="s">
        <v>2323</v>
      </c>
      <c r="C435" s="9">
        <f>IFERROR(DATEVALUE(TEXT(B435,"DD/MM/YYYY")), IF(ISNUMBER(B435), B435, ""))</f>
        <v>45660</v>
      </c>
      <c r="D435" s="9" t="str">
        <f>IF(B435="","Missing", IF(AND(ISNUMBER(B435)=FALSE, C435=""),"Invalid - Could Not Parse", IF(AND(ISNUMBER(B435)=FALSE, C435&lt;&gt;""),"Text - Converted to Date", IF(ISNUMBER(B435),"Valid","Check"))))</f>
        <v>Text - Converted to Date</v>
      </c>
      <c r="E435" s="5">
        <f t="shared" si="49"/>
        <v>1</v>
      </c>
      <c r="F435" s="5">
        <f t="shared" si="50"/>
        <v>2025</v>
      </c>
      <c r="G435" s="3" t="s">
        <v>787</v>
      </c>
      <c r="H435" s="9">
        <f>IFERROR(DATEVALUE(TEXT(G435,"DD/MM/YYYY")), IF(ISNUMBER(G435), G435, ""))</f>
        <v>45723</v>
      </c>
      <c r="I435" s="9" t="str">
        <f>IF(G435="","Missing", IF(AND(ISNUMBER(G435)=FALSE, H435=""),"Invalid - Could Not Parse", IF(AND(ISNUMBER(G435)=FALSE, H435&lt;&gt;""),"Text - Converted to Date", IF(ISNUMBER(G435),"Valid","Check"))))</f>
        <v>Text - Converted to Date</v>
      </c>
      <c r="J435" s="9" t="str">
        <f>IF(OR(C435="", H435=""), "Cannot Check - Date Missing", IF(H435&lt;C435, "Invalid - Ship Before Order", "Valid"))</f>
        <v>Valid</v>
      </c>
      <c r="K435" s="5">
        <f>IF(OR(C435="", H435=""), "", IF(H435&lt;C435, "", H435-C435))</f>
        <v>63</v>
      </c>
      <c r="L435" s="3" t="s">
        <v>3270</v>
      </c>
      <c r="M435" s="3" t="s">
        <v>61</v>
      </c>
      <c r="N435" s="4" t="str">
        <f>TRIM(SUBSTITUTE(M435,"_"," "))</f>
        <v>Arjun Bose</v>
      </c>
      <c r="O435" s="3" t="s">
        <v>108</v>
      </c>
      <c r="P435" s="6" t="str">
        <f>PROPER(TRIM(SUBSTITUTE(O435,".","")))</f>
        <v>Corporate</v>
      </c>
      <c r="Q435" s="3" t="s">
        <v>62</v>
      </c>
      <c r="R435" s="7" t="str">
        <f>PROPER(TRIM(SUBSTITUTE(Q435,"  "," ")))</f>
        <v>South</v>
      </c>
      <c r="S435" s="3" t="s">
        <v>100</v>
      </c>
      <c r="T435" s="6" t="str">
        <f>PROPER(TRIM(SUBSTITUTE(S435,"  "," ")))</f>
        <v>Andhra Pradesh</v>
      </c>
      <c r="U435" s="3" t="s">
        <v>101</v>
      </c>
      <c r="V435" s="6" t="str">
        <f>PROPER(TRIM(SUBSTITUTE(U435,"  "," ")))</f>
        <v>Vijayawada</v>
      </c>
      <c r="W435" s="3" t="s">
        <v>30</v>
      </c>
      <c r="X435" s="6" t="str">
        <f>PROPER(TRIM(SUBSTITUTE(W435,"  "," ")))</f>
        <v>Office Supplies</v>
      </c>
      <c r="Y435" s="3" t="s">
        <v>109</v>
      </c>
      <c r="Z435" s="6" t="str">
        <f>PROPER(TRIM(SUBSTITUTE(Y435,"  "," ")))</f>
        <v>Labels</v>
      </c>
      <c r="AA435" s="3" t="s">
        <v>3271</v>
      </c>
      <c r="AB435" s="3" t="s">
        <v>56</v>
      </c>
      <c r="AC435" s="6" t="str">
        <f>PROPER(TRIM(SUBSTITUTE(AB435,"  "," ")))</f>
        <v>First Class</v>
      </c>
      <c r="AD435" s="3">
        <v>7</v>
      </c>
      <c r="AE435" s="3">
        <v>567.15</v>
      </c>
      <c r="AF435" s="3"/>
      <c r="AG435" s="18">
        <f>IF(ISBLANK(AF435), 0, AF435)</f>
        <v>0</v>
      </c>
      <c r="AH435" s="6" t="str">
        <f t="shared" si="51"/>
        <v>Missing</v>
      </c>
      <c r="AI435" s="3">
        <v>2977.54</v>
      </c>
      <c r="AJ435" s="3">
        <v>1849.3</v>
      </c>
      <c r="AK435" s="3">
        <v>1128.24</v>
      </c>
      <c r="AL435" s="3" t="s">
        <v>124</v>
      </c>
      <c r="AM435" s="6" t="str">
        <f>PROPER(TRIM(SUBSTITUTE(AL435,".","")))</f>
        <v>Refunded</v>
      </c>
      <c r="AN435" s="3" t="s">
        <v>125</v>
      </c>
      <c r="AO435" s="8" t="str">
        <f>PROPER(TRIM(SUBSTITUTE(AN435,".","")))</f>
        <v>Returned</v>
      </c>
      <c r="AP435" t="str">
        <f>IF(COUNTIF($A$2:$A$933, A435) &gt; 1, "Duplicate ID", "Unique")</f>
        <v>Unique</v>
      </c>
      <c r="AR435">
        <f t="shared" si="52"/>
        <v>3970.0499999999997</v>
      </c>
      <c r="AS435">
        <f t="shared" si="53"/>
        <v>2120.75</v>
      </c>
      <c r="AT435" s="15">
        <f t="shared" si="54"/>
        <v>0.53418722686112274</v>
      </c>
      <c r="AU435" t="str">
        <f t="shared" si="55"/>
        <v>Warning</v>
      </c>
      <c r="AV435" s="8" t="str">
        <f t="shared" si="56"/>
        <v>Refund</v>
      </c>
    </row>
    <row r="436" spans="1:48">
      <c r="A436" s="3" t="s">
        <v>3465</v>
      </c>
      <c r="B436" s="3" t="s">
        <v>1348</v>
      </c>
      <c r="C436" s="9">
        <f>IFERROR(DATEVALUE(TEXT(B436,"DD/MM/YYYY")), IF(ISNUMBER(B436), B436, ""))</f>
        <v>45661</v>
      </c>
      <c r="D436" s="9" t="str">
        <f>IF(B436="","Missing", IF(AND(ISNUMBER(B436)=FALSE, C436=""),"Invalid - Could Not Parse", IF(AND(ISNUMBER(B436)=FALSE, C436&lt;&gt;""),"Text - Converted to Date", IF(ISNUMBER(B436),"Valid","Check"))))</f>
        <v>Text - Converted to Date</v>
      </c>
      <c r="E436" s="5">
        <f t="shared" si="49"/>
        <v>1</v>
      </c>
      <c r="F436" s="5">
        <f t="shared" si="50"/>
        <v>2025</v>
      </c>
      <c r="G436" s="3" t="s">
        <v>3466</v>
      </c>
      <c r="H436" s="9">
        <f>IFERROR(DATEVALUE(TEXT(G436,"DD/MM/YYYY")), IF(ISNUMBER(G436), G436, ""))</f>
        <v>45667</v>
      </c>
      <c r="I436" s="9" t="str">
        <f>IF(G436="","Missing", IF(AND(ISNUMBER(G436)=FALSE, H436=""),"Invalid - Could Not Parse", IF(AND(ISNUMBER(G436)=FALSE, H436&lt;&gt;""),"Text - Converted to Date", IF(ISNUMBER(G436),"Valid","Check"))))</f>
        <v>Text - Converted to Date</v>
      </c>
      <c r="J436" s="9" t="str">
        <f>IF(OR(C436="", H436=""), "Cannot Check - Date Missing", IF(H436&lt;C436, "Invalid - Ship Before Order", "Valid"))</f>
        <v>Valid</v>
      </c>
      <c r="K436" s="5">
        <f>IF(OR(C436="", H436=""), "", IF(H436&lt;C436, "", H436-C436))</f>
        <v>6</v>
      </c>
      <c r="L436" s="3" t="s">
        <v>3053</v>
      </c>
      <c r="M436" s="3" t="s">
        <v>162</v>
      </c>
      <c r="N436" s="4" t="str">
        <f>TRIM(SUBSTITUTE(M436,"_"," "))</f>
        <v>Aarav Sharma</v>
      </c>
      <c r="O436" s="3" t="s">
        <v>115</v>
      </c>
      <c r="P436" s="6" t="str">
        <f>PROPER(TRIM(SUBSTITUTE(O436,".","")))</f>
        <v>Home Office</v>
      </c>
      <c r="Q436" s="3" t="s">
        <v>42</v>
      </c>
      <c r="R436" s="7" t="str">
        <f>PROPER(TRIM(SUBSTITUTE(Q436,"  "," ")))</f>
        <v>East</v>
      </c>
      <c r="S436" s="3" t="s">
        <v>121</v>
      </c>
      <c r="T436" s="6" t="str">
        <f>PROPER(TRIM(SUBSTITUTE(S436,"  "," ")))</f>
        <v>West Bengal</v>
      </c>
      <c r="U436" s="3" t="s">
        <v>122</v>
      </c>
      <c r="V436" s="6" t="str">
        <f>PROPER(TRIM(SUBSTITUTE(U436,"  "," ")))</f>
        <v>Kolkata</v>
      </c>
      <c r="W436" s="3" t="s">
        <v>30</v>
      </c>
      <c r="X436" s="6" t="str">
        <f>PROPER(TRIM(SUBSTITUTE(W436,"  "," ")))</f>
        <v>Office Supplies</v>
      </c>
      <c r="Y436" s="3" t="s">
        <v>31</v>
      </c>
      <c r="Z436" s="6" t="str">
        <f>PROPER(TRIM(SUBSTITUTE(Y436,"  "," ")))</f>
        <v>Paper</v>
      </c>
      <c r="AA436" s="3" t="s">
        <v>3467</v>
      </c>
      <c r="AB436" s="3" t="s">
        <v>67</v>
      </c>
      <c r="AC436" s="6" t="str">
        <f>PROPER(TRIM(SUBSTITUTE(AB436,"  "," ")))</f>
        <v>Standard Class</v>
      </c>
      <c r="AD436" s="3">
        <v>4</v>
      </c>
      <c r="AE436" s="3">
        <v>2583.19</v>
      </c>
      <c r="AF436" s="3">
        <v>0.2</v>
      </c>
      <c r="AG436" s="17">
        <v>0.2</v>
      </c>
      <c r="AH436" s="6" t="str">
        <f t="shared" si="51"/>
        <v>Valid</v>
      </c>
      <c r="AI436" s="3">
        <v>8266.2099999999991</v>
      </c>
      <c r="AJ436" s="3">
        <v>6236.32</v>
      </c>
      <c r="AK436" s="3">
        <v>2029.89</v>
      </c>
      <c r="AL436" s="3" t="s">
        <v>34</v>
      </c>
      <c r="AM436" s="6" t="str">
        <f>PROPER(TRIM(SUBSTITUTE(AL436,".","")))</f>
        <v>Paid</v>
      </c>
      <c r="AN436" s="3" t="s">
        <v>35</v>
      </c>
      <c r="AO436" s="8" t="str">
        <f>PROPER(TRIM(SUBSTITUTE(AN436,".","")))</f>
        <v>Completed</v>
      </c>
      <c r="AP436" t="str">
        <f>IF(COUNTIF($A$2:$A$933, A436) &gt; 1, "Duplicate ID", "Unique")</f>
        <v>Unique</v>
      </c>
      <c r="AR436">
        <f t="shared" si="52"/>
        <v>8266.2080000000005</v>
      </c>
      <c r="AS436">
        <f t="shared" si="53"/>
        <v>2029.8880000000008</v>
      </c>
      <c r="AT436" s="15">
        <f t="shared" si="54"/>
        <v>0.24556459261610653</v>
      </c>
      <c r="AU436" t="str">
        <f t="shared" si="55"/>
        <v>Clean</v>
      </c>
      <c r="AV436" s="8" t="str">
        <f t="shared" si="56"/>
        <v>Active</v>
      </c>
    </row>
    <row r="437" spans="1:48">
      <c r="A437" s="3" t="s">
        <v>384</v>
      </c>
      <c r="B437" s="3" t="s">
        <v>385</v>
      </c>
      <c r="C437" s="9">
        <f>IFERROR(DATEVALUE(TEXT(B437,"DD/MM/YYYY")), IF(ISNUMBER(B437), B437, ""))</f>
        <v>45662</v>
      </c>
      <c r="D437" s="9" t="str">
        <f>IF(B437="","Missing", IF(AND(ISNUMBER(B437)=FALSE, C437=""),"Invalid - Could Not Parse", IF(AND(ISNUMBER(B437)=FALSE, C437&lt;&gt;""),"Text - Converted to Date", IF(ISNUMBER(B437),"Valid","Check"))))</f>
        <v>Text - Converted to Date</v>
      </c>
      <c r="E437" s="5">
        <f t="shared" si="49"/>
        <v>1</v>
      </c>
      <c r="F437" s="5">
        <f t="shared" si="50"/>
        <v>2025</v>
      </c>
      <c r="G437" s="3" t="s">
        <v>386</v>
      </c>
      <c r="H437" s="9">
        <f>IFERROR(DATEVALUE(TEXT(G437,"DD/MM/YYYY")), IF(ISNUMBER(G437), G437, ""))</f>
        <v>45663</v>
      </c>
      <c r="I437" s="9" t="str">
        <f>IF(G437="","Missing", IF(AND(ISNUMBER(G437)=FALSE, H437=""),"Invalid - Could Not Parse", IF(AND(ISNUMBER(G437)=FALSE, H437&lt;&gt;""),"Text - Converted to Date", IF(ISNUMBER(G437),"Valid","Check"))))</f>
        <v>Text - Converted to Date</v>
      </c>
      <c r="J437" s="9" t="str">
        <f>IF(OR(C437="", H437=""), "Cannot Check - Date Missing", IF(H437&lt;C437, "Invalid - Ship Before Order", "Valid"))</f>
        <v>Valid</v>
      </c>
      <c r="K437" s="5">
        <f>IF(OR(C437="", H437=""), "", IF(H437&lt;C437, "", H437-C437))</f>
        <v>1</v>
      </c>
      <c r="L437" s="3" t="s">
        <v>387</v>
      </c>
      <c r="M437" s="3" t="s">
        <v>25</v>
      </c>
      <c r="N437" s="4" t="str">
        <f>TRIM(SUBSTITUTE(M437,"_"," "))</f>
        <v>Karan Malhotra</v>
      </c>
      <c r="O437" s="3" t="s">
        <v>26</v>
      </c>
      <c r="P437" s="6" t="str">
        <f>PROPER(TRIM(SUBSTITUTE(O437,".","")))</f>
        <v>Consumer</v>
      </c>
      <c r="Q437" s="3" t="s">
        <v>62</v>
      </c>
      <c r="R437" s="7" t="str">
        <f>PROPER(TRIM(SUBSTITUTE(Q437,"  "," ")))</f>
        <v>South</v>
      </c>
      <c r="S437" s="3" t="s">
        <v>229</v>
      </c>
      <c r="T437" s="6" t="str">
        <f>PROPER(TRIM(SUBSTITUTE(S437,"  "," ")))</f>
        <v>Karnataka</v>
      </c>
      <c r="U437" s="3" t="s">
        <v>230</v>
      </c>
      <c r="V437" s="6" t="str">
        <f>PROPER(TRIM(SUBSTITUTE(U437,"  "," ")))</f>
        <v>Bengaluru</v>
      </c>
      <c r="W437" s="3" t="s">
        <v>30</v>
      </c>
      <c r="X437" s="6" t="str">
        <f>PROPER(TRIM(SUBSTITUTE(W437,"  "," ")))</f>
        <v>Office Supplies</v>
      </c>
      <c r="Y437" s="3" t="s">
        <v>198</v>
      </c>
      <c r="Z437" s="6" t="str">
        <f>PROPER(TRIM(SUBSTITUTE(Y437,"  "," ")))</f>
        <v>Binders</v>
      </c>
      <c r="AA437" s="3" t="s">
        <v>388</v>
      </c>
      <c r="AB437" s="3" t="s">
        <v>33</v>
      </c>
      <c r="AC437" s="6" t="str">
        <f>PROPER(TRIM(SUBSTITUTE(AB437,"  "," ")))</f>
        <v>Second Class</v>
      </c>
      <c r="AD437" s="3">
        <v>3</v>
      </c>
      <c r="AE437" s="3">
        <v>3155.61</v>
      </c>
      <c r="AF437" s="3">
        <v>0</v>
      </c>
      <c r="AG437" s="17">
        <v>0</v>
      </c>
      <c r="AH437" s="6" t="str">
        <f t="shared" si="51"/>
        <v>Valid</v>
      </c>
      <c r="AI437" s="3">
        <v>9466.83</v>
      </c>
      <c r="AJ437" s="3">
        <v>6557.83</v>
      </c>
      <c r="AK437" s="3">
        <v>2909</v>
      </c>
      <c r="AL437" s="3" t="s">
        <v>124</v>
      </c>
      <c r="AM437" s="6" t="str">
        <f>PROPER(TRIM(SUBSTITUTE(AL437,".","")))</f>
        <v>Refunded</v>
      </c>
      <c r="AN437" s="3" t="s">
        <v>78</v>
      </c>
      <c r="AO437" s="8" t="str">
        <f>PROPER(TRIM(SUBSTITUTE(AN437,".","")))</f>
        <v>Cancelled</v>
      </c>
      <c r="AP437" t="str">
        <f>IF(COUNTIF($A$2:$A$933, A437) &gt; 1, "Duplicate ID", "Unique")</f>
        <v>Unique</v>
      </c>
      <c r="AR437">
        <f t="shared" si="52"/>
        <v>9466.83</v>
      </c>
      <c r="AS437">
        <f t="shared" si="53"/>
        <v>2909</v>
      </c>
      <c r="AT437" s="15">
        <f t="shared" si="54"/>
        <v>0.30728343067320318</v>
      </c>
      <c r="AU437" t="str">
        <f t="shared" si="55"/>
        <v>Clean</v>
      </c>
      <c r="AV437" s="8" t="str">
        <f t="shared" si="56"/>
        <v>Refund</v>
      </c>
    </row>
    <row r="438" spans="1:48">
      <c r="A438" s="3" t="s">
        <v>2346</v>
      </c>
      <c r="B438" s="3" t="s">
        <v>385</v>
      </c>
      <c r="C438" s="9">
        <f>IFERROR(DATEVALUE(TEXT(B438,"DD/MM/YYYY")), IF(ISNUMBER(B438), B438, ""))</f>
        <v>45662</v>
      </c>
      <c r="D438" s="9" t="str">
        <f>IF(B438="","Missing", IF(AND(ISNUMBER(B438)=FALSE, C438=""),"Invalid - Could Not Parse", IF(AND(ISNUMBER(B438)=FALSE, C438&lt;&gt;""),"Text - Converted to Date", IF(ISNUMBER(B438),"Valid","Check"))))</f>
        <v>Text - Converted to Date</v>
      </c>
      <c r="E438" s="5">
        <f t="shared" si="49"/>
        <v>1</v>
      </c>
      <c r="F438" s="5">
        <f t="shared" si="50"/>
        <v>2025</v>
      </c>
      <c r="G438" s="3" t="s">
        <v>2293</v>
      </c>
      <c r="H438" s="9">
        <f>IFERROR(DATEVALUE(TEXT(G438,"DD/MM/YYYY")), IF(ISNUMBER(G438), G438, ""))</f>
        <v>45666</v>
      </c>
      <c r="I438" s="9" t="str">
        <f>IF(G438="","Missing", IF(AND(ISNUMBER(G438)=FALSE, H438=""),"Invalid - Could Not Parse", IF(AND(ISNUMBER(G438)=FALSE, H438&lt;&gt;""),"Text - Converted to Date", IF(ISNUMBER(G438),"Valid","Check"))))</f>
        <v>Text - Converted to Date</v>
      </c>
      <c r="J438" s="9" t="str">
        <f>IF(OR(C438="", H438=""), "Cannot Check - Date Missing", IF(H438&lt;C438, "Invalid - Ship Before Order", "Valid"))</f>
        <v>Valid</v>
      </c>
      <c r="K438" s="5">
        <f>IF(OR(C438="", H438=""), "", IF(H438&lt;C438, "", H438-C438))</f>
        <v>4</v>
      </c>
      <c r="L438" s="3" t="s">
        <v>2347</v>
      </c>
      <c r="M438" s="3" t="s">
        <v>93</v>
      </c>
      <c r="N438" s="4" t="str">
        <f>TRIM(SUBSTITUTE(M438,"_"," "))</f>
        <v>Neha Gupta</v>
      </c>
      <c r="O438" s="3" t="s">
        <v>41</v>
      </c>
      <c r="P438" s="6" t="str">
        <f>PROPER(TRIM(SUBSTITUTE(O438,".","")))</f>
        <v>Small Business</v>
      </c>
      <c r="Q438" s="3" t="s">
        <v>62</v>
      </c>
      <c r="R438" s="7" t="str">
        <f>PROPER(TRIM(SUBSTITUTE(Q438,"  "," ")))</f>
        <v>South</v>
      </c>
      <c r="S438" s="3" t="s">
        <v>339</v>
      </c>
      <c r="T438" s="6" t="str">
        <f>PROPER(TRIM(SUBSTITUTE(S438,"  "," ")))</f>
        <v>Tamil Nadu</v>
      </c>
      <c r="U438" s="3" t="s">
        <v>340</v>
      </c>
      <c r="V438" s="6" t="str">
        <f>PROPER(TRIM(SUBSTITUTE(U438,"  "," ")))</f>
        <v>Chennai</v>
      </c>
      <c r="W438" s="3" t="s">
        <v>30</v>
      </c>
      <c r="X438" s="6" t="str">
        <f>PROPER(TRIM(SUBSTITUTE(W438,"  "," ")))</f>
        <v>Office Supplies</v>
      </c>
      <c r="Y438" s="3" t="s">
        <v>156</v>
      </c>
      <c r="Z438" s="6" t="str">
        <f>PROPER(TRIM(SUBSTITUTE(Y438,"  "," ")))</f>
        <v>Storage</v>
      </c>
      <c r="AA438" s="3" t="s">
        <v>2348</v>
      </c>
      <c r="AB438" s="3"/>
      <c r="AC438" s="11" t="str">
        <f>IF(ISBLANK(AB438), "Unknown", AB438)</f>
        <v>Unknown</v>
      </c>
      <c r="AD438" s="3">
        <v>5</v>
      </c>
      <c r="AE438" s="3">
        <v>905.16</v>
      </c>
      <c r="AF438" s="3">
        <v>0</v>
      </c>
      <c r="AG438" s="17">
        <v>0</v>
      </c>
      <c r="AH438" s="6" t="str">
        <f t="shared" si="51"/>
        <v>Valid</v>
      </c>
      <c r="AI438" s="3">
        <v>4525.8</v>
      </c>
      <c r="AJ438" s="3">
        <v>2714.51</v>
      </c>
      <c r="AK438" s="3">
        <v>1811.29</v>
      </c>
      <c r="AL438" s="3" t="s">
        <v>34</v>
      </c>
      <c r="AM438" s="6" t="str">
        <f>PROPER(TRIM(SUBSTITUTE(AL438,".","")))</f>
        <v>Paid</v>
      </c>
      <c r="AN438" s="3" t="s">
        <v>35</v>
      </c>
      <c r="AO438" s="8" t="str">
        <f>PROPER(TRIM(SUBSTITUTE(AN438,".","")))</f>
        <v>Completed</v>
      </c>
      <c r="AP438" t="str">
        <f>IF(COUNTIF($A$2:$A$933, A438) &gt; 1, "Duplicate ID", "Unique")</f>
        <v>Unique</v>
      </c>
      <c r="AR438">
        <f t="shared" si="52"/>
        <v>4525.8</v>
      </c>
      <c r="AS438">
        <f t="shared" si="53"/>
        <v>1811.29</v>
      </c>
      <c r="AT438" s="15">
        <f t="shared" si="54"/>
        <v>0.40021432674886204</v>
      </c>
      <c r="AU438" t="str">
        <f t="shared" si="55"/>
        <v>Clean</v>
      </c>
      <c r="AV438" s="8" t="str">
        <f t="shared" si="56"/>
        <v>Active</v>
      </c>
    </row>
    <row r="439" spans="1:48">
      <c r="A439" s="3" t="s">
        <v>3780</v>
      </c>
      <c r="B439" s="3" t="s">
        <v>3781</v>
      </c>
      <c r="C439" s="9">
        <f>IFERROR(DATEVALUE(TEXT(B439,"DD/MM/YYYY")), IF(ISNUMBER(B439), B439, ""))</f>
        <v>45663</v>
      </c>
      <c r="D439" s="9" t="str">
        <f>IF(B439="","Missing", IF(AND(ISNUMBER(B439)=FALSE, C439=""),"Invalid - Could Not Parse", IF(AND(ISNUMBER(B439)=FALSE, C439&lt;&gt;""),"Text - Converted to Date", IF(ISNUMBER(B439),"Valid","Check"))))</f>
        <v>Text - Converted to Date</v>
      </c>
      <c r="E439" s="5">
        <f t="shared" si="49"/>
        <v>1</v>
      </c>
      <c r="F439" s="5">
        <f t="shared" si="50"/>
        <v>2025</v>
      </c>
      <c r="G439" s="3" t="s">
        <v>2178</v>
      </c>
      <c r="H439" s="9">
        <f>IFERROR(DATEVALUE(TEXT(G439,"DD/MM/YYYY")), IF(ISNUMBER(G439), G439, ""))</f>
        <v>45669</v>
      </c>
      <c r="I439" s="9" t="str">
        <f>IF(G439="","Missing", IF(AND(ISNUMBER(G439)=FALSE, H439=""),"Invalid - Could Not Parse", IF(AND(ISNUMBER(G439)=FALSE, H439&lt;&gt;""),"Text - Converted to Date", IF(ISNUMBER(G439),"Valid","Check"))))</f>
        <v>Text - Converted to Date</v>
      </c>
      <c r="J439" s="9" t="str">
        <f>IF(OR(C439="", H439=""), "Cannot Check - Date Missing", IF(H439&lt;C439, "Invalid - Ship Before Order", "Valid"))</f>
        <v>Valid</v>
      </c>
      <c r="K439" s="5">
        <f>IF(OR(C439="", H439=""), "", IF(H439&lt;C439, "", H439-C439))</f>
        <v>6</v>
      </c>
      <c r="L439" s="3" t="s">
        <v>3782</v>
      </c>
      <c r="M439" s="3" t="s">
        <v>40</v>
      </c>
      <c r="N439" s="4" t="str">
        <f>TRIM(SUBSTITUTE(M439,"_"," "))</f>
        <v>Mira Das</v>
      </c>
      <c r="O439" s="3" t="s">
        <v>115</v>
      </c>
      <c r="P439" s="6" t="str">
        <f>PROPER(TRIM(SUBSTITUTE(O439,".","")))</f>
        <v>Home Office</v>
      </c>
      <c r="Q439" s="3" t="s">
        <v>73</v>
      </c>
      <c r="R439" s="7" t="str">
        <f>PROPER(TRIM(SUBSTITUTE(Q439,"  "," ")))</f>
        <v>West</v>
      </c>
      <c r="S439" s="3" t="s">
        <v>249</v>
      </c>
      <c r="T439" s="6" t="str">
        <f>PROPER(TRIM(SUBSTITUTE(S439,"  "," ")))</f>
        <v>Goa</v>
      </c>
      <c r="U439" s="3" t="s">
        <v>250</v>
      </c>
      <c r="V439" s="6" t="str">
        <f>PROPER(TRIM(SUBSTITUTE(U439,"  "," ")))</f>
        <v>Panaji</v>
      </c>
      <c r="W439" s="3" t="s">
        <v>30</v>
      </c>
      <c r="X439" s="6" t="str">
        <f>PROPER(TRIM(SUBSTITUTE(W439,"  "," ")))</f>
        <v>Office Supplies</v>
      </c>
      <c r="Y439" s="3" t="s">
        <v>31</v>
      </c>
      <c r="Z439" s="6" t="str">
        <f>PROPER(TRIM(SUBSTITUTE(Y439,"  "," ")))</f>
        <v>Paper</v>
      </c>
      <c r="AA439" s="3" t="s">
        <v>3783</v>
      </c>
      <c r="AB439" s="3" t="s">
        <v>48</v>
      </c>
      <c r="AC439" s="6" t="str">
        <f>PROPER(TRIM(SUBSTITUTE(AB439,"  "," ")))</f>
        <v>Same Day</v>
      </c>
      <c r="AD439" s="3">
        <v>3</v>
      </c>
      <c r="AE439" s="3">
        <v>668.33</v>
      </c>
      <c r="AF439" s="3">
        <v>0.15</v>
      </c>
      <c r="AG439" s="17">
        <v>0.15</v>
      </c>
      <c r="AH439" s="6" t="str">
        <f t="shared" si="51"/>
        <v>Valid</v>
      </c>
      <c r="AI439" s="3">
        <v>1704.24</v>
      </c>
      <c r="AJ439" s="3">
        <v>957.55</v>
      </c>
      <c r="AK439" s="3">
        <v>746.69</v>
      </c>
      <c r="AL439" s="3" t="s">
        <v>34</v>
      </c>
      <c r="AM439" s="6" t="str">
        <f>PROPER(TRIM(SUBSTITUTE(AL439,".","")))</f>
        <v>Paid</v>
      </c>
      <c r="AN439" s="3" t="s">
        <v>35</v>
      </c>
      <c r="AO439" s="8" t="str">
        <f>PROPER(TRIM(SUBSTITUTE(AN439,".","")))</f>
        <v>Completed</v>
      </c>
      <c r="AP439" t="str">
        <f>IF(COUNTIF($A$2:$A$933, A439) &gt; 1, "Duplicate ID", "Unique")</f>
        <v>Unique</v>
      </c>
      <c r="AR439">
        <f t="shared" si="52"/>
        <v>1704.2415000000001</v>
      </c>
      <c r="AS439">
        <f t="shared" si="53"/>
        <v>746.69150000000013</v>
      </c>
      <c r="AT439" s="15">
        <f t="shared" si="54"/>
        <v>0.43813714194848563</v>
      </c>
      <c r="AU439" t="str">
        <f t="shared" si="55"/>
        <v>Warning</v>
      </c>
      <c r="AV439" s="8" t="str">
        <f t="shared" si="56"/>
        <v>Active</v>
      </c>
    </row>
    <row r="440" spans="1:48">
      <c r="A440" s="3" t="s">
        <v>1306</v>
      </c>
      <c r="B440" s="3" t="s">
        <v>820</v>
      </c>
      <c r="C440" s="9">
        <f>IFERROR(DATEVALUE(TEXT(B440,"DD/MM/YYYY")), IF(ISNUMBER(B440), B440, ""))</f>
        <v>45665</v>
      </c>
      <c r="D440" s="9" t="str">
        <f>IF(B440="","Missing", IF(AND(ISNUMBER(B440)=FALSE, C440=""),"Invalid - Could Not Parse", IF(AND(ISNUMBER(B440)=FALSE, C440&lt;&gt;""),"Text - Converted to Date", IF(ISNUMBER(B440),"Valid","Check"))))</f>
        <v>Text - Converted to Date</v>
      </c>
      <c r="E440" s="5">
        <f t="shared" si="49"/>
        <v>1</v>
      </c>
      <c r="F440" s="5">
        <f t="shared" si="50"/>
        <v>2025</v>
      </c>
      <c r="G440" s="3" t="s">
        <v>1307</v>
      </c>
      <c r="H440" s="9">
        <f>IFERROR(DATEVALUE(TEXT(G440,"DD/MM/YYYY")), IF(ISNUMBER(G440), G440, ""))</f>
        <v>45696</v>
      </c>
      <c r="I440" s="9" t="str">
        <f>IF(G440="","Missing", IF(AND(ISNUMBER(G440)=FALSE, H440=""),"Invalid - Could Not Parse", IF(AND(ISNUMBER(G440)=FALSE, H440&lt;&gt;""),"Text - Converted to Date", IF(ISNUMBER(G440),"Valid","Check"))))</f>
        <v>Text - Converted to Date</v>
      </c>
      <c r="J440" s="9" t="str">
        <f>IF(OR(C440="", H440=""), "Cannot Check - Date Missing", IF(H440&lt;C440, "Invalid - Ship Before Order", "Valid"))</f>
        <v>Valid</v>
      </c>
      <c r="K440" s="5">
        <f>IF(OR(C440="", H440=""), "", IF(H440&lt;C440, "", H440-C440))</f>
        <v>31</v>
      </c>
      <c r="L440" s="3" t="s">
        <v>1308</v>
      </c>
      <c r="M440" s="3" t="s">
        <v>40</v>
      </c>
      <c r="N440" s="4" t="str">
        <f>TRIM(SUBSTITUTE(M440,"_"," "))</f>
        <v>Mira Das</v>
      </c>
      <c r="O440" s="3" t="s">
        <v>108</v>
      </c>
      <c r="P440" s="6" t="str">
        <f>PROPER(TRIM(SUBSTITUTE(O440,".","")))</f>
        <v>Corporate</v>
      </c>
      <c r="Q440" s="3" t="s">
        <v>27</v>
      </c>
      <c r="R440" s="7" t="str">
        <f>PROPER(TRIM(SUBSTITUTE(Q440,"  "," ")))</f>
        <v>North</v>
      </c>
      <c r="S440" s="3" t="s">
        <v>28</v>
      </c>
      <c r="T440" s="6" t="str">
        <f>PROPER(TRIM(SUBSTITUTE(S440,"  "," ")))</f>
        <v>Rajasthan</v>
      </c>
      <c r="U440" s="3" t="s">
        <v>29</v>
      </c>
      <c r="V440" s="6" t="str">
        <f>PROPER(TRIM(SUBSTITUTE(U440,"  "," ")))</f>
        <v>Jaipur</v>
      </c>
      <c r="W440" s="3" t="s">
        <v>45</v>
      </c>
      <c r="X440" s="6" t="str">
        <f>PROPER(TRIM(SUBSTITUTE(W440,"  "," ")))</f>
        <v>Furniture</v>
      </c>
      <c r="Y440" s="3" t="s">
        <v>65</v>
      </c>
      <c r="Z440" s="6" t="str">
        <f>PROPER(TRIM(SUBSTITUTE(Y440,"  "," ")))</f>
        <v>Furnishings</v>
      </c>
      <c r="AA440" s="3" t="s">
        <v>1309</v>
      </c>
      <c r="AB440" s="3" t="s">
        <v>56</v>
      </c>
      <c r="AC440" s="6" t="str">
        <f>PROPER(TRIM(SUBSTITUTE(AB440,"  "," ")))</f>
        <v>First Class</v>
      </c>
      <c r="AD440" s="3">
        <v>4</v>
      </c>
      <c r="AE440" s="3">
        <v>2790.29</v>
      </c>
      <c r="AF440" s="3">
        <v>0.2</v>
      </c>
      <c r="AG440" s="17">
        <v>0.2</v>
      </c>
      <c r="AH440" s="6" t="str">
        <f t="shared" si="51"/>
        <v>Valid</v>
      </c>
      <c r="AI440" s="3">
        <v>8928.93</v>
      </c>
      <c r="AJ440" s="3">
        <v>5634.38</v>
      </c>
      <c r="AK440" s="3">
        <v>3294.55</v>
      </c>
      <c r="AL440" s="3" t="s">
        <v>34</v>
      </c>
      <c r="AM440" s="6" t="str">
        <f>PROPER(TRIM(SUBSTITUTE(AL440,".","")))</f>
        <v>Paid</v>
      </c>
      <c r="AN440" s="3" t="s">
        <v>35</v>
      </c>
      <c r="AO440" s="8" t="str">
        <f>PROPER(TRIM(SUBSTITUTE(AN440,".","")))</f>
        <v>Completed</v>
      </c>
      <c r="AP440" t="str">
        <f>IF(COUNTIF($A$2:$A$933, A440) &gt; 1, "Duplicate ID", "Unique")</f>
        <v>Unique</v>
      </c>
      <c r="AR440">
        <f t="shared" si="52"/>
        <v>8928.9279999999999</v>
      </c>
      <c r="AS440">
        <f t="shared" si="53"/>
        <v>3294.5479999999998</v>
      </c>
      <c r="AT440" s="15">
        <f t="shared" si="54"/>
        <v>0.36897464062875185</v>
      </c>
      <c r="AU440" t="str">
        <f t="shared" si="55"/>
        <v>Clean</v>
      </c>
      <c r="AV440" s="8" t="str">
        <f t="shared" si="56"/>
        <v>Active</v>
      </c>
    </row>
    <row r="441" spans="1:48">
      <c r="A441" s="3" t="s">
        <v>2021</v>
      </c>
      <c r="B441" s="3" t="s">
        <v>820</v>
      </c>
      <c r="C441" s="9">
        <f>IFERROR(DATEVALUE(TEXT(B441,"DD/MM/YYYY")), IF(ISNUMBER(B441), B441, ""))</f>
        <v>45665</v>
      </c>
      <c r="D441" s="9" t="str">
        <f>IF(B441="","Missing", IF(AND(ISNUMBER(B441)=FALSE, C441=""),"Invalid - Could Not Parse", IF(AND(ISNUMBER(B441)=FALSE, C441&lt;&gt;""),"Text - Converted to Date", IF(ISNUMBER(B441),"Valid","Check"))))</f>
        <v>Text - Converted to Date</v>
      </c>
      <c r="E441" s="5">
        <f t="shared" si="49"/>
        <v>1</v>
      </c>
      <c r="F441" s="5">
        <f t="shared" si="50"/>
        <v>2025</v>
      </c>
      <c r="G441" s="3" t="s">
        <v>1080</v>
      </c>
      <c r="H441" s="9">
        <f>IFERROR(DATEVALUE(TEXT(G441,"DD/MM/YYYY")), IF(ISNUMBER(G441), G441, ""))</f>
        <v>45724</v>
      </c>
      <c r="I441" s="9" t="str">
        <f>IF(G441="","Missing", IF(AND(ISNUMBER(G441)=FALSE, H441=""),"Invalid - Could Not Parse", IF(AND(ISNUMBER(G441)=FALSE, H441&lt;&gt;""),"Text - Converted to Date", IF(ISNUMBER(G441),"Valid","Check"))))</f>
        <v>Text - Converted to Date</v>
      </c>
      <c r="J441" s="9" t="str">
        <f>IF(OR(C441="", H441=""), "Cannot Check - Date Missing", IF(H441&lt;C441, "Invalid - Ship Before Order", "Valid"))</f>
        <v>Valid</v>
      </c>
      <c r="K441" s="5">
        <f>IF(OR(C441="", H441=""), "", IF(H441&lt;C441, "", H441-C441))</f>
        <v>59</v>
      </c>
      <c r="L441" s="3" t="s">
        <v>2022</v>
      </c>
      <c r="M441" s="3" t="s">
        <v>168</v>
      </c>
      <c r="N441" s="4" t="str">
        <f>TRIM(SUBSTITUTE(M441,"_"," "))</f>
        <v>Sneha Kapoor</v>
      </c>
      <c r="O441" s="3" t="s">
        <v>26</v>
      </c>
      <c r="P441" s="6" t="str">
        <f>PROPER(TRIM(SUBSTITUTE(O441,".","")))</f>
        <v>Consumer</v>
      </c>
      <c r="Q441" s="3" t="s">
        <v>73</v>
      </c>
      <c r="R441" s="7" t="str">
        <f>PROPER(TRIM(SUBSTITUTE(Q441,"  "," ")))</f>
        <v>West</v>
      </c>
      <c r="S441" s="3" t="s">
        <v>74</v>
      </c>
      <c r="T441" s="6" t="str">
        <f>PROPER(TRIM(SUBSTITUTE(S441,"  "," ")))</f>
        <v>Maharashtra</v>
      </c>
      <c r="U441" s="3" t="s">
        <v>75</v>
      </c>
      <c r="V441" s="6" t="str">
        <f>PROPER(TRIM(SUBSTITUTE(U441,"  "," ")))</f>
        <v>Mumbai</v>
      </c>
      <c r="W441" s="3" t="s">
        <v>45</v>
      </c>
      <c r="X441" s="6" t="str">
        <f>PROPER(TRIM(SUBSTITUTE(W441,"  "," ")))</f>
        <v>Furniture</v>
      </c>
      <c r="Y441" s="3" t="s">
        <v>76</v>
      </c>
      <c r="Z441" s="6" t="str">
        <f>PROPER(TRIM(SUBSTITUTE(Y441,"  "," ")))</f>
        <v>Chairs</v>
      </c>
      <c r="AA441" s="3" t="s">
        <v>2023</v>
      </c>
      <c r="AB441" s="3" t="s">
        <v>56</v>
      </c>
      <c r="AC441" s="6" t="str">
        <f>PROPER(TRIM(SUBSTITUTE(AB441,"  "," ")))</f>
        <v>First Class</v>
      </c>
      <c r="AD441" s="3">
        <v>4</v>
      </c>
      <c r="AE441" s="3">
        <v>1773.46</v>
      </c>
      <c r="AF441" s="3">
        <v>0</v>
      </c>
      <c r="AG441" s="17">
        <v>0</v>
      </c>
      <c r="AH441" s="6" t="str">
        <f t="shared" si="51"/>
        <v>Valid</v>
      </c>
      <c r="AI441" s="3">
        <v>7093.84</v>
      </c>
      <c r="AJ441" s="3">
        <v>4587.49</v>
      </c>
      <c r="AK441" s="3">
        <v>2506.35</v>
      </c>
      <c r="AL441" s="3" t="s">
        <v>200</v>
      </c>
      <c r="AM441" s="6" t="str">
        <f>PROPER(TRIM(SUBSTITUTE(AL441,".","")))</f>
        <v>Failed</v>
      </c>
      <c r="AN441" s="3" t="s">
        <v>125</v>
      </c>
      <c r="AO441" s="8" t="str">
        <f>PROPER(TRIM(SUBSTITUTE(AN441,".","")))</f>
        <v>Returned</v>
      </c>
      <c r="AP441" t="str">
        <f>IF(COUNTIF($A$2:$A$933, A441) &gt; 1, "Duplicate ID", "Unique")</f>
        <v>Unique</v>
      </c>
      <c r="AR441">
        <f t="shared" si="52"/>
        <v>7093.84</v>
      </c>
      <c r="AS441">
        <f t="shared" si="53"/>
        <v>2506.3500000000004</v>
      </c>
      <c r="AT441" s="15">
        <f t="shared" si="54"/>
        <v>0.35331357910525191</v>
      </c>
      <c r="AU441" t="str">
        <f t="shared" si="55"/>
        <v>Clean</v>
      </c>
      <c r="AV441" s="8" t="str">
        <f t="shared" si="56"/>
        <v>Active</v>
      </c>
    </row>
    <row r="442" spans="1:48">
      <c r="A442" s="3" t="s">
        <v>2054</v>
      </c>
      <c r="B442" s="3" t="s">
        <v>2055</v>
      </c>
      <c r="C442" s="9">
        <f>IFERROR(DATEVALUE(TEXT(B442,"DD/MM/YYYY")), IF(ISNUMBER(B442), B442, ""))</f>
        <v>45665</v>
      </c>
      <c r="D442" s="9" t="str">
        <f>IF(B442="","Missing", IF(AND(ISNUMBER(B442)=FALSE, C442=""),"Invalid - Could Not Parse", IF(AND(ISNUMBER(B442)=FALSE, C442&lt;&gt;""),"Text - Converted to Date", IF(ISNUMBER(B442),"Valid","Check"))))</f>
        <v>Text - Converted to Date</v>
      </c>
      <c r="E442" s="5">
        <f t="shared" si="49"/>
        <v>1</v>
      </c>
      <c r="F442" s="5">
        <f t="shared" si="50"/>
        <v>2025</v>
      </c>
      <c r="G442" s="3" t="s">
        <v>2056</v>
      </c>
      <c r="H442" s="9">
        <f>IFERROR(DATEVALUE(TEXT(G442,"DD/MM/YYYY")), IF(ISNUMBER(G442), G442, ""))</f>
        <v>45673</v>
      </c>
      <c r="I442" s="9" t="str">
        <f>IF(G442="","Missing", IF(AND(ISNUMBER(G442)=FALSE, H442=""),"Invalid - Could Not Parse", IF(AND(ISNUMBER(G442)=FALSE, H442&lt;&gt;""),"Text - Converted to Date", IF(ISNUMBER(G442),"Valid","Check"))))</f>
        <v>Text - Converted to Date</v>
      </c>
      <c r="J442" s="9" t="str">
        <f>IF(OR(C442="", H442=""), "Cannot Check - Date Missing", IF(H442&lt;C442, "Invalid - Ship Before Order", "Valid"))</f>
        <v>Valid</v>
      </c>
      <c r="K442" s="5">
        <f>IF(OR(C442="", H442=""), "", IF(H442&lt;C442, "", H442-C442))</f>
        <v>8</v>
      </c>
      <c r="L442" s="3" t="s">
        <v>2057</v>
      </c>
      <c r="M442" s="3" t="s">
        <v>93</v>
      </c>
      <c r="N442" s="4" t="str">
        <f>TRIM(SUBSTITUTE(M442,"_"," "))</f>
        <v>Neha Gupta</v>
      </c>
      <c r="O442" s="3" t="s">
        <v>26</v>
      </c>
      <c r="P442" s="6" t="str">
        <f>PROPER(TRIM(SUBSTITUTE(O442,".","")))</f>
        <v>Consumer</v>
      </c>
      <c r="Q442" s="3" t="s">
        <v>62</v>
      </c>
      <c r="R442" s="7" t="str">
        <f>PROPER(TRIM(SUBSTITUTE(Q442,"  "," ")))</f>
        <v>South</v>
      </c>
      <c r="S442" s="3" t="s">
        <v>63</v>
      </c>
      <c r="T442" s="6" t="str">
        <f>PROPER(TRIM(SUBSTITUTE(S442,"  "," ")))</f>
        <v>Telangana</v>
      </c>
      <c r="U442" s="3" t="s">
        <v>64</v>
      </c>
      <c r="V442" s="6" t="str">
        <f>PROPER(TRIM(SUBSTITUTE(U442,"  "," ")))</f>
        <v>Hyderabad</v>
      </c>
      <c r="W442" s="3" t="s">
        <v>45</v>
      </c>
      <c r="X442" s="6" t="str">
        <f>PROPER(TRIM(SUBSTITUTE(W442,"  "," ")))</f>
        <v>Furniture</v>
      </c>
      <c r="Y442" s="3" t="s">
        <v>65</v>
      </c>
      <c r="Z442" s="6" t="str">
        <f>PROPER(TRIM(SUBSTITUTE(Y442,"  "," ")))</f>
        <v>Furnishings</v>
      </c>
      <c r="AA442" s="3" t="s">
        <v>2058</v>
      </c>
      <c r="AB442" s="3" t="s">
        <v>56</v>
      </c>
      <c r="AC442" s="6" t="str">
        <f>PROPER(TRIM(SUBSTITUTE(AB442,"  "," ")))</f>
        <v>First Class</v>
      </c>
      <c r="AD442" s="3">
        <v>8</v>
      </c>
      <c r="AE442" s="3">
        <v>638.95000000000005</v>
      </c>
      <c r="AF442" s="3">
        <v>0.25</v>
      </c>
      <c r="AG442" s="17">
        <v>0.25</v>
      </c>
      <c r="AH442" s="6" t="str">
        <f t="shared" si="51"/>
        <v>Valid</v>
      </c>
      <c r="AI442" s="3">
        <v>3833.7</v>
      </c>
      <c r="AJ442" s="3">
        <v>2886.35</v>
      </c>
      <c r="AK442" s="3">
        <v>947.35</v>
      </c>
      <c r="AL442" s="3" t="s">
        <v>34</v>
      </c>
      <c r="AM442" s="6" t="str">
        <f>PROPER(TRIM(SUBSTITUTE(AL442,".","")))</f>
        <v>Paid</v>
      </c>
      <c r="AN442" s="3" t="s">
        <v>35</v>
      </c>
      <c r="AO442" s="8" t="str">
        <f>PROPER(TRIM(SUBSTITUTE(AN442,".","")))</f>
        <v>Completed</v>
      </c>
      <c r="AP442" t="str">
        <f>IF(COUNTIF($A$2:$A$933, A442) &gt; 1, "Duplicate ID", "Unique")</f>
        <v>Unique</v>
      </c>
      <c r="AR442">
        <f t="shared" si="52"/>
        <v>3833.7000000000003</v>
      </c>
      <c r="AS442">
        <f t="shared" si="53"/>
        <v>947.35000000000036</v>
      </c>
      <c r="AT442" s="15">
        <f t="shared" si="54"/>
        <v>0.24711114589039318</v>
      </c>
      <c r="AU442" t="str">
        <f t="shared" si="55"/>
        <v>Clean</v>
      </c>
      <c r="AV442" s="8" t="str">
        <f t="shared" si="56"/>
        <v>Active</v>
      </c>
    </row>
    <row r="443" spans="1:48">
      <c r="A443" s="3" t="s">
        <v>2900</v>
      </c>
      <c r="B443" s="3" t="s">
        <v>2055</v>
      </c>
      <c r="C443" s="9">
        <f>IFERROR(DATEVALUE(TEXT(B443,"DD/MM/YYYY")), IF(ISNUMBER(B443), B443, ""))</f>
        <v>45665</v>
      </c>
      <c r="D443" s="9" t="str">
        <f>IF(B443="","Missing", IF(AND(ISNUMBER(B443)=FALSE, C443=""),"Invalid - Could Not Parse", IF(AND(ISNUMBER(B443)=FALSE, C443&lt;&gt;""),"Text - Converted to Date", IF(ISNUMBER(B443),"Valid","Check"))))</f>
        <v>Text - Converted to Date</v>
      </c>
      <c r="E443" s="5">
        <f t="shared" si="49"/>
        <v>1</v>
      </c>
      <c r="F443" s="5">
        <f t="shared" si="50"/>
        <v>2025</v>
      </c>
      <c r="G443" s="3" t="s">
        <v>1176</v>
      </c>
      <c r="H443" s="9">
        <f>IFERROR(DATEVALUE(TEXT(G443,"DD/MM/YYYY")), IF(ISNUMBER(G443), G443, ""))</f>
        <v>45669</v>
      </c>
      <c r="I443" s="9" t="str">
        <f>IF(G443="","Missing", IF(AND(ISNUMBER(G443)=FALSE, H443=""),"Invalid - Could Not Parse", IF(AND(ISNUMBER(G443)=FALSE, H443&lt;&gt;""),"Text - Converted to Date", IF(ISNUMBER(G443),"Valid","Check"))))</f>
        <v>Text - Converted to Date</v>
      </c>
      <c r="J443" s="9" t="str">
        <f>IF(OR(C443="", H443=""), "Cannot Check - Date Missing", IF(H443&lt;C443, "Invalid - Ship Before Order", "Valid"))</f>
        <v>Valid</v>
      </c>
      <c r="K443" s="5">
        <f>IF(OR(C443="", H443=""), "", IF(H443&lt;C443, "", H443-C443))</f>
        <v>4</v>
      </c>
      <c r="L443" s="3" t="s">
        <v>2901</v>
      </c>
      <c r="M443" s="3" t="s">
        <v>168</v>
      </c>
      <c r="N443" s="4" t="str">
        <f>TRIM(SUBSTITUTE(M443,"_"," "))</f>
        <v>Sneha Kapoor</v>
      </c>
      <c r="O443" s="3" t="s">
        <v>115</v>
      </c>
      <c r="P443" s="6" t="str">
        <f>PROPER(TRIM(SUBSTITUTE(O443,".","")))</f>
        <v>Home Office</v>
      </c>
      <c r="Q443" s="3" t="s">
        <v>62</v>
      </c>
      <c r="R443" s="7" t="str">
        <f>PROPER(TRIM(SUBSTITUTE(Q443,"  "," ")))</f>
        <v>South</v>
      </c>
      <c r="S443" s="3" t="s">
        <v>229</v>
      </c>
      <c r="T443" s="6" t="str">
        <f>PROPER(TRIM(SUBSTITUTE(S443,"  "," ")))</f>
        <v>Karnataka</v>
      </c>
      <c r="U443" s="3" t="s">
        <v>230</v>
      </c>
      <c r="V443" s="6" t="str">
        <f>PROPER(TRIM(SUBSTITUTE(U443,"  "," ")))</f>
        <v>Bengaluru</v>
      </c>
      <c r="W443" s="3" t="s">
        <v>45</v>
      </c>
      <c r="X443" s="6" t="str">
        <f>PROPER(TRIM(SUBSTITUTE(W443,"  "," ")))</f>
        <v>Furniture</v>
      </c>
      <c r="Y443" s="3" t="s">
        <v>76</v>
      </c>
      <c r="Z443" s="6" t="str">
        <f>PROPER(TRIM(SUBSTITUTE(Y443,"  "," ")))</f>
        <v>Chairs</v>
      </c>
      <c r="AA443" s="3" t="s">
        <v>2902</v>
      </c>
      <c r="AB443" s="3" t="s">
        <v>67</v>
      </c>
      <c r="AC443" s="6" t="str">
        <f>PROPER(TRIM(SUBSTITUTE(AB443,"  "," ")))</f>
        <v>Standard Class</v>
      </c>
      <c r="AD443" s="3">
        <v>7</v>
      </c>
      <c r="AE443" s="3">
        <v>4337.4799999999996</v>
      </c>
      <c r="AF443" s="3">
        <v>0</v>
      </c>
      <c r="AG443" s="17">
        <v>0</v>
      </c>
      <c r="AH443" s="6" t="str">
        <f t="shared" si="51"/>
        <v>Valid</v>
      </c>
      <c r="AI443" s="3">
        <v>30362.36</v>
      </c>
      <c r="AJ443" s="3">
        <v>25065.4</v>
      </c>
      <c r="AK443" s="3">
        <v>5296.96</v>
      </c>
      <c r="AL443" s="3" t="s">
        <v>34</v>
      </c>
      <c r="AM443" s="6" t="str">
        <f>PROPER(TRIM(SUBSTITUTE(AL443,".","")))</f>
        <v>Paid</v>
      </c>
      <c r="AN443" s="3" t="s">
        <v>35</v>
      </c>
      <c r="AO443" s="8" t="str">
        <f>PROPER(TRIM(SUBSTITUTE(AN443,".","")))</f>
        <v>Completed</v>
      </c>
      <c r="AP443" t="str">
        <f>IF(COUNTIF($A$2:$A$933, A443) &gt; 1, "Duplicate ID", "Unique")</f>
        <v>Unique</v>
      </c>
      <c r="AR443">
        <f t="shared" si="52"/>
        <v>30362.359999999997</v>
      </c>
      <c r="AS443">
        <f t="shared" si="53"/>
        <v>5296.9599999999955</v>
      </c>
      <c r="AT443" s="15">
        <f t="shared" si="54"/>
        <v>0.17445811195177174</v>
      </c>
      <c r="AU443" t="str">
        <f t="shared" si="55"/>
        <v>Clean</v>
      </c>
      <c r="AV443" s="8" t="str">
        <f t="shared" si="56"/>
        <v>Active</v>
      </c>
    </row>
    <row r="444" spans="1:48">
      <c r="A444" s="3" t="s">
        <v>2292</v>
      </c>
      <c r="B444" s="3" t="s">
        <v>2293</v>
      </c>
      <c r="C444" s="9">
        <f>IFERROR(DATEVALUE(TEXT(B444,"DD/MM/YYYY")), IF(ISNUMBER(B444), B444, ""))</f>
        <v>45666</v>
      </c>
      <c r="D444" s="9" t="str">
        <f>IF(B444="","Missing", IF(AND(ISNUMBER(B444)=FALSE, C444=""),"Invalid - Could Not Parse", IF(AND(ISNUMBER(B444)=FALSE, C444&lt;&gt;""),"Text - Converted to Date", IF(ISNUMBER(B444),"Valid","Check"))))</f>
        <v>Text - Converted to Date</v>
      </c>
      <c r="E444" s="5">
        <f t="shared" si="49"/>
        <v>1</v>
      </c>
      <c r="F444" s="5">
        <f t="shared" si="50"/>
        <v>2025</v>
      </c>
      <c r="G444" s="3" t="s">
        <v>2294</v>
      </c>
      <c r="H444" s="9">
        <f>IFERROR(DATEVALUE(TEXT(G444,"DD/MM/YYYY")), IF(ISNUMBER(G444), G444, ""))</f>
        <v>45664</v>
      </c>
      <c r="I444" s="9" t="str">
        <f>IF(G444="","Missing", IF(AND(ISNUMBER(G444)=FALSE, H444=""),"Invalid - Could Not Parse", IF(AND(ISNUMBER(G444)=FALSE, H444&lt;&gt;""),"Text - Converted to Date", IF(ISNUMBER(G444),"Valid","Check"))))</f>
        <v>Text - Converted to Date</v>
      </c>
      <c r="J444" s="9" t="str">
        <f>IF(OR(C444="", H444=""), "Cannot Check - Date Missing", IF(H444&lt;C444, "Invalid - Ship Before Order", "Valid"))</f>
        <v>Invalid - Ship Before Order</v>
      </c>
      <c r="K444" s="5" t="str">
        <f>IF(OR(C444="", H444=""), "", IF(H444&lt;C444, "", H444-C444))</f>
        <v/>
      </c>
      <c r="L444" s="3" t="s">
        <v>2295</v>
      </c>
      <c r="M444" s="3" t="s">
        <v>162</v>
      </c>
      <c r="N444" s="4" t="str">
        <f>TRIM(SUBSTITUTE(M444,"_"," "))</f>
        <v>Aarav Sharma</v>
      </c>
      <c r="O444" s="3" t="s">
        <v>115</v>
      </c>
      <c r="P444" s="6" t="str">
        <f>PROPER(TRIM(SUBSTITUTE(O444,".","")))</f>
        <v>Home Office</v>
      </c>
      <c r="Q444" s="3" t="s">
        <v>42</v>
      </c>
      <c r="R444" s="7" t="str">
        <f>PROPER(TRIM(SUBSTITUTE(Q444,"  "," ")))</f>
        <v>East</v>
      </c>
      <c r="S444" s="3" t="s">
        <v>121</v>
      </c>
      <c r="T444" s="6" t="str">
        <f>PROPER(TRIM(SUBSTITUTE(S444,"  "," ")))</f>
        <v>West Bengal</v>
      </c>
      <c r="U444" s="3" t="s">
        <v>122</v>
      </c>
      <c r="V444" s="6" t="str">
        <f>PROPER(TRIM(SUBSTITUTE(U444,"  "," ")))</f>
        <v>Kolkata</v>
      </c>
      <c r="W444" s="3" t="s">
        <v>30</v>
      </c>
      <c r="X444" s="6" t="str">
        <f>PROPER(TRIM(SUBSTITUTE(W444,"  "," ")))</f>
        <v>Office Supplies</v>
      </c>
      <c r="Y444" s="3" t="s">
        <v>198</v>
      </c>
      <c r="Z444" s="6" t="str">
        <f>PROPER(TRIM(SUBSTITUTE(Y444,"  "," ")))</f>
        <v>Binders</v>
      </c>
      <c r="AA444" s="3" t="s">
        <v>2296</v>
      </c>
      <c r="AB444" s="3" t="s">
        <v>33</v>
      </c>
      <c r="AC444" s="6" t="str">
        <f>PROPER(TRIM(SUBSTITUTE(AB444,"  "," ")))</f>
        <v>Second Class</v>
      </c>
      <c r="AD444" s="3">
        <v>3</v>
      </c>
      <c r="AE444" s="3">
        <v>2188.33</v>
      </c>
      <c r="AF444" s="3">
        <v>0</v>
      </c>
      <c r="AG444" s="17">
        <v>0</v>
      </c>
      <c r="AH444" s="6" t="str">
        <f t="shared" si="51"/>
        <v>Valid</v>
      </c>
      <c r="AI444" s="3">
        <v>6564.99</v>
      </c>
      <c r="AJ444" s="3">
        <v>5407.24</v>
      </c>
      <c r="AK444" s="3">
        <v>1157.75</v>
      </c>
      <c r="AL444" s="3" t="s">
        <v>34</v>
      </c>
      <c r="AM444" s="6" t="str">
        <f>PROPER(TRIM(SUBSTITUTE(AL444,".","")))</f>
        <v>Paid</v>
      </c>
      <c r="AN444" s="3" t="s">
        <v>35</v>
      </c>
      <c r="AO444" s="8" t="str">
        <f>PROPER(TRIM(SUBSTITUTE(AN444,".","")))</f>
        <v>Completed</v>
      </c>
      <c r="AP444" t="str">
        <f>IF(COUNTIF($A$2:$A$933, A444) &gt; 1, "Duplicate ID", "Unique")</f>
        <v>Unique</v>
      </c>
      <c r="AR444">
        <f t="shared" si="52"/>
        <v>6564.99</v>
      </c>
      <c r="AS444">
        <f t="shared" si="53"/>
        <v>1157.75</v>
      </c>
      <c r="AT444" s="15">
        <f t="shared" si="54"/>
        <v>0.17635213458055535</v>
      </c>
      <c r="AU444" t="str">
        <f t="shared" si="55"/>
        <v>Invalid</v>
      </c>
      <c r="AV444" s="8" t="str">
        <f t="shared" si="56"/>
        <v>Active</v>
      </c>
    </row>
    <row r="445" spans="1:48">
      <c r="A445" s="3" t="s">
        <v>591</v>
      </c>
      <c r="B445" s="3" t="s">
        <v>592</v>
      </c>
      <c r="C445" s="9">
        <f>IFERROR(DATEVALUE(TEXT(B445,"DD/MM/YYYY")), IF(ISNUMBER(B445), B445, ""))</f>
        <v>45668</v>
      </c>
      <c r="D445" s="9" t="str">
        <f>IF(B445="","Missing", IF(AND(ISNUMBER(B445)=FALSE, C445=""),"Invalid - Could Not Parse", IF(AND(ISNUMBER(B445)=FALSE, C445&lt;&gt;""),"Text - Converted to Date", IF(ISNUMBER(B445),"Valid","Check"))))</f>
        <v>Text - Converted to Date</v>
      </c>
      <c r="E445" s="5">
        <f t="shared" si="49"/>
        <v>1</v>
      </c>
      <c r="F445" s="5">
        <f t="shared" si="50"/>
        <v>2025</v>
      </c>
      <c r="G445" s="3" t="s">
        <v>592</v>
      </c>
      <c r="H445" s="9">
        <f>IFERROR(DATEVALUE(TEXT(G445,"DD/MM/YYYY")), IF(ISNUMBER(G445), G445, ""))</f>
        <v>45668</v>
      </c>
      <c r="I445" s="9" t="str">
        <f>IF(G445="","Missing", IF(AND(ISNUMBER(G445)=FALSE, H445=""),"Invalid - Could Not Parse", IF(AND(ISNUMBER(G445)=FALSE, H445&lt;&gt;""),"Text - Converted to Date", IF(ISNUMBER(G445),"Valid","Check"))))</f>
        <v>Text - Converted to Date</v>
      </c>
      <c r="J445" s="9" t="str">
        <f>IF(OR(C445="", H445=""), "Cannot Check - Date Missing", IF(H445&lt;C445, "Invalid - Ship Before Order", "Valid"))</f>
        <v>Valid</v>
      </c>
      <c r="K445" s="5">
        <f>IF(OR(C445="", H445=""), "", IF(H445&lt;C445, "", H445-C445))</f>
        <v>0</v>
      </c>
      <c r="L445" s="3" t="s">
        <v>593</v>
      </c>
      <c r="M445" s="3" t="s">
        <v>107</v>
      </c>
      <c r="N445" s="4" t="str">
        <f>TRIM(SUBSTITUTE(M445,"_"," "))</f>
        <v>Aditi Sen</v>
      </c>
      <c r="O445" s="3" t="s">
        <v>41</v>
      </c>
      <c r="P445" s="6" t="str">
        <f>PROPER(TRIM(SUBSTITUTE(O445,".","")))</f>
        <v>Small Business</v>
      </c>
      <c r="Q445" s="3" t="s">
        <v>73</v>
      </c>
      <c r="R445" s="7" t="str">
        <f>PROPER(TRIM(SUBSTITUTE(Q445,"  "," ")))</f>
        <v>West</v>
      </c>
      <c r="S445" s="3" t="s">
        <v>28</v>
      </c>
      <c r="T445" s="6" t="str">
        <f>PROPER(TRIM(SUBSTITUTE(S445,"  "," ")))</f>
        <v>Rajasthan</v>
      </c>
      <c r="U445" s="3" t="s">
        <v>135</v>
      </c>
      <c r="V445" s="6" t="str">
        <f>PROPER(TRIM(SUBSTITUTE(U445,"  "," ")))</f>
        <v>Udaipur</v>
      </c>
      <c r="W445" s="3" t="s">
        <v>86</v>
      </c>
      <c r="X445" s="6" t="str">
        <f>PROPER(TRIM(SUBSTITUTE(W445,"  "," ")))</f>
        <v>Technology</v>
      </c>
      <c r="Y445" s="3" t="s">
        <v>87</v>
      </c>
      <c r="Z445" s="6" t="str">
        <f>PROPER(TRIM(SUBSTITUTE(Y445,"  "," ")))</f>
        <v>Accessories</v>
      </c>
      <c r="AA445" s="3" t="s">
        <v>594</v>
      </c>
      <c r="AB445" s="3" t="s">
        <v>48</v>
      </c>
      <c r="AC445" s="6" t="str">
        <f>PROPER(TRIM(SUBSTITUTE(AB445,"  "," ")))</f>
        <v>Same Day</v>
      </c>
      <c r="AD445" s="3">
        <v>3</v>
      </c>
      <c r="AE445" s="3">
        <v>2165.29</v>
      </c>
      <c r="AF445" s="3">
        <v>0</v>
      </c>
      <c r="AG445" s="17">
        <v>0</v>
      </c>
      <c r="AH445" s="6" t="str">
        <f t="shared" si="51"/>
        <v>Valid</v>
      </c>
      <c r="AI445" s="3">
        <v>6495.87</v>
      </c>
      <c r="AJ445" s="3">
        <v>4700.8900000000003</v>
      </c>
      <c r="AK445" s="3">
        <v>1794.98</v>
      </c>
      <c r="AL445" s="3" t="s">
        <v>34</v>
      </c>
      <c r="AM445" s="6" t="str">
        <f>PROPER(TRIM(SUBSTITUTE(AL445,".","")))</f>
        <v>Paid</v>
      </c>
      <c r="AN445" s="3" t="s">
        <v>35</v>
      </c>
      <c r="AO445" s="8" t="str">
        <f>PROPER(TRIM(SUBSTITUTE(AN445,".","")))</f>
        <v>Completed</v>
      </c>
      <c r="AP445" t="str">
        <f>IF(COUNTIF($A$2:$A$933, A445) &gt; 1, "Duplicate ID", "Unique")</f>
        <v>Unique</v>
      </c>
      <c r="AR445">
        <f t="shared" si="52"/>
        <v>6495.87</v>
      </c>
      <c r="AS445">
        <f t="shared" si="53"/>
        <v>1794.9799999999996</v>
      </c>
      <c r="AT445" s="15">
        <f t="shared" si="54"/>
        <v>0.27632634273777024</v>
      </c>
      <c r="AU445" t="str">
        <f t="shared" si="55"/>
        <v>Clean</v>
      </c>
      <c r="AV445" s="8" t="str">
        <f t="shared" si="56"/>
        <v>Active</v>
      </c>
    </row>
    <row r="446" spans="1:48">
      <c r="A446" s="3" t="s">
        <v>1175</v>
      </c>
      <c r="B446" s="3" t="s">
        <v>1176</v>
      </c>
      <c r="C446" s="9">
        <f>IFERROR(DATEVALUE(TEXT(B446,"DD/MM/YYYY")), IF(ISNUMBER(B446), B446, ""))</f>
        <v>45669</v>
      </c>
      <c r="D446" s="9" t="str">
        <f>IF(B446="","Missing", IF(AND(ISNUMBER(B446)=FALSE, C446=""),"Invalid - Could Not Parse", IF(AND(ISNUMBER(B446)=FALSE, C446&lt;&gt;""),"Text - Converted to Date", IF(ISNUMBER(B446),"Valid","Check"))))</f>
        <v>Text - Converted to Date</v>
      </c>
      <c r="E446" s="5">
        <f t="shared" si="49"/>
        <v>1</v>
      </c>
      <c r="F446" s="5">
        <f t="shared" si="50"/>
        <v>2025</v>
      </c>
      <c r="G446" s="3" t="s">
        <v>1177</v>
      </c>
      <c r="H446" s="9">
        <f>IFERROR(DATEVALUE(TEXT(G446,"DD/MM/YYYY")), IF(ISNUMBER(G446), G446, ""))</f>
        <v>45672</v>
      </c>
      <c r="I446" s="9" t="str">
        <f>IF(G446="","Missing", IF(AND(ISNUMBER(G446)=FALSE, H446=""),"Invalid - Could Not Parse", IF(AND(ISNUMBER(G446)=FALSE, H446&lt;&gt;""),"Text - Converted to Date", IF(ISNUMBER(G446),"Valid","Check"))))</f>
        <v>Text - Converted to Date</v>
      </c>
      <c r="J446" s="9" t="str">
        <f>IF(OR(C446="", H446=""), "Cannot Check - Date Missing", IF(H446&lt;C446, "Invalid - Ship Before Order", "Valid"))</f>
        <v>Valid</v>
      </c>
      <c r="K446" s="5">
        <f>IF(OR(C446="", H446=""), "", IF(H446&lt;C446, "", H446-C446))</f>
        <v>3</v>
      </c>
      <c r="L446" s="3" t="s">
        <v>1178</v>
      </c>
      <c r="M446" s="3" t="s">
        <v>40</v>
      </c>
      <c r="N446" s="4" t="str">
        <f>TRIM(SUBSTITUTE(M446,"_"," "))</f>
        <v>Mira Das</v>
      </c>
      <c r="O446" s="3" t="s">
        <v>108</v>
      </c>
      <c r="P446" s="6" t="str">
        <f>PROPER(TRIM(SUBSTITUTE(O446,".","")))</f>
        <v>Corporate</v>
      </c>
      <c r="Q446" s="3" t="s">
        <v>62</v>
      </c>
      <c r="R446" s="7" t="str">
        <f>PROPER(TRIM(SUBSTITUTE(Q446,"  "," ")))</f>
        <v>South</v>
      </c>
      <c r="S446" s="3" t="s">
        <v>229</v>
      </c>
      <c r="T446" s="6" t="str">
        <f>PROPER(TRIM(SUBSTITUTE(S446,"  "," ")))</f>
        <v>Karnataka</v>
      </c>
      <c r="U446" s="3" t="s">
        <v>230</v>
      </c>
      <c r="V446" s="6" t="str">
        <f>PROPER(TRIM(SUBSTITUTE(U446,"  "," ")))</f>
        <v>Bengaluru</v>
      </c>
      <c r="W446" s="3" t="s">
        <v>45</v>
      </c>
      <c r="X446" s="6" t="str">
        <f>PROPER(TRIM(SUBSTITUTE(W446,"  "," ")))</f>
        <v>Furniture</v>
      </c>
      <c r="Y446" s="3" t="s">
        <v>76</v>
      </c>
      <c r="Z446" s="6" t="str">
        <f>PROPER(TRIM(SUBSTITUTE(Y446,"  "," ")))</f>
        <v>Chairs</v>
      </c>
      <c r="AA446" s="3" t="s">
        <v>1179</v>
      </c>
      <c r="AB446" s="3" t="s">
        <v>48</v>
      </c>
      <c r="AC446" s="6" t="str">
        <f>PROPER(TRIM(SUBSTITUTE(AB446,"  "," ")))</f>
        <v>Same Day</v>
      </c>
      <c r="AD446" s="3">
        <v>4</v>
      </c>
      <c r="AE446" s="3">
        <v>1531.53</v>
      </c>
      <c r="AF446" s="3">
        <v>0.2</v>
      </c>
      <c r="AG446" s="17">
        <v>0.2</v>
      </c>
      <c r="AH446" s="6" t="str">
        <f t="shared" si="51"/>
        <v>Valid</v>
      </c>
      <c r="AI446" s="3">
        <v>4900.8999999999996</v>
      </c>
      <c r="AJ446" s="3">
        <v>3552.69</v>
      </c>
      <c r="AK446" s="3">
        <v>1348.21</v>
      </c>
      <c r="AL446" s="3" t="s">
        <v>34</v>
      </c>
      <c r="AM446" s="6" t="str">
        <f>PROPER(TRIM(SUBSTITUTE(AL446,".","")))</f>
        <v>Paid</v>
      </c>
      <c r="AN446" s="3" t="s">
        <v>35</v>
      </c>
      <c r="AO446" s="8" t="str">
        <f>PROPER(TRIM(SUBSTITUTE(AN446,".","")))</f>
        <v>Completed</v>
      </c>
      <c r="AP446" t="str">
        <f>IF(COUNTIF($A$2:$A$933, A446) &gt; 1, "Duplicate ID", "Unique")</f>
        <v>Unique</v>
      </c>
      <c r="AR446">
        <f t="shared" si="52"/>
        <v>4900.8959999999997</v>
      </c>
      <c r="AS446">
        <f t="shared" si="53"/>
        <v>1348.2059999999997</v>
      </c>
      <c r="AT446" s="15">
        <f t="shared" si="54"/>
        <v>0.27509377877024932</v>
      </c>
      <c r="AU446" t="str">
        <f t="shared" si="55"/>
        <v>Clean</v>
      </c>
      <c r="AV446" s="8" t="str">
        <f t="shared" si="56"/>
        <v>Active</v>
      </c>
    </row>
    <row r="447" spans="1:48">
      <c r="A447" s="3" t="s">
        <v>2177</v>
      </c>
      <c r="B447" s="3" t="s">
        <v>2178</v>
      </c>
      <c r="C447" s="9">
        <f>IFERROR(DATEVALUE(TEXT(B447,"DD/MM/YYYY")), IF(ISNUMBER(B447), B447, ""))</f>
        <v>45669</v>
      </c>
      <c r="D447" s="9" t="str">
        <f>IF(B447="","Missing", IF(AND(ISNUMBER(B447)=FALSE, C447=""),"Invalid - Could Not Parse", IF(AND(ISNUMBER(B447)=FALSE, C447&lt;&gt;""),"Text - Converted to Date", IF(ISNUMBER(B447),"Valid","Check"))))</f>
        <v>Text - Converted to Date</v>
      </c>
      <c r="E447" s="5">
        <f t="shared" si="49"/>
        <v>1</v>
      </c>
      <c r="F447" s="5">
        <f t="shared" si="50"/>
        <v>2025</v>
      </c>
      <c r="G447" s="3" t="s">
        <v>2179</v>
      </c>
      <c r="H447" s="9">
        <f>IFERROR(DATEVALUE(TEXT(G447,"DD/MM/YYYY")), IF(ISNUMBER(G447), G447, ""))</f>
        <v>45676</v>
      </c>
      <c r="I447" s="9" t="str">
        <f>IF(G447="","Missing", IF(AND(ISNUMBER(G447)=FALSE, H447=""),"Invalid - Could Not Parse", IF(AND(ISNUMBER(G447)=FALSE, H447&lt;&gt;""),"Text - Converted to Date", IF(ISNUMBER(G447),"Valid","Check"))))</f>
        <v>Text - Converted to Date</v>
      </c>
      <c r="J447" s="9" t="str">
        <f>IF(OR(C447="", H447=""), "Cannot Check - Date Missing", IF(H447&lt;C447, "Invalid - Ship Before Order", "Valid"))</f>
        <v>Valid</v>
      </c>
      <c r="K447" s="5">
        <f>IF(OR(C447="", H447=""), "", IF(H447&lt;C447, "", H447-C447))</f>
        <v>7</v>
      </c>
      <c r="L447" s="3" t="s">
        <v>2180</v>
      </c>
      <c r="M447" s="3" t="s">
        <v>162</v>
      </c>
      <c r="N447" s="4" t="str">
        <f>TRIM(SUBSTITUTE(M447,"_"," "))</f>
        <v>Aarav Sharma</v>
      </c>
      <c r="O447" s="3" t="s">
        <v>26</v>
      </c>
      <c r="P447" s="6" t="str">
        <f>PROPER(TRIM(SUBSTITUTE(O447,".","")))</f>
        <v>Consumer</v>
      </c>
      <c r="Q447" s="3" t="s">
        <v>42</v>
      </c>
      <c r="R447" s="7" t="str">
        <f>PROPER(TRIM(SUBSTITUTE(Q447,"  "," ")))</f>
        <v>East</v>
      </c>
      <c r="S447" s="3" t="s">
        <v>311</v>
      </c>
      <c r="T447" s="6" t="str">
        <f>PROPER(TRIM(SUBSTITUTE(S447,"  "," ")))</f>
        <v>Jharkhand</v>
      </c>
      <c r="U447" s="3" t="s">
        <v>312</v>
      </c>
      <c r="V447" s="6" t="str">
        <f>PROPER(TRIM(SUBSTITUTE(U447,"  "," ")))</f>
        <v>Ranchi</v>
      </c>
      <c r="W447" s="3" t="s">
        <v>45</v>
      </c>
      <c r="X447" s="6" t="str">
        <f>PROPER(TRIM(SUBSTITUTE(W447,"  "," ")))</f>
        <v>Furniture</v>
      </c>
      <c r="Y447" s="3" t="s">
        <v>46</v>
      </c>
      <c r="Z447" s="6" t="str">
        <f>PROPER(TRIM(SUBSTITUTE(Y447,"  "," ")))</f>
        <v>Tables</v>
      </c>
      <c r="AA447" s="3" t="s">
        <v>2181</v>
      </c>
      <c r="AB447" s="3" t="s">
        <v>56</v>
      </c>
      <c r="AC447" s="6" t="str">
        <f>PROPER(TRIM(SUBSTITUTE(AB447,"  "," ")))</f>
        <v>First Class</v>
      </c>
      <c r="AD447" s="3">
        <v>1</v>
      </c>
      <c r="AE447" s="3">
        <v>1842.31</v>
      </c>
      <c r="AF447" s="3">
        <v>0</v>
      </c>
      <c r="AG447" s="17">
        <v>0</v>
      </c>
      <c r="AH447" s="6" t="str">
        <f t="shared" si="51"/>
        <v>Valid</v>
      </c>
      <c r="AI447" s="3">
        <v>1842.31</v>
      </c>
      <c r="AJ447" s="3">
        <v>1019.17</v>
      </c>
      <c r="AK447" s="3">
        <v>823.14</v>
      </c>
      <c r="AL447" s="3" t="s">
        <v>34</v>
      </c>
      <c r="AM447" s="6" t="str">
        <f>PROPER(TRIM(SUBSTITUTE(AL447,".","")))</f>
        <v>Paid</v>
      </c>
      <c r="AN447" s="3" t="s">
        <v>35</v>
      </c>
      <c r="AO447" s="8" t="str">
        <f>PROPER(TRIM(SUBSTITUTE(AN447,".","")))</f>
        <v>Completed</v>
      </c>
      <c r="AP447" t="str">
        <f>IF(COUNTIF($A$2:$A$933, A447) &gt; 1, "Duplicate ID", "Unique")</f>
        <v>Unique</v>
      </c>
      <c r="AR447">
        <f t="shared" si="52"/>
        <v>1842.31</v>
      </c>
      <c r="AS447">
        <f t="shared" si="53"/>
        <v>823.14</v>
      </c>
      <c r="AT447" s="15">
        <f t="shared" si="54"/>
        <v>0.44679777019068451</v>
      </c>
      <c r="AU447" t="str">
        <f t="shared" si="55"/>
        <v>Clean</v>
      </c>
      <c r="AV447" s="8" t="str">
        <f t="shared" si="56"/>
        <v>Active</v>
      </c>
    </row>
    <row r="448" spans="1:48">
      <c r="A448" s="3" t="s">
        <v>3135</v>
      </c>
      <c r="B448" s="3" t="s">
        <v>3136</v>
      </c>
      <c r="C448" s="9">
        <f>IFERROR(DATEVALUE(TEXT(B448,"DD/MM/YYYY")), IF(ISNUMBER(B448), B448, ""))</f>
        <v>45670</v>
      </c>
      <c r="D448" s="9" t="str">
        <f>IF(B448="","Missing", IF(AND(ISNUMBER(B448)=FALSE, C448=""),"Invalid - Could Not Parse", IF(AND(ISNUMBER(B448)=FALSE, C448&lt;&gt;""),"Text - Converted to Date", IF(ISNUMBER(B448),"Valid","Check"))))</f>
        <v>Text - Converted to Date</v>
      </c>
      <c r="E448" s="5">
        <f t="shared" si="49"/>
        <v>1</v>
      </c>
      <c r="F448" s="5">
        <f t="shared" si="50"/>
        <v>2025</v>
      </c>
      <c r="G448" s="3" t="s">
        <v>3137</v>
      </c>
      <c r="H448" s="9">
        <f>IFERROR(DATEVALUE(MID(G448,4,2) &amp; "/" &amp; LEFT(G448,2) &amp; "/" &amp; RIGHT(G448,4)), IF(ISNUMBER(G448), G448, IFERROR(DATEVALUE(G448), "")))</f>
        <v>45670</v>
      </c>
      <c r="I448" s="9" t="str">
        <f>IF(G448="","Missing", IF(AND(ISNUMBER(G448)=FALSE, H448=""),"Invalid - Could Not Parse", IF(AND(ISNUMBER(G448)=FALSE, H448&lt;&gt;""),"Text - Converted to Date", IF(ISNUMBER(G448),"Valid","Check"))))</f>
        <v>Text - Converted to Date</v>
      </c>
      <c r="J448" s="9" t="str">
        <f>IF(OR(C448="", H448=""), "Cannot Check - Date Missing", IF(H448&lt;C448, "Invalid - Ship Before Order", "Valid"))</f>
        <v>Valid</v>
      </c>
      <c r="K448" s="5">
        <f>IF(OR(C448="", H448=""), "", IF(H448&lt;C448, "", H448-C448))</f>
        <v>0</v>
      </c>
      <c r="L448" s="3" t="s">
        <v>3138</v>
      </c>
      <c r="M448" s="3" t="s">
        <v>148</v>
      </c>
      <c r="N448" s="4" t="str">
        <f>TRIM(SUBSTITUTE(M448,"_"," "))</f>
        <v>Rahul Verma</v>
      </c>
      <c r="O448" s="3" t="s">
        <v>115</v>
      </c>
      <c r="P448" s="6" t="str">
        <f>PROPER(TRIM(SUBSTITUTE(O448,".","")))</f>
        <v>Home Office</v>
      </c>
      <c r="Q448" s="3" t="s">
        <v>73</v>
      </c>
      <c r="R448" s="7" t="str">
        <f>PROPER(TRIM(SUBSTITUTE(Q448,"  "," ")))</f>
        <v>West</v>
      </c>
      <c r="S448" s="3" t="s">
        <v>235</v>
      </c>
      <c r="T448" s="6" t="str">
        <f>PROPER(TRIM(SUBSTITUTE(S448,"  "," ")))</f>
        <v>Gujarat</v>
      </c>
      <c r="U448" s="3" t="s">
        <v>236</v>
      </c>
      <c r="V448" s="6" t="str">
        <f>PROPER(TRIM(SUBSTITUTE(U448,"  "," ")))</f>
        <v>Ahmedabad</v>
      </c>
      <c r="W448" s="3" t="s">
        <v>30</v>
      </c>
      <c r="X448" s="6" t="str">
        <f>PROPER(TRIM(SUBSTITUTE(W448,"  "," ")))</f>
        <v>Office Supplies</v>
      </c>
      <c r="Y448" s="3" t="s">
        <v>54</v>
      </c>
      <c r="Z448" s="6" t="str">
        <f>PROPER(TRIM(SUBSTITUTE(Y448,"  "," ")))</f>
        <v>Art</v>
      </c>
      <c r="AA448" s="3" t="s">
        <v>3139</v>
      </c>
      <c r="AB448" s="3" t="s">
        <v>67</v>
      </c>
      <c r="AC448" s="6" t="str">
        <f>PROPER(TRIM(SUBSTITUTE(AB448,"  "," ")))</f>
        <v>Standard Class</v>
      </c>
      <c r="AD448" s="3">
        <v>3</v>
      </c>
      <c r="AE448" s="3">
        <v>2110.52</v>
      </c>
      <c r="AF448" s="3">
        <v>0.1</v>
      </c>
      <c r="AG448" s="17">
        <v>0.1</v>
      </c>
      <c r="AH448" s="6" t="str">
        <f t="shared" si="51"/>
        <v>Valid</v>
      </c>
      <c r="AI448" s="3">
        <v>5698.4</v>
      </c>
      <c r="AJ448" s="3">
        <v>3640.89</v>
      </c>
      <c r="AK448" s="3">
        <v>2057.5100000000002</v>
      </c>
      <c r="AL448" s="3" t="s">
        <v>200</v>
      </c>
      <c r="AM448" s="6" t="str">
        <f>PROPER(TRIM(SUBSTITUTE(AL448,".","")))</f>
        <v>Failed</v>
      </c>
      <c r="AN448" s="3" t="s">
        <v>78</v>
      </c>
      <c r="AO448" s="8" t="str">
        <f>PROPER(TRIM(SUBSTITUTE(AN448,".","")))</f>
        <v>Cancelled</v>
      </c>
      <c r="AP448" t="str">
        <f>IF(COUNTIF($A$2:$A$933, A448) &gt; 1, "Duplicate ID", "Unique")</f>
        <v>Unique</v>
      </c>
      <c r="AR448">
        <f t="shared" si="52"/>
        <v>5698.4039999999995</v>
      </c>
      <c r="AS448">
        <f t="shared" si="53"/>
        <v>2057.5139999999997</v>
      </c>
      <c r="AT448" s="15">
        <f t="shared" si="54"/>
        <v>0.36106846759197836</v>
      </c>
      <c r="AU448" t="str">
        <f t="shared" si="55"/>
        <v>Clean</v>
      </c>
      <c r="AV448" s="8" t="str">
        <f t="shared" si="56"/>
        <v>Cancelled</v>
      </c>
    </row>
    <row r="449" spans="1:48">
      <c r="A449" s="3" t="s">
        <v>3030</v>
      </c>
      <c r="B449" s="3" t="s">
        <v>3031</v>
      </c>
      <c r="C449" s="9">
        <f>IFERROR(DATEVALUE(TEXT(B449,"DD/MM/YYYY")), IF(ISNUMBER(B449), B449, ""))</f>
        <v>45671</v>
      </c>
      <c r="D449" s="9" t="str">
        <f>IF(B449="","Missing", IF(AND(ISNUMBER(B449)=FALSE, C449=""),"Invalid - Could Not Parse", IF(AND(ISNUMBER(B449)=FALSE, C449&lt;&gt;""),"Text - Converted to Date", IF(ISNUMBER(B449),"Valid","Check"))))</f>
        <v>Text - Converted to Date</v>
      </c>
      <c r="E449" s="5">
        <f t="shared" si="49"/>
        <v>1</v>
      </c>
      <c r="F449" s="5">
        <f t="shared" si="50"/>
        <v>2025</v>
      </c>
      <c r="G449" s="3" t="s">
        <v>3032</v>
      </c>
      <c r="H449" s="9">
        <f>IFERROR(DATEVALUE(TEXT(G449,"DD/MM/YYYY")), IF(ISNUMBER(G449), G449, ""))</f>
        <v>45674</v>
      </c>
      <c r="I449" s="9" t="str">
        <f>IF(G449="","Missing", IF(AND(ISNUMBER(G449)=FALSE, H449=""),"Invalid - Could Not Parse", IF(AND(ISNUMBER(G449)=FALSE, H449&lt;&gt;""),"Text - Converted to Date", IF(ISNUMBER(G449),"Valid","Check"))))</f>
        <v>Text - Converted to Date</v>
      </c>
      <c r="J449" s="9" t="str">
        <f>IF(OR(C449="", H449=""), "Cannot Check - Date Missing", IF(H449&lt;C449, "Invalid - Ship Before Order", "Valid"))</f>
        <v>Valid</v>
      </c>
      <c r="K449" s="5">
        <f>IF(OR(C449="", H449=""), "", IF(H449&lt;C449, "", H449-C449))</f>
        <v>3</v>
      </c>
      <c r="L449" s="3" t="s">
        <v>3033</v>
      </c>
      <c r="M449" s="3" t="s">
        <v>83</v>
      </c>
      <c r="N449" s="4" t="str">
        <f>TRIM(SUBSTITUTE(M449,"_"," "))</f>
        <v>Vikram Iyer</v>
      </c>
      <c r="O449" s="3" t="s">
        <v>26</v>
      </c>
      <c r="P449" s="6" t="str">
        <f>PROPER(TRIM(SUBSTITUTE(O449,".","")))</f>
        <v>Consumer</v>
      </c>
      <c r="Q449" s="3" t="s">
        <v>73</v>
      </c>
      <c r="R449" s="7" t="str">
        <f>PROPER(TRIM(SUBSTITUTE(Q449,"  "," ")))</f>
        <v>West</v>
      </c>
      <c r="S449" s="3" t="s">
        <v>249</v>
      </c>
      <c r="T449" s="6" t="str">
        <f>PROPER(TRIM(SUBSTITUTE(S449,"  "," ")))</f>
        <v>Goa</v>
      </c>
      <c r="U449" s="3" t="s">
        <v>250</v>
      </c>
      <c r="V449" s="6" t="str">
        <f>PROPER(TRIM(SUBSTITUTE(U449,"  "," ")))</f>
        <v>Panaji</v>
      </c>
      <c r="W449" s="3" t="s">
        <v>30</v>
      </c>
      <c r="X449" s="6" t="str">
        <f>PROPER(TRIM(SUBSTITUTE(W449,"  "," ")))</f>
        <v>Office Supplies</v>
      </c>
      <c r="Y449" s="3" t="s">
        <v>156</v>
      </c>
      <c r="Z449" s="6" t="str">
        <f>PROPER(TRIM(SUBSTITUTE(Y449,"  "," ")))</f>
        <v>Storage</v>
      </c>
      <c r="AA449" s="3" t="s">
        <v>3034</v>
      </c>
      <c r="AB449" s="3" t="s">
        <v>56</v>
      </c>
      <c r="AC449" s="6" t="str">
        <f>PROPER(TRIM(SUBSTITUTE(AB449,"  "," ")))</f>
        <v>First Class</v>
      </c>
      <c r="AD449" s="3">
        <v>1</v>
      </c>
      <c r="AE449" s="3">
        <v>1584.12</v>
      </c>
      <c r="AF449" s="3">
        <v>0.2</v>
      </c>
      <c r="AG449" s="17">
        <v>0.2</v>
      </c>
      <c r="AH449" s="6" t="str">
        <f t="shared" si="51"/>
        <v>Valid</v>
      </c>
      <c r="AI449" s="3">
        <v>1267.3</v>
      </c>
      <c r="AJ449" s="3">
        <v>923.53</v>
      </c>
      <c r="AK449" s="3">
        <v>343.77</v>
      </c>
      <c r="AL449" s="3" t="s">
        <v>34</v>
      </c>
      <c r="AM449" s="6" t="str">
        <f>PROPER(TRIM(SUBSTITUTE(AL449,".","")))</f>
        <v>Paid</v>
      </c>
      <c r="AN449" s="3" t="s">
        <v>35</v>
      </c>
      <c r="AO449" s="8" t="str">
        <f>PROPER(TRIM(SUBSTITUTE(AN449,".","")))</f>
        <v>Completed</v>
      </c>
      <c r="AP449" t="str">
        <f>IF(COUNTIF($A$2:$A$933, A449) &gt; 1, "Duplicate ID", "Unique")</f>
        <v>Unique</v>
      </c>
      <c r="AR449">
        <f t="shared" si="52"/>
        <v>1267.296</v>
      </c>
      <c r="AS449">
        <f t="shared" si="53"/>
        <v>343.76600000000008</v>
      </c>
      <c r="AT449" s="15">
        <f t="shared" si="54"/>
        <v>0.27125943741635739</v>
      </c>
      <c r="AU449" t="str">
        <f t="shared" si="55"/>
        <v>Clean</v>
      </c>
      <c r="AV449" s="8" t="str">
        <f t="shared" si="56"/>
        <v>Active</v>
      </c>
    </row>
    <row r="450" spans="1:48">
      <c r="A450" s="3" t="s">
        <v>1835</v>
      </c>
      <c r="B450" s="3" t="s">
        <v>1836</v>
      </c>
      <c r="C450" s="9">
        <f>IFERROR(DATEVALUE(TEXT(B450,"DD/MM/YYYY")), IF(ISNUMBER(B450), B450, ""))</f>
        <v>45673</v>
      </c>
      <c r="D450" s="9" t="str">
        <f>IF(B450="","Missing", IF(AND(ISNUMBER(B450)=FALSE, C450=""),"Invalid - Could Not Parse", IF(AND(ISNUMBER(B450)=FALSE, C450&lt;&gt;""),"Text - Converted to Date", IF(ISNUMBER(B450),"Valid","Check"))))</f>
        <v>Text - Converted to Date</v>
      </c>
      <c r="E450" s="5">
        <f t="shared" si="49"/>
        <v>1</v>
      </c>
      <c r="F450" s="5">
        <f t="shared" si="50"/>
        <v>2025</v>
      </c>
      <c r="G450" s="3" t="s">
        <v>1837</v>
      </c>
      <c r="H450" s="9">
        <f>IFERROR(DATEVALUE(TEXT(G450,"DD/MM/YYYY")), IF(ISNUMBER(G450), G450, ""))</f>
        <v>45679</v>
      </c>
      <c r="I450" s="9" t="str">
        <f>IF(G450="","Missing", IF(AND(ISNUMBER(G450)=FALSE, H450=""),"Invalid - Could Not Parse", IF(AND(ISNUMBER(G450)=FALSE, H450&lt;&gt;""),"Text - Converted to Date", IF(ISNUMBER(G450),"Valid","Check"))))</f>
        <v>Text - Converted to Date</v>
      </c>
      <c r="J450" s="9" t="str">
        <f>IF(OR(C450="", H450=""), "Cannot Check - Date Missing", IF(H450&lt;C450, "Invalid - Ship Before Order", "Valid"))</f>
        <v>Valid</v>
      </c>
      <c r="K450" s="5">
        <f>IF(OR(C450="", H450=""), "", IF(H450&lt;C450, "", H450-C450))</f>
        <v>6</v>
      </c>
      <c r="L450" s="3" t="s">
        <v>1838</v>
      </c>
      <c r="M450" s="3" t="s">
        <v>168</v>
      </c>
      <c r="N450" s="4" t="str">
        <f>TRIM(SUBSTITUTE(M450,"_"," "))</f>
        <v>Sneha Kapoor</v>
      </c>
      <c r="O450" s="3" t="s">
        <v>108</v>
      </c>
      <c r="P450" s="6" t="str">
        <f>PROPER(TRIM(SUBSTITUTE(O450,".","")))</f>
        <v>Corporate</v>
      </c>
      <c r="Q450" s="3" t="s">
        <v>27</v>
      </c>
      <c r="R450" s="7" t="str">
        <f>PROPER(TRIM(SUBSTITUTE(Q450,"  "," ")))</f>
        <v>North</v>
      </c>
      <c r="S450" s="3" t="s">
        <v>28</v>
      </c>
      <c r="T450" s="6" t="str">
        <f>PROPER(TRIM(SUBSTITUTE(S450,"  "," ")))</f>
        <v>Rajasthan</v>
      </c>
      <c r="U450" s="3" t="s">
        <v>29</v>
      </c>
      <c r="V450" s="6" t="str">
        <f>PROPER(TRIM(SUBSTITUTE(U450,"  "," ")))</f>
        <v>Jaipur</v>
      </c>
      <c r="W450" s="3" t="s">
        <v>45</v>
      </c>
      <c r="X450" s="6" t="str">
        <f>PROPER(TRIM(SUBSTITUTE(W450,"  "," ")))</f>
        <v>Furniture</v>
      </c>
      <c r="Y450" s="3" t="s">
        <v>46</v>
      </c>
      <c r="Z450" s="6" t="str">
        <f>PROPER(TRIM(SUBSTITUTE(Y450,"  "," ")))</f>
        <v>Tables</v>
      </c>
      <c r="AA450" s="3" t="s">
        <v>1839</v>
      </c>
      <c r="AB450" s="3" t="s">
        <v>48</v>
      </c>
      <c r="AC450" s="6" t="str">
        <f>PROPER(TRIM(SUBSTITUTE(AB450,"  "," ")))</f>
        <v>Same Day</v>
      </c>
      <c r="AD450" s="3">
        <v>2</v>
      </c>
      <c r="AE450" s="3">
        <v>4418.28</v>
      </c>
      <c r="AF450" s="3">
        <v>0</v>
      </c>
      <c r="AG450" s="17">
        <v>0</v>
      </c>
      <c r="AH450" s="6" t="str">
        <f t="shared" si="51"/>
        <v>Valid</v>
      </c>
      <c r="AI450" s="3">
        <v>8836.56</v>
      </c>
      <c r="AJ450" s="3">
        <v>5867.75</v>
      </c>
      <c r="AK450" s="3">
        <v>2968.81</v>
      </c>
      <c r="AL450" s="3" t="s">
        <v>34</v>
      </c>
      <c r="AM450" s="6" t="str">
        <f>PROPER(TRIM(SUBSTITUTE(AL450,".","")))</f>
        <v>Paid</v>
      </c>
      <c r="AN450" s="3" t="s">
        <v>35</v>
      </c>
      <c r="AO450" s="8" t="str">
        <f>PROPER(TRIM(SUBSTITUTE(AN450,".","")))</f>
        <v>Completed</v>
      </c>
      <c r="AP450" t="str">
        <f>IF(COUNTIF($A$2:$A$933, A450) &gt; 1, "Duplicate ID", "Unique")</f>
        <v>Unique</v>
      </c>
      <c r="AR450">
        <f t="shared" si="52"/>
        <v>8836.56</v>
      </c>
      <c r="AS450">
        <f t="shared" si="53"/>
        <v>2968.8099999999995</v>
      </c>
      <c r="AT450" s="15">
        <f t="shared" si="54"/>
        <v>0.33596897435201023</v>
      </c>
      <c r="AU450" t="str">
        <f t="shared" si="55"/>
        <v>Clean</v>
      </c>
      <c r="AV450" s="8" t="str">
        <f t="shared" si="56"/>
        <v>Active</v>
      </c>
    </row>
    <row r="451" spans="1:48">
      <c r="A451" s="3" t="s">
        <v>4026</v>
      </c>
      <c r="B451" s="3" t="s">
        <v>4027</v>
      </c>
      <c r="C451" s="9">
        <f>IFERROR(DATEVALUE(TEXT(B451,"DD/MM/YYYY")), IF(ISNUMBER(B451), B451, ""))</f>
        <v>45675</v>
      </c>
      <c r="D451" s="9" t="str">
        <f>IF(B451="","Missing", IF(AND(ISNUMBER(B451)=FALSE, C451=""),"Invalid - Could Not Parse", IF(AND(ISNUMBER(B451)=FALSE, C451&lt;&gt;""),"Text - Converted to Date", IF(ISNUMBER(B451),"Valid","Check"))))</f>
        <v>Text - Converted to Date</v>
      </c>
      <c r="E451" s="5">
        <f t="shared" ref="E451:E514" si="57">IFERROR(MONTH(C451), "")</f>
        <v>1</v>
      </c>
      <c r="F451" s="5">
        <f t="shared" ref="F451:F514" si="58">IFERROR(YEAR(C451), "")</f>
        <v>2025</v>
      </c>
      <c r="G451" s="3" t="s">
        <v>4028</v>
      </c>
      <c r="H451" s="9">
        <f>IFERROR(DATEVALUE(TEXT(G451,"DD/MM/YYYY")), IF(ISNUMBER(G451), G451, ""))</f>
        <v>45682</v>
      </c>
      <c r="I451" s="9" t="str">
        <f>IF(G451="","Missing", IF(AND(ISNUMBER(G451)=FALSE, H451=""),"Invalid - Could Not Parse", IF(AND(ISNUMBER(G451)=FALSE, H451&lt;&gt;""),"Text - Converted to Date", IF(ISNUMBER(G451),"Valid","Check"))))</f>
        <v>Text - Converted to Date</v>
      </c>
      <c r="J451" s="9" t="str">
        <f>IF(OR(C451="", H451=""), "Cannot Check - Date Missing", IF(H451&lt;C451, "Invalid - Ship Before Order", "Valid"))</f>
        <v>Valid</v>
      </c>
      <c r="K451" s="5">
        <f>IF(OR(C451="", H451=""), "", IF(H451&lt;C451, "", H451-C451))</f>
        <v>7</v>
      </c>
      <c r="L451" s="3" t="s">
        <v>4029</v>
      </c>
      <c r="M451" s="3" t="s">
        <v>93</v>
      </c>
      <c r="N451" s="4" t="str">
        <f>TRIM(SUBSTITUTE(M451,"_"," "))</f>
        <v>Neha Gupta</v>
      </c>
      <c r="O451" s="3" t="s">
        <v>115</v>
      </c>
      <c r="P451" s="6" t="str">
        <f>PROPER(TRIM(SUBSTITUTE(O451,".","")))</f>
        <v>Home Office</v>
      </c>
      <c r="Q451" s="3" t="s">
        <v>62</v>
      </c>
      <c r="R451" s="7" t="str">
        <f>PROPER(TRIM(SUBSTITUTE(Q451,"  "," ")))</f>
        <v>South</v>
      </c>
      <c r="S451" s="3" t="s">
        <v>229</v>
      </c>
      <c r="T451" s="6" t="str">
        <f>PROPER(TRIM(SUBSTITUTE(S451,"  "," ")))</f>
        <v>Karnataka</v>
      </c>
      <c r="U451" s="3" t="s">
        <v>230</v>
      </c>
      <c r="V451" s="6" t="str">
        <f>PROPER(TRIM(SUBSTITUTE(U451,"  "," ")))</f>
        <v>Bengaluru</v>
      </c>
      <c r="W451" s="3" t="s">
        <v>30</v>
      </c>
      <c r="X451" s="6" t="str">
        <f>PROPER(TRIM(SUBSTITUTE(W451,"  "," ")))</f>
        <v>Office Supplies</v>
      </c>
      <c r="Y451" s="3" t="s">
        <v>156</v>
      </c>
      <c r="Z451" s="6" t="str">
        <f>PROPER(TRIM(SUBSTITUTE(Y451,"  "," ")))</f>
        <v>Storage</v>
      </c>
      <c r="AA451" s="3" t="s">
        <v>4030</v>
      </c>
      <c r="AB451" s="3" t="s">
        <v>48</v>
      </c>
      <c r="AC451" s="6" t="str">
        <f>PROPER(TRIM(SUBSTITUTE(AB451,"  "," ")))</f>
        <v>Same Day</v>
      </c>
      <c r="AD451" s="3">
        <v>2</v>
      </c>
      <c r="AE451" s="3">
        <v>2098.54</v>
      </c>
      <c r="AF451" s="3">
        <v>0.15</v>
      </c>
      <c r="AG451" s="17">
        <v>0.15</v>
      </c>
      <c r="AH451" s="6" t="str">
        <f t="shared" ref="AH451:AH514" si="59">IF(ISBLANK(AF451), "Missing", IF(AF451 &lt; 0, "Invalid - Negative", IF(AF451 &gt; 0.5, "Invalid - Above Range", "Valid")))</f>
        <v>Valid</v>
      </c>
      <c r="AI451" s="3">
        <v>3567.52</v>
      </c>
      <c r="AJ451" s="3">
        <v>2411.8000000000002</v>
      </c>
      <c r="AK451" s="3">
        <v>1155.72</v>
      </c>
      <c r="AL451" s="3" t="s">
        <v>34</v>
      </c>
      <c r="AM451" s="6" t="str">
        <f>PROPER(TRIM(SUBSTITUTE(AL451,".","")))</f>
        <v>Paid</v>
      </c>
      <c r="AN451" s="3" t="s">
        <v>35</v>
      </c>
      <c r="AO451" s="8" t="str">
        <f>PROPER(TRIM(SUBSTITUTE(AN451,".","")))</f>
        <v>Completed</v>
      </c>
      <c r="AP451" t="str">
        <f>IF(COUNTIF($A$2:$A$933, A451) &gt; 1, "Duplicate ID", "Unique")</f>
        <v>Unique</v>
      </c>
      <c r="AR451">
        <f t="shared" ref="AR451:AR514" si="60">AD451 * AE451 * (1 - AG451)</f>
        <v>3567.518</v>
      </c>
      <c r="AS451">
        <f t="shared" ref="AS451:AS514" si="61">AR451-AJ451</f>
        <v>1155.7179999999998</v>
      </c>
      <c r="AT451" s="15">
        <f t="shared" ref="AT451:AT514" si="62">IFERROR(AS451 / AR451, "")</f>
        <v>0.32395575859743381</v>
      </c>
      <c r="AU451" t="str">
        <f t="shared" ref="AU451:AU514" si="63">IF(OR(AH451="Invalid - Negative",AH451="Invalid - Above Range", J451="Invalid - Ship Before Order", AQ451="Conflicting Duplicate - Flagged"), "Invalid", IF(OR(R450="Unknown", AC450="Unknown", AH451="Missing"), "Warning", "Clean"))</f>
        <v>Clean</v>
      </c>
      <c r="AV451" s="8" t="str">
        <f t="shared" ref="AV451:AV514" si="64">IF(AM451 = "Refunded", "Refund", IF(AO451 = "Cancelled", "Cancelled", "Active"))</f>
        <v>Active</v>
      </c>
    </row>
    <row r="452" spans="1:48">
      <c r="A452" s="3" t="s">
        <v>194</v>
      </c>
      <c r="B452" s="3" t="s">
        <v>195</v>
      </c>
      <c r="C452" s="9">
        <f>IFERROR(DATEVALUE(TEXT(B452,"DD/MM/YYYY")), IF(ISNUMBER(B452), B452, ""))</f>
        <v>45676</v>
      </c>
      <c r="D452" s="9" t="str">
        <f>IF(B452="","Missing", IF(AND(ISNUMBER(B452)=FALSE, C452=""),"Invalid - Could Not Parse", IF(AND(ISNUMBER(B452)=FALSE, C452&lt;&gt;""),"Text - Converted to Date", IF(ISNUMBER(B452),"Valid","Check"))))</f>
        <v>Text - Converted to Date</v>
      </c>
      <c r="E452" s="5">
        <f t="shared" si="57"/>
        <v>1</v>
      </c>
      <c r="F452" s="5">
        <f t="shared" si="58"/>
        <v>2025</v>
      </c>
      <c r="G452" s="3" t="s">
        <v>196</v>
      </c>
      <c r="H452" s="9">
        <f>IFERROR(DATEVALUE(TEXT(G452,"DD/MM/YYYY")), IF(ISNUMBER(G452), G452, ""))</f>
        <v>45678</v>
      </c>
      <c r="I452" s="9" t="str">
        <f>IF(G452="","Missing", IF(AND(ISNUMBER(G452)=FALSE, H452=""),"Invalid - Could Not Parse", IF(AND(ISNUMBER(G452)=FALSE, H452&lt;&gt;""),"Text - Converted to Date", IF(ISNUMBER(G452),"Valid","Check"))))</f>
        <v>Text - Converted to Date</v>
      </c>
      <c r="J452" s="9" t="str">
        <f>IF(OR(C452="", H452=""), "Cannot Check - Date Missing", IF(H452&lt;C452, "Invalid - Ship Before Order", "Valid"))</f>
        <v>Valid</v>
      </c>
      <c r="K452" s="5">
        <f>IF(OR(C452="", H452=""), "", IF(H452&lt;C452, "", H452-C452))</f>
        <v>2</v>
      </c>
      <c r="L452" s="3" t="s">
        <v>197</v>
      </c>
      <c r="M452" s="3" t="s">
        <v>40</v>
      </c>
      <c r="N452" s="4" t="str">
        <f>TRIM(SUBSTITUTE(M452,"_"," "))</f>
        <v>Mira Das</v>
      </c>
      <c r="O452" s="3" t="s">
        <v>26</v>
      </c>
      <c r="P452" s="6" t="str">
        <f>PROPER(TRIM(SUBSTITUTE(O452,".","")))</f>
        <v>Consumer</v>
      </c>
      <c r="Q452" s="3" t="s">
        <v>62</v>
      </c>
      <c r="R452" s="7" t="str">
        <f>PROPER(TRIM(SUBSTITUTE(Q452,"  "," ")))</f>
        <v>South</v>
      </c>
      <c r="S452" s="3" t="s">
        <v>63</v>
      </c>
      <c r="T452" s="6" t="str">
        <f>PROPER(TRIM(SUBSTITUTE(S452,"  "," ")))</f>
        <v>Telangana</v>
      </c>
      <c r="U452" s="3" t="s">
        <v>64</v>
      </c>
      <c r="V452" s="6" t="str">
        <f>PROPER(TRIM(SUBSTITUTE(U452,"  "," ")))</f>
        <v>Hyderabad</v>
      </c>
      <c r="W452" s="3" t="s">
        <v>30</v>
      </c>
      <c r="X452" s="6" t="str">
        <f>PROPER(TRIM(SUBSTITUTE(W452,"  "," ")))</f>
        <v>Office Supplies</v>
      </c>
      <c r="Y452" s="3" t="s">
        <v>198</v>
      </c>
      <c r="Z452" s="6" t="str">
        <f>PROPER(TRIM(SUBSTITUTE(Y452,"  "," ")))</f>
        <v>Binders</v>
      </c>
      <c r="AA452" s="3" t="s">
        <v>199</v>
      </c>
      <c r="AB452" s="3" t="s">
        <v>67</v>
      </c>
      <c r="AC452" s="6" t="str">
        <f>PROPER(TRIM(SUBSTITUTE(AB452,"  "," ")))</f>
        <v>Standard Class</v>
      </c>
      <c r="AD452" s="3">
        <v>8</v>
      </c>
      <c r="AE452" s="3">
        <v>1219.3399999999999</v>
      </c>
      <c r="AF452" s="3">
        <v>0.15</v>
      </c>
      <c r="AG452" s="17">
        <v>0.15</v>
      </c>
      <c r="AH452" s="6" t="str">
        <f t="shared" si="59"/>
        <v>Valid</v>
      </c>
      <c r="AI452" s="3">
        <v>8291.51</v>
      </c>
      <c r="AJ452" s="3">
        <v>6685.03</v>
      </c>
      <c r="AK452" s="3">
        <v>1606.48</v>
      </c>
      <c r="AL452" s="3" t="s">
        <v>200</v>
      </c>
      <c r="AM452" s="6" t="str">
        <f>PROPER(TRIM(SUBSTITUTE(AL452,".","")))</f>
        <v>Failed</v>
      </c>
      <c r="AN452" s="3" t="s">
        <v>125</v>
      </c>
      <c r="AO452" s="8" t="str">
        <f>PROPER(TRIM(SUBSTITUTE(AN452,".","")))</f>
        <v>Returned</v>
      </c>
      <c r="AP452" t="str">
        <f>IF(COUNTIF($A$2:$A$933, A452) &gt; 1, "Duplicate ID", "Unique")</f>
        <v>Unique</v>
      </c>
      <c r="AR452">
        <f t="shared" si="60"/>
        <v>8291.5119999999988</v>
      </c>
      <c r="AS452">
        <f t="shared" si="61"/>
        <v>1606.4819999999991</v>
      </c>
      <c r="AT452" s="15">
        <f t="shared" si="62"/>
        <v>0.19375018693816029</v>
      </c>
      <c r="AU452" t="str">
        <f t="shared" si="63"/>
        <v>Clean</v>
      </c>
      <c r="AV452" s="8" t="str">
        <f t="shared" si="64"/>
        <v>Active</v>
      </c>
    </row>
    <row r="453" spans="1:48">
      <c r="A453" s="3" t="s">
        <v>3318</v>
      </c>
      <c r="B453" s="3" t="s">
        <v>195</v>
      </c>
      <c r="C453" s="9">
        <f>IFERROR(DATEVALUE(TEXT(B453,"DD/MM/YYYY")), IF(ISNUMBER(B453), B453, ""))</f>
        <v>45676</v>
      </c>
      <c r="D453" s="9" t="str">
        <f>IF(B453="","Missing", IF(AND(ISNUMBER(B453)=FALSE, C453=""),"Invalid - Could Not Parse", IF(AND(ISNUMBER(B453)=FALSE, C453&lt;&gt;""),"Text - Converted to Date", IF(ISNUMBER(B453),"Valid","Check"))))</f>
        <v>Text - Converted to Date</v>
      </c>
      <c r="E453" s="5">
        <f t="shared" si="57"/>
        <v>1</v>
      </c>
      <c r="F453" s="5">
        <f t="shared" si="58"/>
        <v>2025</v>
      </c>
      <c r="G453" s="3" t="s">
        <v>184</v>
      </c>
      <c r="H453" s="9">
        <f>IFERROR(DATEVALUE(TEXT(G453,"DD/MM/YYYY")), IF(ISNUMBER(G453), G453, ""))</f>
        <v>45680</v>
      </c>
      <c r="I453" s="9" t="str">
        <f>IF(G453="","Missing", IF(AND(ISNUMBER(G453)=FALSE, H453=""),"Invalid - Could Not Parse", IF(AND(ISNUMBER(G453)=FALSE, H453&lt;&gt;""),"Text - Converted to Date", IF(ISNUMBER(G453),"Valid","Check"))))</f>
        <v>Text - Converted to Date</v>
      </c>
      <c r="J453" s="9" t="str">
        <f>IF(OR(C453="", H453=""), "Cannot Check - Date Missing", IF(H453&lt;C453, "Invalid - Ship Before Order", "Valid"))</f>
        <v>Valid</v>
      </c>
      <c r="K453" s="5">
        <f>IF(OR(C453="", H453=""), "", IF(H453&lt;C453, "", H453-C453))</f>
        <v>4</v>
      </c>
      <c r="L453" s="3" t="s">
        <v>3319</v>
      </c>
      <c r="M453" s="3" t="s">
        <v>366</v>
      </c>
      <c r="N453" s="4" t="str">
        <f>TRIM(SUBSTITUTE(M453,"_"," "))</f>
        <v>Kabir Singh</v>
      </c>
      <c r="O453" s="3" t="s">
        <v>115</v>
      </c>
      <c r="P453" s="6" t="str">
        <f>PROPER(TRIM(SUBSTITUTE(O453,".","")))</f>
        <v>Home Office</v>
      </c>
      <c r="Q453" s="3" t="s">
        <v>27</v>
      </c>
      <c r="R453" s="7" t="str">
        <f>PROPER(TRIM(SUBSTITUTE(Q453,"  "," ")))</f>
        <v>North</v>
      </c>
      <c r="S453" s="3" t="s">
        <v>154</v>
      </c>
      <c r="T453" s="6" t="str">
        <f>PROPER(TRIM(SUBSTITUTE(S453,"  "," ")))</f>
        <v>Punjab</v>
      </c>
      <c r="U453" s="3" t="s">
        <v>155</v>
      </c>
      <c r="V453" s="6" t="str">
        <f>PROPER(TRIM(SUBSTITUTE(U453,"  "," ")))</f>
        <v>Ludhiana</v>
      </c>
      <c r="W453" s="3" t="s">
        <v>86</v>
      </c>
      <c r="X453" s="6" t="str">
        <f>PROPER(TRIM(SUBSTITUTE(W453,"  "," ")))</f>
        <v>Technology</v>
      </c>
      <c r="Y453" s="3" t="s">
        <v>223</v>
      </c>
      <c r="Z453" s="6" t="str">
        <f>PROPER(TRIM(SUBSTITUTE(Y453,"  "," ")))</f>
        <v>Phones</v>
      </c>
      <c r="AA453" s="3" t="s">
        <v>3320</v>
      </c>
      <c r="AB453" s="3" t="s">
        <v>48</v>
      </c>
      <c r="AC453" s="6" t="str">
        <f>PROPER(TRIM(SUBSTITUTE(AB453,"  "," ")))</f>
        <v>Same Day</v>
      </c>
      <c r="AD453" s="3">
        <v>7</v>
      </c>
      <c r="AE453" s="3">
        <v>1363.04</v>
      </c>
      <c r="AF453" s="3">
        <v>0.15</v>
      </c>
      <c r="AG453" s="17">
        <v>0.15</v>
      </c>
      <c r="AH453" s="6" t="str">
        <f t="shared" si="59"/>
        <v>Valid</v>
      </c>
      <c r="AI453" s="3">
        <v>8110.09</v>
      </c>
      <c r="AJ453" s="3">
        <v>6417.32</v>
      </c>
      <c r="AK453" s="3">
        <v>1692.77</v>
      </c>
      <c r="AL453" s="3" t="s">
        <v>34</v>
      </c>
      <c r="AM453" s="6" t="str">
        <f>PROPER(TRIM(SUBSTITUTE(AL453,".","")))</f>
        <v>Paid</v>
      </c>
      <c r="AN453" s="3" t="s">
        <v>78</v>
      </c>
      <c r="AO453" s="8" t="str">
        <f>PROPER(TRIM(SUBSTITUTE(AN453,".","")))</f>
        <v>Cancelled</v>
      </c>
      <c r="AP453" t="str">
        <f>IF(COUNTIF($A$2:$A$933, A453) &gt; 1, "Duplicate ID", "Unique")</f>
        <v>Unique</v>
      </c>
      <c r="AR453">
        <f t="shared" si="60"/>
        <v>8110.0879999999988</v>
      </c>
      <c r="AS453">
        <f t="shared" si="61"/>
        <v>1692.7679999999991</v>
      </c>
      <c r="AT453" s="15">
        <f t="shared" si="62"/>
        <v>0.2087237524426368</v>
      </c>
      <c r="AU453" t="str">
        <f t="shared" si="63"/>
        <v>Clean</v>
      </c>
      <c r="AV453" s="8" t="str">
        <f t="shared" si="64"/>
        <v>Cancelled</v>
      </c>
    </row>
    <row r="454" spans="1:48">
      <c r="A454" s="3" t="s">
        <v>3868</v>
      </c>
      <c r="B454" s="3" t="s">
        <v>3869</v>
      </c>
      <c r="C454" s="9">
        <f>IFERROR(DATEVALUE(TEXT(B454,"DD/MM/YYYY")), IF(ISNUMBER(B454), B454, ""))</f>
        <v>45677</v>
      </c>
      <c r="D454" s="9" t="str">
        <f>IF(B454="","Missing", IF(AND(ISNUMBER(B454)=FALSE, C454=""),"Invalid - Could Not Parse", IF(AND(ISNUMBER(B454)=FALSE, C454&lt;&gt;""),"Text - Converted to Date", IF(ISNUMBER(B454),"Valid","Check"))))</f>
        <v>Text - Converted to Date</v>
      </c>
      <c r="E454" s="5">
        <f t="shared" si="57"/>
        <v>1</v>
      </c>
      <c r="F454" s="5">
        <f t="shared" si="58"/>
        <v>2025</v>
      </c>
      <c r="G454" s="3" t="s">
        <v>3870</v>
      </c>
      <c r="H454" s="9">
        <f>IFERROR(DATEVALUE(TEXT(G454,"DD/MM/YYYY")), IF(ISNUMBER(G454), G454, ""))</f>
        <v>45682</v>
      </c>
      <c r="I454" s="9" t="str">
        <f>IF(G454="","Missing", IF(AND(ISNUMBER(G454)=FALSE, H454=""),"Invalid - Could Not Parse", IF(AND(ISNUMBER(G454)=FALSE, H454&lt;&gt;""),"Text - Converted to Date", IF(ISNUMBER(G454),"Valid","Check"))))</f>
        <v>Text - Converted to Date</v>
      </c>
      <c r="J454" s="9" t="str">
        <f>IF(OR(C454="", H454=""), "Cannot Check - Date Missing", IF(H454&lt;C454, "Invalid - Ship Before Order", "Valid"))</f>
        <v>Valid</v>
      </c>
      <c r="K454" s="5">
        <f>IF(OR(C454="", H454=""), "", IF(H454&lt;C454, "", H454-C454))</f>
        <v>5</v>
      </c>
      <c r="L454" s="3" t="s">
        <v>3871</v>
      </c>
      <c r="M454" s="3" t="s">
        <v>107</v>
      </c>
      <c r="N454" s="4" t="str">
        <f>TRIM(SUBSTITUTE(M454,"_"," "))</f>
        <v>Aditi Sen</v>
      </c>
      <c r="O454" s="3" t="s">
        <v>115</v>
      </c>
      <c r="P454" s="6" t="str">
        <f>PROPER(TRIM(SUBSTITUTE(O454,".","")))</f>
        <v>Home Office</v>
      </c>
      <c r="Q454" s="3" t="s">
        <v>73</v>
      </c>
      <c r="R454" s="7" t="str">
        <f>PROPER(TRIM(SUBSTITUTE(Q454,"  "," ")))</f>
        <v>West</v>
      </c>
      <c r="S454" s="3" t="s">
        <v>249</v>
      </c>
      <c r="T454" s="6" t="str">
        <f>PROPER(TRIM(SUBSTITUTE(S454,"  "," ")))</f>
        <v>Goa</v>
      </c>
      <c r="U454" s="3" t="s">
        <v>250</v>
      </c>
      <c r="V454" s="6" t="str">
        <f>PROPER(TRIM(SUBSTITUTE(U454,"  "," ")))</f>
        <v>Panaji</v>
      </c>
      <c r="W454" s="3" t="s">
        <v>30</v>
      </c>
      <c r="X454" s="6" t="str">
        <f>PROPER(TRIM(SUBSTITUTE(W454,"  "," ")))</f>
        <v>Office Supplies</v>
      </c>
      <c r="Y454" s="3" t="s">
        <v>54</v>
      </c>
      <c r="Z454" s="6" t="str">
        <f>PROPER(TRIM(SUBSTITUTE(Y454,"  "," ")))</f>
        <v>Art</v>
      </c>
      <c r="AA454" s="3" t="s">
        <v>3872</v>
      </c>
      <c r="AB454" s="3" t="s">
        <v>56</v>
      </c>
      <c r="AC454" s="6" t="str">
        <f>PROPER(TRIM(SUBSTITUTE(AB454,"  "," ")))</f>
        <v>First Class</v>
      </c>
      <c r="AD454" s="3">
        <v>1</v>
      </c>
      <c r="AE454" s="3">
        <v>3515.15</v>
      </c>
      <c r="AF454" s="3">
        <v>0</v>
      </c>
      <c r="AG454" s="17">
        <v>0</v>
      </c>
      <c r="AH454" s="6" t="str">
        <f t="shared" si="59"/>
        <v>Valid</v>
      </c>
      <c r="AI454" s="3">
        <v>3515.15</v>
      </c>
      <c r="AJ454" s="3">
        <v>2216.34</v>
      </c>
      <c r="AK454" s="3">
        <v>1298.81</v>
      </c>
      <c r="AL454" s="3" t="s">
        <v>34</v>
      </c>
      <c r="AM454" s="6" t="str">
        <f>PROPER(TRIM(SUBSTITUTE(AL454,".","")))</f>
        <v>Paid</v>
      </c>
      <c r="AN454" s="3" t="s">
        <v>35</v>
      </c>
      <c r="AO454" s="8" t="str">
        <f>PROPER(TRIM(SUBSTITUTE(AN454,".","")))</f>
        <v>Completed</v>
      </c>
      <c r="AP454" t="str">
        <f>IF(COUNTIF($A$2:$A$933, A454) &gt; 1, "Duplicate ID", "Unique")</f>
        <v>Unique</v>
      </c>
      <c r="AR454">
        <f t="shared" si="60"/>
        <v>3515.15</v>
      </c>
      <c r="AS454">
        <f t="shared" si="61"/>
        <v>1298.81</v>
      </c>
      <c r="AT454" s="15">
        <f t="shared" si="62"/>
        <v>0.36948921098672882</v>
      </c>
      <c r="AU454" t="str">
        <f t="shared" si="63"/>
        <v>Clean</v>
      </c>
      <c r="AV454" s="8" t="str">
        <f t="shared" si="64"/>
        <v>Active</v>
      </c>
    </row>
    <row r="455" spans="1:48">
      <c r="A455" s="3" t="s">
        <v>182</v>
      </c>
      <c r="B455" s="3" t="s">
        <v>183</v>
      </c>
      <c r="C455" s="9">
        <f>IFERROR(DATEVALUE(TEXT(B455,"DD/MM/YYYY")), IF(ISNUMBER(B455), B455, ""))</f>
        <v>45678</v>
      </c>
      <c r="D455" s="9" t="str">
        <f>IF(B455="","Missing", IF(AND(ISNUMBER(B455)=FALSE, C455=""),"Invalid - Could Not Parse", IF(AND(ISNUMBER(B455)=FALSE, C455&lt;&gt;""),"Text - Converted to Date", IF(ISNUMBER(B455),"Valid","Check"))))</f>
        <v>Text - Converted to Date</v>
      </c>
      <c r="E455" s="5">
        <f t="shared" si="57"/>
        <v>1</v>
      </c>
      <c r="F455" s="5">
        <f t="shared" si="58"/>
        <v>2025</v>
      </c>
      <c r="G455" s="3" t="s">
        <v>184</v>
      </c>
      <c r="H455" s="9">
        <f>IFERROR(DATEVALUE(TEXT(G455,"DD/MM/YYYY")), IF(ISNUMBER(G455), G455, ""))</f>
        <v>45680</v>
      </c>
      <c r="I455" s="9" t="str">
        <f>IF(G455="","Missing", IF(AND(ISNUMBER(G455)=FALSE, H455=""),"Invalid - Could Not Parse", IF(AND(ISNUMBER(G455)=FALSE, H455&lt;&gt;""),"Text - Converted to Date", IF(ISNUMBER(G455),"Valid","Check"))))</f>
        <v>Text - Converted to Date</v>
      </c>
      <c r="J455" s="9" t="str">
        <f>IF(OR(C455="", H455=""), "Cannot Check - Date Missing", IF(H455&lt;C455, "Invalid - Ship Before Order", "Valid"))</f>
        <v>Valid</v>
      </c>
      <c r="K455" s="5">
        <f>IF(OR(C455="", H455=""), "", IF(H455&lt;C455, "", H455-C455))</f>
        <v>2</v>
      </c>
      <c r="L455" s="3" t="s">
        <v>185</v>
      </c>
      <c r="M455" s="3" t="s">
        <v>107</v>
      </c>
      <c r="N455" s="4" t="str">
        <f>TRIM(SUBSTITUTE(M455,"_"," "))</f>
        <v>Aditi Sen</v>
      </c>
      <c r="O455" s="3" t="s">
        <v>115</v>
      </c>
      <c r="P455" s="6" t="str">
        <f>PROPER(TRIM(SUBSTITUTE(O455,".","")))</f>
        <v>Home Office</v>
      </c>
      <c r="Q455" s="3" t="s">
        <v>42</v>
      </c>
      <c r="R455" s="7" t="str">
        <f>PROPER(TRIM(SUBSTITUTE(Q455,"  "," ")))</f>
        <v>East</v>
      </c>
      <c r="S455" s="3" t="s">
        <v>186</v>
      </c>
      <c r="T455" s="6" t="str">
        <f>PROPER(TRIM(SUBSTITUTE(S455,"  "," ")))</f>
        <v>Bihar</v>
      </c>
      <c r="U455" s="3" t="s">
        <v>187</v>
      </c>
      <c r="V455" s="6" t="str">
        <f>PROPER(TRIM(SUBSTITUTE(U455,"  "," ")))</f>
        <v>Patna</v>
      </c>
      <c r="W455" s="3" t="s">
        <v>86</v>
      </c>
      <c r="X455" s="6" t="str">
        <f>PROPER(TRIM(SUBSTITUTE(W455,"  "," ")))</f>
        <v>Technology</v>
      </c>
      <c r="Y455" s="3" t="s">
        <v>94</v>
      </c>
      <c r="Z455" s="6" t="str">
        <f>PROPER(TRIM(SUBSTITUTE(Y455,"  "," ")))</f>
        <v>Copiers</v>
      </c>
      <c r="AA455" s="3" t="s">
        <v>188</v>
      </c>
      <c r="AB455" s="3" t="s">
        <v>56</v>
      </c>
      <c r="AC455" s="6" t="str">
        <f>PROPER(TRIM(SUBSTITUTE(AB455,"  "," ")))</f>
        <v>First Class</v>
      </c>
      <c r="AD455" s="3">
        <v>5</v>
      </c>
      <c r="AE455" s="3">
        <v>4373.0600000000004</v>
      </c>
      <c r="AF455" s="3">
        <v>0.25</v>
      </c>
      <c r="AG455" s="17">
        <v>0.25</v>
      </c>
      <c r="AH455" s="6" t="str">
        <f t="shared" si="59"/>
        <v>Valid</v>
      </c>
      <c r="AI455" s="3">
        <v>16398.98</v>
      </c>
      <c r="AJ455" s="3">
        <v>9556.52</v>
      </c>
      <c r="AK455" s="3">
        <v>6842.46</v>
      </c>
      <c r="AL455" s="3" t="s">
        <v>34</v>
      </c>
      <c r="AM455" s="6" t="str">
        <f>PROPER(TRIM(SUBSTITUTE(AL455,".","")))</f>
        <v>Paid</v>
      </c>
      <c r="AN455" s="3" t="s">
        <v>35</v>
      </c>
      <c r="AO455" s="8" t="str">
        <f>PROPER(TRIM(SUBSTITUTE(AN455,".","")))</f>
        <v>Completed</v>
      </c>
      <c r="AP455" t="str">
        <f>IF(COUNTIF($A$2:$A$933, A455) &gt; 1, "Duplicate ID", "Unique")</f>
        <v>Unique</v>
      </c>
      <c r="AR455">
        <f t="shared" si="60"/>
        <v>16398.975000000002</v>
      </c>
      <c r="AS455">
        <f t="shared" si="61"/>
        <v>6842.4550000000017</v>
      </c>
      <c r="AT455" s="15">
        <f t="shared" si="62"/>
        <v>0.4172489439126531</v>
      </c>
      <c r="AU455" t="str">
        <f t="shared" si="63"/>
        <v>Clean</v>
      </c>
      <c r="AV455" s="8" t="str">
        <f t="shared" si="64"/>
        <v>Active</v>
      </c>
    </row>
    <row r="456" spans="1:48">
      <c r="A456" s="3" t="s">
        <v>1793</v>
      </c>
      <c r="B456" s="3" t="s">
        <v>196</v>
      </c>
      <c r="C456" s="9">
        <f>IFERROR(DATEVALUE(TEXT(B456,"DD/MM/YYYY")), IF(ISNUMBER(B456), B456, ""))</f>
        <v>45678</v>
      </c>
      <c r="D456" s="9" t="str">
        <f>IF(B456="","Missing", IF(AND(ISNUMBER(B456)=FALSE, C456=""),"Invalid - Could Not Parse", IF(AND(ISNUMBER(B456)=FALSE, C456&lt;&gt;""),"Text - Converted to Date", IF(ISNUMBER(B456),"Valid","Check"))))</f>
        <v>Text - Converted to Date</v>
      </c>
      <c r="E456" s="5">
        <f t="shared" si="57"/>
        <v>1</v>
      </c>
      <c r="F456" s="5">
        <f t="shared" si="58"/>
        <v>2025</v>
      </c>
      <c r="G456" s="3" t="s">
        <v>1794</v>
      </c>
      <c r="H456" s="9">
        <f>IFERROR(DATEVALUE(MID(G456,4,2) &amp; "/" &amp; LEFT(G456,2) &amp; "/" &amp; RIGHT(G456,4)), IF(ISNUMBER(G456), G456, IFERROR(DATEVALUE(G456), "")))</f>
        <v>45686</v>
      </c>
      <c r="I456" s="9" t="str">
        <f>IF(G456="","Missing", IF(AND(ISNUMBER(G456)=FALSE, H456=""),"Invalid - Could Not Parse", IF(AND(ISNUMBER(G456)=FALSE, H456&lt;&gt;""),"Text - Converted to Date", IF(ISNUMBER(G456),"Valid","Check"))))</f>
        <v>Text - Converted to Date</v>
      </c>
      <c r="J456" s="9" t="str">
        <f>IF(OR(C456="", H456=""), "Cannot Check - Date Missing", IF(H456&lt;C456, "Invalid - Ship Before Order", "Valid"))</f>
        <v>Valid</v>
      </c>
      <c r="K456" s="5">
        <f>IF(OR(C456="", H456=""), "", IF(H456&lt;C456, "", H456-C456))</f>
        <v>8</v>
      </c>
      <c r="L456" s="3" t="s">
        <v>1795</v>
      </c>
      <c r="M456" s="3" t="s">
        <v>40</v>
      </c>
      <c r="N456" s="4" t="str">
        <f>TRIM(SUBSTITUTE(M456,"_"," "))</f>
        <v>Mira Das</v>
      </c>
      <c r="O456" s="3" t="s">
        <v>115</v>
      </c>
      <c r="P456" s="6" t="str">
        <f>PROPER(TRIM(SUBSTITUTE(O456,".","")))</f>
        <v>Home Office</v>
      </c>
      <c r="Q456" s="3" t="s">
        <v>62</v>
      </c>
      <c r="R456" s="7" t="str">
        <f>PROPER(TRIM(SUBSTITUTE(Q456,"  "," ")))</f>
        <v>South</v>
      </c>
      <c r="S456" s="3" t="s">
        <v>100</v>
      </c>
      <c r="T456" s="6" t="str">
        <f>PROPER(TRIM(SUBSTITUTE(S456,"  "," ")))</f>
        <v>Andhra Pradesh</v>
      </c>
      <c r="U456" s="3" t="s">
        <v>101</v>
      </c>
      <c r="V456" s="6" t="str">
        <f>PROPER(TRIM(SUBSTITUTE(U456,"  "," ")))</f>
        <v>Vijayawada</v>
      </c>
      <c r="W456" s="3" t="s">
        <v>86</v>
      </c>
      <c r="X456" s="6" t="str">
        <f>PROPER(TRIM(SUBSTITUTE(W456,"  "," ")))</f>
        <v>Technology</v>
      </c>
      <c r="Y456" s="3" t="s">
        <v>382</v>
      </c>
      <c r="Z456" s="6" t="str">
        <f>PROPER(TRIM(SUBSTITUTE(Y456,"  "," ")))</f>
        <v>Machines</v>
      </c>
      <c r="AA456" s="3" t="s">
        <v>1796</v>
      </c>
      <c r="AB456" s="3" t="s">
        <v>33</v>
      </c>
      <c r="AC456" s="6" t="str">
        <f>PROPER(TRIM(SUBSTITUTE(AB456,"  "," ")))</f>
        <v>Second Class</v>
      </c>
      <c r="AD456" s="3">
        <v>8</v>
      </c>
      <c r="AE456" s="3">
        <v>546.13</v>
      </c>
      <c r="AF456" s="3">
        <v>0</v>
      </c>
      <c r="AG456" s="17">
        <v>0</v>
      </c>
      <c r="AH456" s="6" t="str">
        <f t="shared" si="59"/>
        <v>Valid</v>
      </c>
      <c r="AI456" s="3">
        <v>4369.04</v>
      </c>
      <c r="AJ456" s="3">
        <v>3716.88</v>
      </c>
      <c r="AK456" s="3">
        <v>652.16</v>
      </c>
      <c r="AL456" s="3" t="s">
        <v>34</v>
      </c>
      <c r="AM456" s="6" t="str">
        <f>PROPER(TRIM(SUBSTITUTE(AL456,".","")))</f>
        <v>Paid</v>
      </c>
      <c r="AN456" s="3" t="s">
        <v>78</v>
      </c>
      <c r="AO456" s="8" t="str">
        <f>PROPER(TRIM(SUBSTITUTE(AN456,".","")))</f>
        <v>Cancelled</v>
      </c>
      <c r="AP456" t="str">
        <f>IF(COUNTIF($A$2:$A$933, A456) &gt; 1, "Duplicate ID", "Unique")</f>
        <v>Unique</v>
      </c>
      <c r="AR456">
        <f t="shared" si="60"/>
        <v>4369.04</v>
      </c>
      <c r="AS456">
        <f t="shared" si="61"/>
        <v>652.15999999999985</v>
      </c>
      <c r="AT456" s="15">
        <f t="shared" si="62"/>
        <v>0.14926848918755603</v>
      </c>
      <c r="AU456" t="str">
        <f t="shared" si="63"/>
        <v>Clean</v>
      </c>
      <c r="AV456" s="8" t="str">
        <f t="shared" si="64"/>
        <v>Cancelled</v>
      </c>
    </row>
    <row r="457" spans="1:48">
      <c r="A457" s="3" t="s">
        <v>3110</v>
      </c>
      <c r="B457" s="3" t="s">
        <v>183</v>
      </c>
      <c r="C457" s="9">
        <f>IFERROR(DATEVALUE(TEXT(B457,"DD/MM/YYYY")), IF(ISNUMBER(B457), B457, ""))</f>
        <v>45678</v>
      </c>
      <c r="D457" s="9" t="str">
        <f>IF(B457="","Missing", IF(AND(ISNUMBER(B457)=FALSE, C457=""),"Invalid - Could Not Parse", IF(AND(ISNUMBER(B457)=FALSE, C457&lt;&gt;""),"Text - Converted to Date", IF(ISNUMBER(B457),"Valid","Check"))))</f>
        <v>Text - Converted to Date</v>
      </c>
      <c r="E457" s="5">
        <f t="shared" si="57"/>
        <v>1</v>
      </c>
      <c r="F457" s="5">
        <f t="shared" si="58"/>
        <v>2025</v>
      </c>
      <c r="G457" s="3" t="s">
        <v>1837</v>
      </c>
      <c r="H457" s="9">
        <f>IFERROR(DATEVALUE(TEXT(G457,"DD/MM/YYYY")), IF(ISNUMBER(G457), G457, ""))</f>
        <v>45679</v>
      </c>
      <c r="I457" s="9" t="str">
        <f>IF(G457="","Missing", IF(AND(ISNUMBER(G457)=FALSE, H457=""),"Invalid - Could Not Parse", IF(AND(ISNUMBER(G457)=FALSE, H457&lt;&gt;""),"Text - Converted to Date", IF(ISNUMBER(G457),"Valid","Check"))))</f>
        <v>Text - Converted to Date</v>
      </c>
      <c r="J457" s="9" t="str">
        <f>IF(OR(C457="", H457=""), "Cannot Check - Date Missing", IF(H457&lt;C457, "Invalid - Ship Before Order", "Valid"))</f>
        <v>Valid</v>
      </c>
      <c r="K457" s="5">
        <f>IF(OR(C457="", H457=""), "", IF(H457&lt;C457, "", H457-C457))</f>
        <v>1</v>
      </c>
      <c r="L457" s="3" t="s">
        <v>3111</v>
      </c>
      <c r="M457" s="3" t="s">
        <v>210</v>
      </c>
      <c r="N457" s="4" t="str">
        <f>TRIM(SUBSTITUTE(M457,"_"," "))</f>
        <v>Diya Patel</v>
      </c>
      <c r="O457" s="3" t="s">
        <v>108</v>
      </c>
      <c r="P457" s="6" t="str">
        <f>PROPER(TRIM(SUBSTITUTE(O457,".","")))</f>
        <v>Corporate</v>
      </c>
      <c r="Q457" s="3" t="s">
        <v>62</v>
      </c>
      <c r="R457" s="7" t="str">
        <f>PROPER(TRIM(SUBSTITUTE(Q457,"  "," ")))</f>
        <v>South</v>
      </c>
      <c r="S457" s="3" t="s">
        <v>229</v>
      </c>
      <c r="T457" s="6" t="str">
        <f>PROPER(TRIM(SUBSTITUTE(S457,"  "," ")))</f>
        <v>Karnataka</v>
      </c>
      <c r="U457" s="3" t="s">
        <v>230</v>
      </c>
      <c r="V457" s="6" t="str">
        <f>PROPER(TRIM(SUBSTITUTE(U457,"  "," ")))</f>
        <v>Bengaluru</v>
      </c>
      <c r="W457" s="3" t="s">
        <v>86</v>
      </c>
      <c r="X457" s="6" t="str">
        <f>PROPER(TRIM(SUBSTITUTE(W457,"  "," ")))</f>
        <v>Technology</v>
      </c>
      <c r="Y457" s="3" t="s">
        <v>223</v>
      </c>
      <c r="Z457" s="6" t="str">
        <f>PROPER(TRIM(SUBSTITUTE(Y457,"  "," ")))</f>
        <v>Phones</v>
      </c>
      <c r="AA457" s="3" t="s">
        <v>3112</v>
      </c>
      <c r="AB457" s="3" t="s">
        <v>33</v>
      </c>
      <c r="AC457" s="6" t="str">
        <f>PROPER(TRIM(SUBSTITUTE(AB457,"  "," ")))</f>
        <v>Second Class</v>
      </c>
      <c r="AD457" s="3">
        <v>2</v>
      </c>
      <c r="AE457" s="3">
        <v>444.31</v>
      </c>
      <c r="AF457" s="3">
        <v>0.2</v>
      </c>
      <c r="AG457" s="17">
        <v>0.2</v>
      </c>
      <c r="AH457" s="6" t="str">
        <f t="shared" si="59"/>
        <v>Valid</v>
      </c>
      <c r="AI457" s="3">
        <v>710.9</v>
      </c>
      <c r="AJ457" s="3">
        <v>513.88</v>
      </c>
      <c r="AK457" s="3">
        <v>197.02</v>
      </c>
      <c r="AL457" s="3" t="s">
        <v>124</v>
      </c>
      <c r="AM457" s="6" t="str">
        <f>PROPER(TRIM(SUBSTITUTE(AL457,".","")))</f>
        <v>Refunded</v>
      </c>
      <c r="AN457" s="3" t="s">
        <v>78</v>
      </c>
      <c r="AO457" s="8" t="str">
        <f>PROPER(TRIM(SUBSTITUTE(AN457,".","")))</f>
        <v>Cancelled</v>
      </c>
      <c r="AP457" t="str">
        <f>IF(COUNTIF($A$2:$A$933, A457) &gt; 1, "Duplicate ID", "Unique")</f>
        <v>Unique</v>
      </c>
      <c r="AR457">
        <f t="shared" si="60"/>
        <v>710.89600000000007</v>
      </c>
      <c r="AS457">
        <f t="shared" si="61"/>
        <v>197.01600000000008</v>
      </c>
      <c r="AT457" s="15">
        <f t="shared" si="62"/>
        <v>0.27713758411919615</v>
      </c>
      <c r="AU457" t="str">
        <f t="shared" si="63"/>
        <v>Clean</v>
      </c>
      <c r="AV457" s="8" t="str">
        <f t="shared" si="64"/>
        <v>Refund</v>
      </c>
    </row>
    <row r="458" spans="1:48">
      <c r="A458" s="3" t="s">
        <v>2366</v>
      </c>
      <c r="B458" s="3" t="s">
        <v>1837</v>
      </c>
      <c r="C458" s="9">
        <f>IFERROR(DATEVALUE(TEXT(B458,"DD/MM/YYYY")), IF(ISNUMBER(B458), B458, ""))</f>
        <v>45679</v>
      </c>
      <c r="D458" s="9" t="str">
        <f>IF(B458="","Missing", IF(AND(ISNUMBER(B458)=FALSE, C458=""),"Invalid - Could Not Parse", IF(AND(ISNUMBER(B458)=FALSE, C458&lt;&gt;""),"Text - Converted to Date", IF(ISNUMBER(B458),"Valid","Check"))))</f>
        <v>Text - Converted to Date</v>
      </c>
      <c r="E458" s="5">
        <f t="shared" si="57"/>
        <v>1</v>
      </c>
      <c r="F458" s="5">
        <f t="shared" si="58"/>
        <v>2025</v>
      </c>
      <c r="G458" s="3" t="s">
        <v>184</v>
      </c>
      <c r="H458" s="9">
        <f>IFERROR(DATEVALUE(TEXT(G458,"DD/MM/YYYY")), IF(ISNUMBER(G458), G458, ""))</f>
        <v>45680</v>
      </c>
      <c r="I458" s="9" t="str">
        <f>IF(G458="","Missing", IF(AND(ISNUMBER(G458)=FALSE, H458=""),"Invalid - Could Not Parse", IF(AND(ISNUMBER(G458)=FALSE, H458&lt;&gt;""),"Text - Converted to Date", IF(ISNUMBER(G458),"Valid","Check"))))</f>
        <v>Text - Converted to Date</v>
      </c>
      <c r="J458" s="9" t="str">
        <f>IF(OR(C458="", H458=""), "Cannot Check - Date Missing", IF(H458&lt;C458, "Invalid - Ship Before Order", "Valid"))</f>
        <v>Valid</v>
      </c>
      <c r="K458" s="5">
        <f>IF(OR(C458="", H458=""), "", IF(H458&lt;C458, "", H458-C458))</f>
        <v>1</v>
      </c>
      <c r="L458" s="3" t="s">
        <v>2367</v>
      </c>
      <c r="M458" s="3" t="s">
        <v>148</v>
      </c>
      <c r="N458" s="4" t="str">
        <f>TRIM(SUBSTITUTE(M458,"_"," "))</f>
        <v>Rahul Verma</v>
      </c>
      <c r="O458" s="3" t="s">
        <v>108</v>
      </c>
      <c r="P458" s="6" t="str">
        <f>PROPER(TRIM(SUBSTITUTE(O458,".","")))</f>
        <v>Corporate</v>
      </c>
      <c r="Q458" s="3" t="s">
        <v>73</v>
      </c>
      <c r="R458" s="7" t="str">
        <f>PROPER(TRIM(SUBSTITUTE(Q458,"  "," ")))</f>
        <v>West</v>
      </c>
      <c r="S458" s="3" t="s">
        <v>249</v>
      </c>
      <c r="T458" s="6" t="str">
        <f>PROPER(TRIM(SUBSTITUTE(S458,"  "," ")))</f>
        <v>Goa</v>
      </c>
      <c r="U458" s="3" t="s">
        <v>250</v>
      </c>
      <c r="V458" s="6" t="str">
        <f>PROPER(TRIM(SUBSTITUTE(U458,"  "," ")))</f>
        <v>Panaji</v>
      </c>
      <c r="W458" s="3" t="s">
        <v>45</v>
      </c>
      <c r="X458" s="6" t="str">
        <f>PROPER(TRIM(SUBSTITUTE(W458,"  "," ")))</f>
        <v>Furniture</v>
      </c>
      <c r="Y458" s="3" t="s">
        <v>204</v>
      </c>
      <c r="Z458" s="6" t="str">
        <f>PROPER(TRIM(SUBSTITUTE(Y458,"  "," ")))</f>
        <v>Bookcases</v>
      </c>
      <c r="AA458" s="3" t="s">
        <v>2368</v>
      </c>
      <c r="AB458" s="3" t="s">
        <v>67</v>
      </c>
      <c r="AC458" s="6" t="str">
        <f>PROPER(TRIM(SUBSTITUTE(AB458,"  "," ")))</f>
        <v>Standard Class</v>
      </c>
      <c r="AD458" s="3">
        <v>4</v>
      </c>
      <c r="AE458" s="3">
        <v>2555.19</v>
      </c>
      <c r="AF458" s="3">
        <v>0.25</v>
      </c>
      <c r="AG458" s="17">
        <v>0.25</v>
      </c>
      <c r="AH458" s="6" t="str">
        <f t="shared" si="59"/>
        <v>Valid</v>
      </c>
      <c r="AI458" s="3">
        <v>7665.57</v>
      </c>
      <c r="AJ458" s="3">
        <v>5595.6</v>
      </c>
      <c r="AK458" s="3">
        <v>2069.9699999999998</v>
      </c>
      <c r="AL458" s="3" t="s">
        <v>34</v>
      </c>
      <c r="AM458" s="6" t="str">
        <f>PROPER(TRIM(SUBSTITUTE(AL458,".","")))</f>
        <v>Paid</v>
      </c>
      <c r="AN458" s="3" t="s">
        <v>35</v>
      </c>
      <c r="AO458" s="8" t="str">
        <f>PROPER(TRIM(SUBSTITUTE(AN458,".","")))</f>
        <v>Completed</v>
      </c>
      <c r="AP458" t="str">
        <f>IF(COUNTIF($A$2:$A$933, A458) &gt; 1, "Duplicate ID", "Unique")</f>
        <v>Unique</v>
      </c>
      <c r="AR458">
        <f t="shared" si="60"/>
        <v>7665.57</v>
      </c>
      <c r="AS458">
        <f t="shared" si="61"/>
        <v>2069.9699999999993</v>
      </c>
      <c r="AT458" s="15">
        <f t="shared" si="62"/>
        <v>0.27003471366121495</v>
      </c>
      <c r="AU458" t="str">
        <f t="shared" si="63"/>
        <v>Clean</v>
      </c>
      <c r="AV458" s="8" t="str">
        <f t="shared" si="64"/>
        <v>Active</v>
      </c>
    </row>
    <row r="459" spans="1:48">
      <c r="A459" s="3" t="s">
        <v>558</v>
      </c>
      <c r="B459" s="3" t="s">
        <v>184</v>
      </c>
      <c r="C459" s="9">
        <f>IFERROR(DATEVALUE(TEXT(B459,"DD/MM/YYYY")), IF(ISNUMBER(B459), B459, ""))</f>
        <v>45680</v>
      </c>
      <c r="D459" s="9" t="str">
        <f>IF(B459="","Missing", IF(AND(ISNUMBER(B459)=FALSE, C459=""),"Invalid - Could Not Parse", IF(AND(ISNUMBER(B459)=FALSE, C459&lt;&gt;""),"Text - Converted to Date", IF(ISNUMBER(B459),"Valid","Check"))))</f>
        <v>Text - Converted to Date</v>
      </c>
      <c r="E459" s="5">
        <f t="shared" si="57"/>
        <v>1</v>
      </c>
      <c r="F459" s="5">
        <f t="shared" si="58"/>
        <v>2025</v>
      </c>
      <c r="G459" s="3" t="s">
        <v>559</v>
      </c>
      <c r="H459" s="9">
        <f>IFERROR(DATEVALUE(MID(G459,4,2) &amp; "/" &amp; LEFT(G459,2) &amp; "/" &amp; RIGHT(G459,4)), IF(ISNUMBER(G459), G459, IFERROR(DATEVALUE(G459), "")))</f>
        <v>45683</v>
      </c>
      <c r="I459" s="9" t="str">
        <f>IF(G459="","Missing", IF(AND(ISNUMBER(G459)=FALSE, H459=""),"Invalid - Could Not Parse", IF(AND(ISNUMBER(G459)=FALSE, H459&lt;&gt;""),"Text - Converted to Date", IF(ISNUMBER(G459),"Valid","Check"))))</f>
        <v>Text - Converted to Date</v>
      </c>
      <c r="J459" s="9" t="str">
        <f>IF(OR(C459="", H459=""), "Cannot Check - Date Missing", IF(H459&lt;C459, "Invalid - Ship Before Order", "Valid"))</f>
        <v>Valid</v>
      </c>
      <c r="K459" s="5">
        <f>IF(OR(C459="", H459=""), "", IF(H459&lt;C459, "", H459-C459))</f>
        <v>3</v>
      </c>
      <c r="L459" s="3" t="s">
        <v>560</v>
      </c>
      <c r="M459" s="3" t="s">
        <v>162</v>
      </c>
      <c r="N459" s="4" t="str">
        <f>TRIM(SUBSTITUTE(M459,"_"," "))</f>
        <v>Aarav Sharma</v>
      </c>
      <c r="O459" s="3" t="s">
        <v>26</v>
      </c>
      <c r="P459" s="6" t="str">
        <f>PROPER(TRIM(SUBSTITUTE(O459,".","")))</f>
        <v>Consumer</v>
      </c>
      <c r="Q459" s="3" t="s">
        <v>73</v>
      </c>
      <c r="R459" s="7" t="str">
        <f>PROPER(TRIM(SUBSTITUTE(Q459,"  "," ")))</f>
        <v>West</v>
      </c>
      <c r="S459" s="3" t="s">
        <v>84</v>
      </c>
      <c r="T459" s="6" t="str">
        <f>PROPER(TRIM(SUBSTITUTE(S459,"  "," ")))</f>
        <v>Madhya Pradesh</v>
      </c>
      <c r="U459" s="3" t="s">
        <v>85</v>
      </c>
      <c r="V459" s="6" t="str">
        <f>PROPER(TRIM(SUBSTITUTE(U459,"  "," ")))</f>
        <v>Indore</v>
      </c>
      <c r="W459" s="3" t="s">
        <v>30</v>
      </c>
      <c r="X459" s="6" t="str">
        <f>PROPER(TRIM(SUBSTITUTE(W459,"  "," ")))</f>
        <v>Office Supplies</v>
      </c>
      <c r="Y459" s="3" t="s">
        <v>31</v>
      </c>
      <c r="Z459" s="6" t="str">
        <f>PROPER(TRIM(SUBSTITUTE(Y459,"  "," ")))</f>
        <v>Paper</v>
      </c>
      <c r="AA459" s="3" t="s">
        <v>561</v>
      </c>
      <c r="AB459" s="3" t="s">
        <v>67</v>
      </c>
      <c r="AC459" s="6" t="str">
        <f>PROPER(TRIM(SUBSTITUTE(AB459,"  "," ")))</f>
        <v>Standard Class</v>
      </c>
      <c r="AD459" s="3">
        <v>9</v>
      </c>
      <c r="AE459" s="3">
        <v>4458.26</v>
      </c>
      <c r="AF459" s="3">
        <v>0.1</v>
      </c>
      <c r="AG459" s="17">
        <v>0.1</v>
      </c>
      <c r="AH459" s="6" t="str">
        <f t="shared" si="59"/>
        <v>Valid</v>
      </c>
      <c r="AI459" s="3">
        <v>36111.910000000003</v>
      </c>
      <c r="AJ459" s="3">
        <v>29194.5</v>
      </c>
      <c r="AK459" s="3">
        <v>6917.41</v>
      </c>
      <c r="AL459" s="3" t="s">
        <v>34</v>
      </c>
      <c r="AM459" s="6" t="str">
        <f>PROPER(TRIM(SUBSTITUTE(AL459,".","")))</f>
        <v>Paid</v>
      </c>
      <c r="AN459" s="3" t="s">
        <v>35</v>
      </c>
      <c r="AO459" s="8" t="str">
        <f>PROPER(TRIM(SUBSTITUTE(AN459,".","")))</f>
        <v>Completed</v>
      </c>
      <c r="AP459" t="str">
        <f>IF(COUNTIF($A$2:$A$933, A459) &gt; 1, "Duplicate ID", "Unique")</f>
        <v>Unique</v>
      </c>
      <c r="AR459">
        <f t="shared" si="60"/>
        <v>36111.906000000003</v>
      </c>
      <c r="AS459">
        <f t="shared" si="61"/>
        <v>6917.4060000000027</v>
      </c>
      <c r="AT459" s="15">
        <f t="shared" si="62"/>
        <v>0.19155471882320479</v>
      </c>
      <c r="AU459" t="str">
        <f t="shared" si="63"/>
        <v>Clean</v>
      </c>
      <c r="AV459" s="8" t="str">
        <f t="shared" si="64"/>
        <v>Active</v>
      </c>
    </row>
    <row r="460" spans="1:48">
      <c r="A460" s="3" t="s">
        <v>1530</v>
      </c>
      <c r="B460" s="3" t="s">
        <v>1531</v>
      </c>
      <c r="C460" s="9">
        <f>IFERROR(DATEVALUE(TEXT(B460,"DD/MM/YYYY")), IF(ISNUMBER(B460), B460, ""))</f>
        <v>45680</v>
      </c>
      <c r="D460" s="9" t="str">
        <f>IF(B460="","Missing", IF(AND(ISNUMBER(B460)=FALSE, C460=""),"Invalid - Could Not Parse", IF(AND(ISNUMBER(B460)=FALSE, C460&lt;&gt;""),"Text - Converted to Date", IF(ISNUMBER(B460),"Valid","Check"))))</f>
        <v>Text - Converted to Date</v>
      </c>
      <c r="E460" s="5">
        <f t="shared" si="57"/>
        <v>1</v>
      </c>
      <c r="F460" s="5">
        <f t="shared" si="58"/>
        <v>2025</v>
      </c>
      <c r="G460" s="3" t="s">
        <v>1532</v>
      </c>
      <c r="H460" s="9">
        <f>IFERROR(DATEVALUE(TEXT(G460,"DD/MM/YYYY")), IF(ISNUMBER(G460), G460, ""))</f>
        <v>45683</v>
      </c>
      <c r="I460" s="9" t="str">
        <f>IF(G460="","Missing", IF(AND(ISNUMBER(G460)=FALSE, H460=""),"Invalid - Could Not Parse", IF(AND(ISNUMBER(G460)=FALSE, H460&lt;&gt;""),"Text - Converted to Date", IF(ISNUMBER(G460),"Valid","Check"))))</f>
        <v>Text - Converted to Date</v>
      </c>
      <c r="J460" s="9" t="str">
        <f>IF(OR(C460="", H460=""), "Cannot Check - Date Missing", IF(H460&lt;C460, "Invalid - Ship Before Order", "Valid"))</f>
        <v>Valid</v>
      </c>
      <c r="K460" s="5">
        <f>IF(OR(C460="", H460=""), "", IF(H460&lt;C460, "", H460-C460))</f>
        <v>3</v>
      </c>
      <c r="L460" s="3" t="s">
        <v>1533</v>
      </c>
      <c r="M460" s="3" t="s">
        <v>53</v>
      </c>
      <c r="N460" s="4" t="str">
        <f>TRIM(SUBSTITUTE(M460,"_"," "))</f>
        <v>Isha Nair</v>
      </c>
      <c r="O460" s="3" t="s">
        <v>26</v>
      </c>
      <c r="P460" s="6" t="str">
        <f>PROPER(TRIM(SUBSTITUTE(O460,".","")))</f>
        <v>Consumer</v>
      </c>
      <c r="Q460" s="3" t="s">
        <v>62</v>
      </c>
      <c r="R460" s="7" t="str">
        <f>PROPER(TRIM(SUBSTITUTE(Q460,"  "," ")))</f>
        <v>South</v>
      </c>
      <c r="S460" s="3" t="s">
        <v>242</v>
      </c>
      <c r="T460" s="6" t="str">
        <f>PROPER(TRIM(SUBSTITUTE(S460,"  "," ")))</f>
        <v>Kerala</v>
      </c>
      <c r="U460" s="3" t="s">
        <v>243</v>
      </c>
      <c r="V460" s="6" t="str">
        <f>PROPER(TRIM(SUBSTITUTE(U460,"  "," ")))</f>
        <v>Kochi</v>
      </c>
      <c r="W460" s="3" t="s">
        <v>86</v>
      </c>
      <c r="X460" s="6" t="str">
        <f>PROPER(TRIM(SUBSTITUTE(W460,"  "," ")))</f>
        <v>Technology</v>
      </c>
      <c r="Y460" s="3" t="s">
        <v>94</v>
      </c>
      <c r="Z460" s="6" t="str">
        <f>PROPER(TRIM(SUBSTITUTE(Y460,"  "," ")))</f>
        <v>Copiers</v>
      </c>
      <c r="AA460" s="3" t="s">
        <v>1534</v>
      </c>
      <c r="AB460" s="3" t="s">
        <v>56</v>
      </c>
      <c r="AC460" s="6" t="str">
        <f>PROPER(TRIM(SUBSTITUTE(AB460,"  "," ")))</f>
        <v>First Class</v>
      </c>
      <c r="AD460" s="3">
        <v>7</v>
      </c>
      <c r="AE460" s="3">
        <v>348.49</v>
      </c>
      <c r="AF460" s="3">
        <v>0.2</v>
      </c>
      <c r="AG460" s="17">
        <v>0.2</v>
      </c>
      <c r="AH460" s="6" t="str">
        <f t="shared" si="59"/>
        <v>Valid</v>
      </c>
      <c r="AI460" s="3">
        <v>1951.54</v>
      </c>
      <c r="AJ460" s="3">
        <v>1609.95</v>
      </c>
      <c r="AK460" s="3">
        <v>341.59</v>
      </c>
      <c r="AL460" s="3" t="s">
        <v>200</v>
      </c>
      <c r="AM460" s="6" t="str">
        <f>PROPER(TRIM(SUBSTITUTE(AL460,".","")))</f>
        <v>Failed</v>
      </c>
      <c r="AN460" s="3" t="s">
        <v>125</v>
      </c>
      <c r="AO460" s="8" t="str">
        <f>PROPER(TRIM(SUBSTITUTE(AN460,".","")))</f>
        <v>Returned</v>
      </c>
      <c r="AP460" t="str">
        <f>IF(COUNTIF($A$2:$A$933, A460) &gt; 1, "Duplicate ID", "Unique")</f>
        <v>Unique</v>
      </c>
      <c r="AR460">
        <f t="shared" si="60"/>
        <v>1951.5440000000003</v>
      </c>
      <c r="AS460">
        <f t="shared" si="61"/>
        <v>341.59400000000028</v>
      </c>
      <c r="AT460" s="15">
        <f t="shared" si="62"/>
        <v>0.17503781621116421</v>
      </c>
      <c r="AU460" t="str">
        <f t="shared" si="63"/>
        <v>Clean</v>
      </c>
      <c r="AV460" s="8" t="str">
        <f t="shared" si="64"/>
        <v>Active</v>
      </c>
    </row>
    <row r="461" spans="1:48">
      <c r="A461" s="3" t="s">
        <v>1847</v>
      </c>
      <c r="B461" s="3" t="s">
        <v>1531</v>
      </c>
      <c r="C461" s="9">
        <f>IFERROR(DATEVALUE(TEXT(B461,"DD/MM/YYYY")), IF(ISNUMBER(B461), B461, ""))</f>
        <v>45680</v>
      </c>
      <c r="D461" s="9" t="str">
        <f>IF(B461="","Missing", IF(AND(ISNUMBER(B461)=FALSE, C461=""),"Invalid - Could Not Parse", IF(AND(ISNUMBER(B461)=FALSE, C461&lt;&gt;""),"Text - Converted to Date", IF(ISNUMBER(B461),"Valid","Check"))))</f>
        <v>Text - Converted to Date</v>
      </c>
      <c r="E461" s="5">
        <f t="shared" si="57"/>
        <v>1</v>
      </c>
      <c r="F461" s="5">
        <f t="shared" si="58"/>
        <v>2025</v>
      </c>
      <c r="G461" s="3" t="s">
        <v>191</v>
      </c>
      <c r="H461" s="9">
        <f>IFERROR(DATEVALUE(MID(G461,4,2) &amp; "/" &amp; LEFT(G461,2) &amp; "/" &amp; RIGHT(G461,4)), IF(ISNUMBER(G461), G461, IFERROR(DATEVALUE(G461), "")))</f>
        <v>45687</v>
      </c>
      <c r="I461" s="9" t="str">
        <f>IF(G461="","Missing", IF(AND(ISNUMBER(G461)=FALSE, H461=""),"Invalid - Could Not Parse", IF(AND(ISNUMBER(G461)=FALSE, H461&lt;&gt;""),"Text - Converted to Date", IF(ISNUMBER(G461),"Valid","Check"))))</f>
        <v>Text - Converted to Date</v>
      </c>
      <c r="J461" s="9" t="str">
        <f>IF(OR(C461="", H461=""), "Cannot Check - Date Missing", IF(H461&lt;C461, "Invalid - Ship Before Order", "Valid"))</f>
        <v>Valid</v>
      </c>
      <c r="K461" s="5">
        <f>IF(OR(C461="", H461=""), "", IF(H461&lt;C461, "", H461-C461))</f>
        <v>7</v>
      </c>
      <c r="L461" s="3" t="s">
        <v>1848</v>
      </c>
      <c r="M461" s="3" t="s">
        <v>142</v>
      </c>
      <c r="N461" s="4" t="str">
        <f>TRIM(SUBSTITUTE(M461,"_"," "))</f>
        <v>Priya Menon</v>
      </c>
      <c r="O461" s="3" t="s">
        <v>26</v>
      </c>
      <c r="P461" s="6" t="str">
        <f>PROPER(TRIM(SUBSTITUTE(O461,".","")))</f>
        <v>Consumer</v>
      </c>
      <c r="Q461" s="3" t="s">
        <v>27</v>
      </c>
      <c r="R461" s="7" t="str">
        <f>PROPER(TRIM(SUBSTITUTE(Q461,"  "," ")))</f>
        <v>North</v>
      </c>
      <c r="S461" s="3" t="s">
        <v>506</v>
      </c>
      <c r="T461" s="6" t="str">
        <f>PROPER(TRIM(SUBSTITUTE(S461,"  "," ")))</f>
        <v>Delhi</v>
      </c>
      <c r="U461" s="3" t="s">
        <v>507</v>
      </c>
      <c r="V461" s="6" t="str">
        <f>PROPER(TRIM(SUBSTITUTE(U461,"  "," ")))</f>
        <v>New Delhi</v>
      </c>
      <c r="W461" s="3" t="s">
        <v>30</v>
      </c>
      <c r="X461" s="6" t="str">
        <f>PROPER(TRIM(SUBSTITUTE(W461,"  "," ")))</f>
        <v>Office Supplies</v>
      </c>
      <c r="Y461" s="3" t="s">
        <v>109</v>
      </c>
      <c r="Z461" s="6" t="str">
        <f>PROPER(TRIM(SUBSTITUTE(Y461,"  "," ")))</f>
        <v>Labels</v>
      </c>
      <c r="AA461" s="3" t="s">
        <v>1849</v>
      </c>
      <c r="AB461" s="3" t="s">
        <v>67</v>
      </c>
      <c r="AC461" s="6" t="str">
        <f>PROPER(TRIM(SUBSTITUTE(AB461,"  "," ")))</f>
        <v>Standard Class</v>
      </c>
      <c r="AD461" s="3">
        <v>9</v>
      </c>
      <c r="AE461" s="3">
        <v>1169.3699999999999</v>
      </c>
      <c r="AF461" s="3">
        <v>0.15</v>
      </c>
      <c r="AG461" s="17">
        <v>0.15</v>
      </c>
      <c r="AH461" s="6" t="str">
        <f t="shared" si="59"/>
        <v>Valid</v>
      </c>
      <c r="AI461" s="3">
        <v>8945.68</v>
      </c>
      <c r="AJ461" s="3">
        <v>6740.35</v>
      </c>
      <c r="AK461" s="3">
        <v>2205.33</v>
      </c>
      <c r="AL461" s="3" t="s">
        <v>34</v>
      </c>
      <c r="AM461" s="6" t="str">
        <f>PROPER(TRIM(SUBSTITUTE(AL461,".","")))</f>
        <v>Paid</v>
      </c>
      <c r="AN461" s="3" t="s">
        <v>35</v>
      </c>
      <c r="AO461" s="8" t="str">
        <f>PROPER(TRIM(SUBSTITUTE(AN461,".","")))</f>
        <v>Completed</v>
      </c>
      <c r="AP461" t="str">
        <f>IF(COUNTIF($A$2:$A$933, A461) &gt; 1, "Duplicate ID", "Unique")</f>
        <v>Unique</v>
      </c>
      <c r="AR461">
        <f t="shared" si="60"/>
        <v>8945.6804999999986</v>
      </c>
      <c r="AS461">
        <f t="shared" si="61"/>
        <v>2205.3304999999982</v>
      </c>
      <c r="AT461" s="15">
        <f t="shared" si="62"/>
        <v>0.24652462157574245</v>
      </c>
      <c r="AU461" t="str">
        <f t="shared" si="63"/>
        <v>Clean</v>
      </c>
      <c r="AV461" s="8" t="str">
        <f t="shared" si="64"/>
        <v>Active</v>
      </c>
    </row>
    <row r="462" spans="1:48">
      <c r="A462" s="3" t="s">
        <v>189</v>
      </c>
      <c r="B462" s="3" t="s">
        <v>190</v>
      </c>
      <c r="C462" s="9">
        <f>IFERROR(DATEVALUE(TEXT(B462,"DD/MM/YYYY")), IF(ISNUMBER(B462), B462, ""))</f>
        <v>45681</v>
      </c>
      <c r="D462" s="9" t="str">
        <f>IF(B462="","Missing", IF(AND(ISNUMBER(B462)=FALSE, C462=""),"Invalid - Could Not Parse", IF(AND(ISNUMBER(B462)=FALSE, C462&lt;&gt;""),"Text - Converted to Date", IF(ISNUMBER(B462),"Valid","Check"))))</f>
        <v>Text - Converted to Date</v>
      </c>
      <c r="E462" s="5">
        <f t="shared" si="57"/>
        <v>1</v>
      </c>
      <c r="F462" s="5">
        <f t="shared" si="58"/>
        <v>2025</v>
      </c>
      <c r="G462" s="3" t="s">
        <v>191</v>
      </c>
      <c r="H462" s="9">
        <f>IFERROR(DATEVALUE(MID(G462,4,2) &amp; "/" &amp; LEFT(G462,2) &amp; "/" &amp; RIGHT(G462,4)), IF(ISNUMBER(G462), G462, IFERROR(DATEVALUE(G462), "")))</f>
        <v>45687</v>
      </c>
      <c r="I462" s="9" t="str">
        <f>IF(G462="","Missing", IF(AND(ISNUMBER(G462)=FALSE, H462=""),"Invalid - Could Not Parse", IF(AND(ISNUMBER(G462)=FALSE, H462&lt;&gt;""),"Text - Converted to Date", IF(ISNUMBER(G462),"Valid","Check"))))</f>
        <v>Text - Converted to Date</v>
      </c>
      <c r="J462" s="9" t="str">
        <f>IF(OR(C462="", H462=""), "Cannot Check - Date Missing", IF(H462&lt;C462, "Invalid - Ship Before Order", "Valid"))</f>
        <v>Valid</v>
      </c>
      <c r="K462" s="5">
        <f>IF(OR(C462="", H462=""), "", IF(H462&lt;C462, "", H462-C462))</f>
        <v>6</v>
      </c>
      <c r="L462" s="3" t="s">
        <v>192</v>
      </c>
      <c r="M462" s="3" t="s">
        <v>168</v>
      </c>
      <c r="N462" s="4" t="str">
        <f>TRIM(SUBSTITUTE(M462,"_"," "))</f>
        <v>Sneha Kapoor</v>
      </c>
      <c r="O462" s="3" t="s">
        <v>26</v>
      </c>
      <c r="P462" s="6" t="str">
        <f>PROPER(TRIM(SUBSTITUTE(O462,".","")))</f>
        <v>Consumer</v>
      </c>
      <c r="Q462" s="3" t="s">
        <v>73</v>
      </c>
      <c r="R462" s="7" t="str">
        <f>PROPER(TRIM(SUBSTITUTE(Q462,"  "," ")))</f>
        <v>West</v>
      </c>
      <c r="S462" s="3" t="s">
        <v>84</v>
      </c>
      <c r="T462" s="6" t="str">
        <f>PROPER(TRIM(SUBSTITUTE(S462,"  "," ")))</f>
        <v>Madhya Pradesh</v>
      </c>
      <c r="U462" s="3" t="s">
        <v>85</v>
      </c>
      <c r="V462" s="6" t="str">
        <f>PROPER(TRIM(SUBSTITUTE(U462,"  "," ")))</f>
        <v>Indore</v>
      </c>
      <c r="W462" s="3" t="s">
        <v>45</v>
      </c>
      <c r="X462" s="6" t="str">
        <f>PROPER(TRIM(SUBSTITUTE(W462,"  "," ")))</f>
        <v>Furniture</v>
      </c>
      <c r="Y462" s="3" t="s">
        <v>65</v>
      </c>
      <c r="Z462" s="6" t="str">
        <f>PROPER(TRIM(SUBSTITUTE(Y462,"  "," ")))</f>
        <v>Furnishings</v>
      </c>
      <c r="AA462" s="3" t="s">
        <v>193</v>
      </c>
      <c r="AB462" s="3" t="s">
        <v>33</v>
      </c>
      <c r="AC462" s="6" t="str">
        <f>PROPER(TRIM(SUBSTITUTE(AB462,"  "," ")))</f>
        <v>Second Class</v>
      </c>
      <c r="AD462" s="3">
        <v>4</v>
      </c>
      <c r="AE462" s="3">
        <v>697.69</v>
      </c>
      <c r="AF462" s="3">
        <v>-0.23</v>
      </c>
      <c r="AG462" s="17">
        <v>-0.23</v>
      </c>
      <c r="AH462" s="6" t="str">
        <f t="shared" si="59"/>
        <v>Invalid - Negative</v>
      </c>
      <c r="AI462" s="3">
        <v>2790.76</v>
      </c>
      <c r="AJ462" s="3">
        <v>2037.71</v>
      </c>
      <c r="AK462" s="3">
        <v>753.05</v>
      </c>
      <c r="AL462" s="3" t="s">
        <v>34</v>
      </c>
      <c r="AM462" s="6" t="str">
        <f>PROPER(TRIM(SUBSTITUTE(AL462,".","")))</f>
        <v>Paid</v>
      </c>
      <c r="AN462" s="3" t="s">
        <v>35</v>
      </c>
      <c r="AO462" s="8" t="str">
        <f>PROPER(TRIM(SUBSTITUTE(AN462,".","")))</f>
        <v>Completed</v>
      </c>
      <c r="AP462" t="str">
        <f>IF(COUNTIF($A$2:$A$933, A462) &gt; 1, "Duplicate ID", "Unique")</f>
        <v>Unique</v>
      </c>
      <c r="AR462">
        <f t="shared" si="60"/>
        <v>3432.6348000000003</v>
      </c>
      <c r="AS462">
        <f t="shared" si="61"/>
        <v>1394.9248000000002</v>
      </c>
      <c r="AT462" s="15">
        <f t="shared" si="62"/>
        <v>0.40637145553613807</v>
      </c>
      <c r="AU462" t="str">
        <f t="shared" si="63"/>
        <v>Invalid</v>
      </c>
      <c r="AV462" s="8" t="str">
        <f t="shared" si="64"/>
        <v>Active</v>
      </c>
    </row>
    <row r="463" spans="1:48">
      <c r="A463" s="3" t="s">
        <v>2661</v>
      </c>
      <c r="B463" s="3" t="s">
        <v>190</v>
      </c>
      <c r="C463" s="9">
        <f>IFERROR(DATEVALUE(TEXT(B463,"DD/MM/YYYY")), IF(ISNUMBER(B463), B463, ""))</f>
        <v>45681</v>
      </c>
      <c r="D463" s="9" t="str">
        <f>IF(B463="","Missing", IF(AND(ISNUMBER(B463)=FALSE, C463=""),"Invalid - Could Not Parse", IF(AND(ISNUMBER(B463)=FALSE, C463&lt;&gt;""),"Text - Converted to Date", IF(ISNUMBER(B463),"Valid","Check"))))</f>
        <v>Text - Converted to Date</v>
      </c>
      <c r="E463" s="5">
        <f t="shared" si="57"/>
        <v>1</v>
      </c>
      <c r="F463" s="5">
        <f t="shared" si="58"/>
        <v>2025</v>
      </c>
      <c r="G463" s="3" t="s">
        <v>343</v>
      </c>
      <c r="H463" s="9">
        <f>IFERROR(DATEVALUE(TEXT(G463,"DD/MM/YYYY")), IF(ISNUMBER(G463), G463, ""))</f>
        <v>45687</v>
      </c>
      <c r="I463" s="9" t="str">
        <f>IF(G463="","Missing", IF(AND(ISNUMBER(G463)=FALSE, H463=""),"Invalid - Could Not Parse", IF(AND(ISNUMBER(G463)=FALSE, H463&lt;&gt;""),"Text - Converted to Date", IF(ISNUMBER(G463),"Valid","Check"))))</f>
        <v>Text - Converted to Date</v>
      </c>
      <c r="J463" s="9" t="str">
        <f>IF(OR(C463="", H463=""), "Cannot Check - Date Missing", IF(H463&lt;C463, "Invalid - Ship Before Order", "Valid"))</f>
        <v>Valid</v>
      </c>
      <c r="K463" s="5">
        <f>IF(OR(C463="", H463=""), "", IF(H463&lt;C463, "", H463-C463))</f>
        <v>6</v>
      </c>
      <c r="L463" s="3" t="s">
        <v>2662</v>
      </c>
      <c r="M463" s="3" t="s">
        <v>72</v>
      </c>
      <c r="N463" s="4" t="str">
        <f>TRIM(SUBSTITUTE(M463,"_"," "))</f>
        <v>Ananya Rao</v>
      </c>
      <c r="O463" s="3" t="s">
        <v>108</v>
      </c>
      <c r="P463" s="6" t="str">
        <f>PROPER(TRIM(SUBSTITUTE(O463,".","")))</f>
        <v>Corporate</v>
      </c>
      <c r="Q463" s="3" t="s">
        <v>42</v>
      </c>
      <c r="R463" s="7" t="str">
        <f>PROPER(TRIM(SUBSTITUTE(Q463,"  "," ")))</f>
        <v>East</v>
      </c>
      <c r="S463" s="3" t="s">
        <v>121</v>
      </c>
      <c r="T463" s="6" t="str">
        <f>PROPER(TRIM(SUBSTITUTE(S463,"  "," ")))</f>
        <v>West Bengal</v>
      </c>
      <c r="U463" s="3" t="s">
        <v>122</v>
      </c>
      <c r="V463" s="6" t="str">
        <f>PROPER(TRIM(SUBSTITUTE(U463,"  "," ")))</f>
        <v>Kolkata</v>
      </c>
      <c r="W463" s="3" t="s">
        <v>86</v>
      </c>
      <c r="X463" s="6" t="str">
        <f>PROPER(TRIM(SUBSTITUTE(W463,"  "," ")))</f>
        <v>Technology</v>
      </c>
      <c r="Y463" s="3" t="s">
        <v>94</v>
      </c>
      <c r="Z463" s="6" t="str">
        <f>PROPER(TRIM(SUBSTITUTE(Y463,"  "," ")))</f>
        <v>Copiers</v>
      </c>
      <c r="AA463" s="3" t="s">
        <v>2663</v>
      </c>
      <c r="AB463" s="3" t="s">
        <v>67</v>
      </c>
      <c r="AC463" s="6" t="str">
        <f>PROPER(TRIM(SUBSTITUTE(AB463,"  "," ")))</f>
        <v>Standard Class</v>
      </c>
      <c r="AD463" s="3">
        <v>8</v>
      </c>
      <c r="AE463" s="3">
        <v>312.52999999999997</v>
      </c>
      <c r="AF463" s="3" t="s">
        <v>681</v>
      </c>
      <c r="AG463" s="17" t="s">
        <v>681</v>
      </c>
      <c r="AH463" s="6" t="str">
        <f t="shared" si="59"/>
        <v>Invalid - Above Range</v>
      </c>
      <c r="AI463" s="3">
        <v>1875.18</v>
      </c>
      <c r="AJ463" s="3">
        <v>1579.17</v>
      </c>
      <c r="AK463" s="3">
        <v>296.01</v>
      </c>
      <c r="AL463" s="3" t="s">
        <v>34</v>
      </c>
      <c r="AM463" s="6" t="str">
        <f>PROPER(TRIM(SUBSTITUTE(AL463,".","")))</f>
        <v>Paid</v>
      </c>
      <c r="AN463" s="3" t="s">
        <v>35</v>
      </c>
      <c r="AO463" s="8" t="str">
        <f>PROPER(TRIM(SUBSTITUTE(AN463,".","")))</f>
        <v>Completed</v>
      </c>
      <c r="AP463" t="str">
        <f>IF(COUNTIF($A$2:$A$933, A463) &gt; 1, "Duplicate ID", "Unique")</f>
        <v>Unique</v>
      </c>
      <c r="AR463">
        <f t="shared" si="60"/>
        <v>750.072</v>
      </c>
      <c r="AS463">
        <f t="shared" si="61"/>
        <v>-829.09800000000007</v>
      </c>
      <c r="AT463" s="15">
        <f t="shared" si="62"/>
        <v>-1.1053578856429784</v>
      </c>
      <c r="AU463" t="str">
        <f t="shared" si="63"/>
        <v>Invalid</v>
      </c>
      <c r="AV463" s="8" t="str">
        <f t="shared" si="64"/>
        <v>Active</v>
      </c>
    </row>
    <row r="464" spans="1:48">
      <c r="A464" s="3" t="s">
        <v>862</v>
      </c>
      <c r="B464" s="3" t="s">
        <v>559</v>
      </c>
      <c r="C464" s="9">
        <v>45683</v>
      </c>
      <c r="D464" s="9" t="str">
        <f>IF(B464="","Missing", IF(AND(ISNUMBER(B464)=FALSE, C464=""),"Invalid - Could Not Parse", IF(AND(ISNUMBER(B464)=FALSE, C464&lt;&gt;""),"Text - Converted to Date", IF(ISNUMBER(B464),"Valid","Check"))))</f>
        <v>Text - Converted to Date</v>
      </c>
      <c r="E464" s="5">
        <f t="shared" si="57"/>
        <v>1</v>
      </c>
      <c r="F464" s="5">
        <f t="shared" si="58"/>
        <v>2025</v>
      </c>
      <c r="G464" s="3" t="s">
        <v>440</v>
      </c>
      <c r="H464" s="9">
        <f>IFERROR(DATEVALUE(TEXT(G464,"DD/MM/YYYY")), IF(ISNUMBER(G464), G464, ""))</f>
        <v>45691</v>
      </c>
      <c r="I464" s="9" t="str">
        <f>IF(G464="","Missing", IF(AND(ISNUMBER(G464)=FALSE, H464=""),"Invalid - Could Not Parse", IF(AND(ISNUMBER(G464)=FALSE, H464&lt;&gt;""),"Text - Converted to Date", IF(ISNUMBER(G464),"Valid","Check"))))</f>
        <v>Text - Converted to Date</v>
      </c>
      <c r="J464" s="9" t="str">
        <f>IF(OR(C464="", H464=""), "Cannot Check - Date Missing", IF(H464&lt;C464, "Invalid - Ship Before Order", "Valid"))</f>
        <v>Valid</v>
      </c>
      <c r="K464" s="5">
        <f>IF(OR(C464="", H464=""), "", IF(H464&lt;C464, "", H464-C464))</f>
        <v>8</v>
      </c>
      <c r="L464" s="3" t="s">
        <v>863</v>
      </c>
      <c r="M464" s="3" t="s">
        <v>25</v>
      </c>
      <c r="N464" s="4" t="str">
        <f>TRIM(SUBSTITUTE(M464,"_"," "))</f>
        <v>Karan Malhotra</v>
      </c>
      <c r="O464" s="3" t="s">
        <v>108</v>
      </c>
      <c r="P464" s="6" t="str">
        <f>PROPER(TRIM(SUBSTITUTE(O464,".","")))</f>
        <v>Corporate</v>
      </c>
      <c r="Q464" s="3" t="s">
        <v>73</v>
      </c>
      <c r="R464" s="7" t="str">
        <f>PROPER(TRIM(SUBSTITUTE(Q464,"  "," ")))</f>
        <v>West</v>
      </c>
      <c r="S464" s="3" t="s">
        <v>28</v>
      </c>
      <c r="T464" s="6" t="str">
        <f>PROPER(TRIM(SUBSTITUTE(S464,"  "," ")))</f>
        <v>Rajasthan</v>
      </c>
      <c r="U464" s="3" t="s">
        <v>135</v>
      </c>
      <c r="V464" s="6" t="str">
        <f>PROPER(TRIM(SUBSTITUTE(U464,"  "," ")))</f>
        <v>Udaipur</v>
      </c>
      <c r="W464" s="3" t="s">
        <v>45</v>
      </c>
      <c r="X464" s="6" t="str">
        <f>PROPER(TRIM(SUBSTITUTE(W464,"  "," ")))</f>
        <v>Furniture</v>
      </c>
      <c r="Y464" s="3" t="s">
        <v>65</v>
      </c>
      <c r="Z464" s="6" t="str">
        <f>PROPER(TRIM(SUBSTITUTE(Y464,"  "," ")))</f>
        <v>Furnishings</v>
      </c>
      <c r="AA464" s="3" t="s">
        <v>864</v>
      </c>
      <c r="AB464" s="3" t="s">
        <v>48</v>
      </c>
      <c r="AC464" s="6" t="str">
        <f>PROPER(TRIM(SUBSTITUTE(AB464,"  "," ")))</f>
        <v>Same Day</v>
      </c>
      <c r="AD464" s="3">
        <v>3</v>
      </c>
      <c r="AE464" s="3">
        <v>2859.32</v>
      </c>
      <c r="AF464" s="3">
        <v>0.1</v>
      </c>
      <c r="AG464" s="17">
        <v>0.1</v>
      </c>
      <c r="AH464" s="6" t="str">
        <f t="shared" si="59"/>
        <v>Valid</v>
      </c>
      <c r="AI464" s="3">
        <v>7720.16</v>
      </c>
      <c r="AJ464" s="3">
        <v>5881</v>
      </c>
      <c r="AK464" s="3">
        <v>1839.16</v>
      </c>
      <c r="AL464" s="3" t="s">
        <v>124</v>
      </c>
      <c r="AM464" s="6" t="str">
        <f>PROPER(TRIM(SUBSTITUTE(AL464,".","")))</f>
        <v>Refunded</v>
      </c>
      <c r="AN464" s="3" t="s">
        <v>125</v>
      </c>
      <c r="AO464" s="8" t="str">
        <f>PROPER(TRIM(SUBSTITUTE(AN464,".","")))</f>
        <v>Returned</v>
      </c>
      <c r="AP464" t="str">
        <f>IF(COUNTIF($A$2:$A$933, A464) &gt; 1, "Duplicate ID", "Unique")</f>
        <v>Unique</v>
      </c>
      <c r="AR464">
        <f t="shared" si="60"/>
        <v>7720.1640000000007</v>
      </c>
      <c r="AS464">
        <f t="shared" si="61"/>
        <v>1839.1640000000007</v>
      </c>
      <c r="AT464" s="15">
        <f t="shared" si="62"/>
        <v>0.23822861794127695</v>
      </c>
      <c r="AU464" t="str">
        <f t="shared" si="63"/>
        <v>Clean</v>
      </c>
      <c r="AV464" s="8" t="str">
        <f t="shared" si="64"/>
        <v>Refund</v>
      </c>
    </row>
    <row r="465" spans="1:48">
      <c r="A465" s="3" t="s">
        <v>1046</v>
      </c>
      <c r="B465" s="3" t="s">
        <v>1047</v>
      </c>
      <c r="C465" s="9">
        <f>IFERROR(DATEVALUE(TEXT(B465,"DD/MM/YYYY")), IF(ISNUMBER(B465), B465, ""))</f>
        <v>45685</v>
      </c>
      <c r="D465" s="9" t="str">
        <f>IF(B465="","Missing", IF(AND(ISNUMBER(B465)=FALSE, C465=""),"Invalid - Could Not Parse", IF(AND(ISNUMBER(B465)=FALSE, C465&lt;&gt;""),"Text - Converted to Date", IF(ISNUMBER(B465),"Valid","Check"))))</f>
        <v>Text - Converted to Date</v>
      </c>
      <c r="E465" s="5">
        <f t="shared" si="57"/>
        <v>1</v>
      </c>
      <c r="F465" s="5">
        <f t="shared" si="58"/>
        <v>2025</v>
      </c>
      <c r="G465" s="3" t="s">
        <v>1048</v>
      </c>
      <c r="H465" s="9">
        <f>IFERROR(DATEVALUE(MID(G465,4,2) &amp; "/" &amp; LEFT(G465,2) &amp; "/" &amp; RIGHT(G465,4)), IF(ISNUMBER(G465), G465, IFERROR(DATEVALUE(G465), "")))</f>
        <v>45688</v>
      </c>
      <c r="I465" s="9" t="str">
        <f>IF(G465="","Missing", IF(AND(ISNUMBER(G465)=FALSE, H465=""),"Invalid - Could Not Parse", IF(AND(ISNUMBER(G465)=FALSE, H465&lt;&gt;""),"Text - Converted to Date", IF(ISNUMBER(G465),"Valid","Check"))))</f>
        <v>Text - Converted to Date</v>
      </c>
      <c r="J465" s="9" t="str">
        <f>IF(OR(C465="", H465=""), "Cannot Check - Date Missing", IF(H465&lt;C465, "Invalid - Ship Before Order", "Valid"))</f>
        <v>Valid</v>
      </c>
      <c r="K465" s="5">
        <f>IF(OR(C465="", H465=""), "", IF(H465&lt;C465, "", H465-C465))</f>
        <v>3</v>
      </c>
      <c r="L465" s="3" t="s">
        <v>1049</v>
      </c>
      <c r="M465" s="3" t="s">
        <v>142</v>
      </c>
      <c r="N465" s="4" t="str">
        <f>TRIM(SUBSTITUTE(M465,"_"," "))</f>
        <v>Priya Menon</v>
      </c>
      <c r="O465" s="3" t="s">
        <v>26</v>
      </c>
      <c r="P465" s="6" t="str">
        <f>PROPER(TRIM(SUBSTITUTE(O465,".","")))</f>
        <v>Consumer</v>
      </c>
      <c r="Q465" s="3" t="s">
        <v>1050</v>
      </c>
      <c r="R465" s="7" t="str">
        <f>PROPER(TRIM(SUBSTITUTE(Q465,"  "," ")))</f>
        <v>West</v>
      </c>
      <c r="S465" s="3" t="s">
        <v>74</v>
      </c>
      <c r="T465" s="6" t="str">
        <f>PROPER(TRIM(SUBSTITUTE(S465,"  "," ")))</f>
        <v>Maharashtra</v>
      </c>
      <c r="U465" s="3" t="s">
        <v>75</v>
      </c>
      <c r="V465" s="6" t="str">
        <f>PROPER(TRIM(SUBSTITUTE(U465,"  "," ")))</f>
        <v>Mumbai</v>
      </c>
      <c r="W465" s="3" t="s">
        <v>45</v>
      </c>
      <c r="X465" s="6" t="str">
        <f>PROPER(TRIM(SUBSTITUTE(W465,"  "," ")))</f>
        <v>Furniture</v>
      </c>
      <c r="Y465" s="3" t="s">
        <v>65</v>
      </c>
      <c r="Z465" s="6" t="str">
        <f>PROPER(TRIM(SUBSTITUTE(Y465,"  "," ")))</f>
        <v>Furnishings</v>
      </c>
      <c r="AA465" s="3" t="s">
        <v>1051</v>
      </c>
      <c r="AB465" s="3" t="s">
        <v>56</v>
      </c>
      <c r="AC465" s="6" t="str">
        <f>PROPER(TRIM(SUBSTITUTE(AB465,"  "," ")))</f>
        <v>First Class</v>
      </c>
      <c r="AD465" s="3">
        <v>9</v>
      </c>
      <c r="AE465" s="3">
        <v>858.39</v>
      </c>
      <c r="AF465" s="3">
        <v>0.05</v>
      </c>
      <c r="AG465" s="17">
        <v>0.05</v>
      </c>
      <c r="AH465" s="6" t="str">
        <f t="shared" si="59"/>
        <v>Valid</v>
      </c>
      <c r="AI465" s="3">
        <v>7339.23</v>
      </c>
      <c r="AJ465" s="3">
        <v>5434.12</v>
      </c>
      <c r="AK465" s="3">
        <v>1905.11</v>
      </c>
      <c r="AL465" s="3" t="s">
        <v>137</v>
      </c>
      <c r="AM465" s="6" t="str">
        <f>PROPER(TRIM(SUBSTITUTE(AL465,".","")))</f>
        <v>Pending</v>
      </c>
      <c r="AN465" s="3" t="s">
        <v>125</v>
      </c>
      <c r="AO465" s="8" t="str">
        <f>PROPER(TRIM(SUBSTITUTE(AN465,".","")))</f>
        <v>Returned</v>
      </c>
      <c r="AP465" t="str">
        <f>IF(COUNTIF($A$2:$A$933, A465) &gt; 1, "Duplicate ID", "Unique")</f>
        <v>Unique</v>
      </c>
      <c r="AR465">
        <f t="shared" si="60"/>
        <v>7339.2344999999996</v>
      </c>
      <c r="AS465">
        <f t="shared" si="61"/>
        <v>1905.1144999999997</v>
      </c>
      <c r="AT465" s="15">
        <f t="shared" si="62"/>
        <v>0.25957945614082772</v>
      </c>
      <c r="AU465" t="str">
        <f t="shared" si="63"/>
        <v>Clean</v>
      </c>
      <c r="AV465" s="8" t="str">
        <f t="shared" si="64"/>
        <v>Active</v>
      </c>
    </row>
    <row r="466" spans="1:48">
      <c r="A466" s="3" t="s">
        <v>2626</v>
      </c>
      <c r="B466" s="3" t="s">
        <v>2627</v>
      </c>
      <c r="C466" s="9">
        <f>IFERROR(DATEVALUE(TEXT(B466,"DD/MM/YYYY")), IF(ISNUMBER(B466), B466, ""))</f>
        <v>45686</v>
      </c>
      <c r="D466" s="9" t="str">
        <f>IF(B466="","Missing", IF(AND(ISNUMBER(B466)=FALSE, C466=""),"Invalid - Could Not Parse", IF(AND(ISNUMBER(B466)=FALSE, C466&lt;&gt;""),"Text - Converted to Date", IF(ISNUMBER(B466),"Valid","Check"))))</f>
        <v>Text - Converted to Date</v>
      </c>
      <c r="E466" s="5">
        <f t="shared" si="57"/>
        <v>1</v>
      </c>
      <c r="F466" s="5">
        <f t="shared" si="58"/>
        <v>2025</v>
      </c>
      <c r="G466" s="3" t="s">
        <v>2060</v>
      </c>
      <c r="H466" s="9">
        <f>IFERROR(DATEVALUE(TEXT(G466,"DD/MM/YYYY")), IF(ISNUMBER(G466), G466, ""))</f>
        <v>45779</v>
      </c>
      <c r="I466" s="9" t="str">
        <f>IF(G466="","Missing", IF(AND(ISNUMBER(G466)=FALSE, H466=""),"Invalid - Could Not Parse", IF(AND(ISNUMBER(G466)=FALSE, H466&lt;&gt;""),"Text - Converted to Date", IF(ISNUMBER(G466),"Valid","Check"))))</f>
        <v>Text - Converted to Date</v>
      </c>
      <c r="J466" s="9" t="str">
        <f>IF(OR(C466="", H466=""), "Cannot Check - Date Missing", IF(H466&lt;C466, "Invalid - Ship Before Order", "Valid"))</f>
        <v>Valid</v>
      </c>
      <c r="K466" s="5">
        <f>IF(OR(C466="", H466=""), "", IF(H466&lt;C466, "", H466-C466))</f>
        <v>93</v>
      </c>
      <c r="L466" s="3" t="s">
        <v>2628</v>
      </c>
      <c r="M466" s="3" t="s">
        <v>72</v>
      </c>
      <c r="N466" s="4" t="str">
        <f>TRIM(SUBSTITUTE(M466,"_"," "))</f>
        <v>Ananya Rao</v>
      </c>
      <c r="O466" s="3" t="s">
        <v>26</v>
      </c>
      <c r="P466" s="6" t="str">
        <f>PROPER(TRIM(SUBSTITUTE(O466,".","")))</f>
        <v>Consumer</v>
      </c>
      <c r="Q466" s="3" t="s">
        <v>62</v>
      </c>
      <c r="R466" s="7" t="str">
        <f>PROPER(TRIM(SUBSTITUTE(Q466,"  "," ")))</f>
        <v>South</v>
      </c>
      <c r="S466" s="3" t="s">
        <v>242</v>
      </c>
      <c r="T466" s="6" t="str">
        <f>PROPER(TRIM(SUBSTITUTE(S466,"  "," ")))</f>
        <v>Kerala</v>
      </c>
      <c r="U466" s="3" t="s">
        <v>243</v>
      </c>
      <c r="V466" s="6" t="str">
        <f>PROPER(TRIM(SUBSTITUTE(U466,"  "," ")))</f>
        <v>Kochi</v>
      </c>
      <c r="W466" s="3" t="s">
        <v>30</v>
      </c>
      <c r="X466" s="6" t="str">
        <f>PROPER(TRIM(SUBSTITUTE(W466,"  "," ")))</f>
        <v>Office Supplies</v>
      </c>
      <c r="Y466" s="3" t="s">
        <v>54</v>
      </c>
      <c r="Z466" s="6" t="str">
        <f>PROPER(TRIM(SUBSTITUTE(Y466,"  "," ")))</f>
        <v>Art</v>
      </c>
      <c r="AA466" s="3" t="s">
        <v>2629</v>
      </c>
      <c r="AB466" s="3" t="s">
        <v>48</v>
      </c>
      <c r="AC466" s="6" t="str">
        <f>PROPER(TRIM(SUBSTITUTE(AB466,"  "," ")))</f>
        <v>Same Day</v>
      </c>
      <c r="AD466" s="3">
        <v>8</v>
      </c>
      <c r="AE466" s="3">
        <v>3643.62</v>
      </c>
      <c r="AF466" s="3">
        <v>0.25</v>
      </c>
      <c r="AG466" s="17">
        <v>0.25</v>
      </c>
      <c r="AH466" s="6" t="str">
        <f t="shared" si="59"/>
        <v>Valid</v>
      </c>
      <c r="AI466" s="3">
        <v>21861.72</v>
      </c>
      <c r="AJ466" s="3">
        <v>18464.34</v>
      </c>
      <c r="AK466" s="3">
        <v>3397.38</v>
      </c>
      <c r="AL466" s="3" t="s">
        <v>34</v>
      </c>
      <c r="AM466" s="6" t="str">
        <f>PROPER(TRIM(SUBSTITUTE(AL466,".","")))</f>
        <v>Paid</v>
      </c>
      <c r="AN466" s="3" t="s">
        <v>78</v>
      </c>
      <c r="AO466" s="8" t="str">
        <f>PROPER(TRIM(SUBSTITUTE(AN466,".","")))</f>
        <v>Cancelled</v>
      </c>
      <c r="AP466" t="str">
        <f>IF(COUNTIF($A$2:$A$933, A466) &gt; 1, "Duplicate ID", "Unique")</f>
        <v>Unique</v>
      </c>
      <c r="AR466">
        <f t="shared" si="60"/>
        <v>21861.72</v>
      </c>
      <c r="AS466">
        <f t="shared" si="61"/>
        <v>3397.380000000001</v>
      </c>
      <c r="AT466" s="15">
        <f t="shared" si="62"/>
        <v>0.1554031430280875</v>
      </c>
      <c r="AU466" t="str">
        <f t="shared" si="63"/>
        <v>Clean</v>
      </c>
      <c r="AV466" s="8" t="str">
        <f t="shared" si="64"/>
        <v>Cancelled</v>
      </c>
    </row>
    <row r="467" spans="1:48">
      <c r="A467" s="3" t="s">
        <v>2954</v>
      </c>
      <c r="B467" s="3" t="s">
        <v>2955</v>
      </c>
      <c r="C467" s="9">
        <f>IFERROR(DATEVALUE(TEXT(B467,"DD/MM/YYYY")), IF(ISNUMBER(B467), B467, ""))</f>
        <v>45686</v>
      </c>
      <c r="D467" s="9" t="str">
        <f>IF(B467="","Missing", IF(AND(ISNUMBER(B467)=FALSE, C467=""),"Invalid - Could Not Parse", IF(AND(ISNUMBER(B467)=FALSE, C467&lt;&gt;""),"Text - Converted to Date", IF(ISNUMBER(B467),"Valid","Check"))))</f>
        <v>Text - Converted to Date</v>
      </c>
      <c r="E467" s="5">
        <f t="shared" si="57"/>
        <v>1</v>
      </c>
      <c r="F467" s="5">
        <f t="shared" si="58"/>
        <v>2025</v>
      </c>
      <c r="G467" s="3" t="s">
        <v>2956</v>
      </c>
      <c r="H467" s="9">
        <f>IFERROR(DATEVALUE(TEXT(G467,"DD/MM/YYYY")), IF(ISNUMBER(G467), G467, ""))</f>
        <v>45694</v>
      </c>
      <c r="I467" s="9" t="str">
        <f>IF(G467="","Missing", IF(AND(ISNUMBER(G467)=FALSE, H467=""),"Invalid - Could Not Parse", IF(AND(ISNUMBER(G467)=FALSE, H467&lt;&gt;""),"Text - Converted to Date", IF(ISNUMBER(G467),"Valid","Check"))))</f>
        <v>Text - Converted to Date</v>
      </c>
      <c r="J467" s="9" t="str">
        <f>IF(OR(C467="", H467=""), "Cannot Check - Date Missing", IF(H467&lt;C467, "Invalid - Ship Before Order", "Valid"))</f>
        <v>Valid</v>
      </c>
      <c r="K467" s="5">
        <f>IF(OR(C467="", H467=""), "", IF(H467&lt;C467, "", H467-C467))</f>
        <v>8</v>
      </c>
      <c r="L467" s="3" t="s">
        <v>2957</v>
      </c>
      <c r="M467" s="3" t="s">
        <v>83</v>
      </c>
      <c r="N467" s="4" t="str">
        <f>TRIM(SUBSTITUTE(M467,"_"," "))</f>
        <v>Vikram Iyer</v>
      </c>
      <c r="O467" s="3" t="s">
        <v>26</v>
      </c>
      <c r="P467" s="6" t="str">
        <f>PROPER(TRIM(SUBSTITUTE(O467,".","")))</f>
        <v>Consumer</v>
      </c>
      <c r="Q467" s="3" t="s">
        <v>42</v>
      </c>
      <c r="R467" s="7" t="str">
        <f>PROPER(TRIM(SUBSTITUTE(Q467,"  "," ")))</f>
        <v>East</v>
      </c>
      <c r="S467" s="3" t="s">
        <v>186</v>
      </c>
      <c r="T467" s="6" t="str">
        <f>PROPER(TRIM(SUBSTITUTE(S467,"  "," ")))</f>
        <v>Bihar</v>
      </c>
      <c r="U467" s="3" t="s">
        <v>187</v>
      </c>
      <c r="V467" s="6" t="str">
        <f>PROPER(TRIM(SUBSTITUTE(U467,"  "," ")))</f>
        <v>Patna</v>
      </c>
      <c r="W467" s="3" t="s">
        <v>30</v>
      </c>
      <c r="X467" s="6" t="str">
        <f>PROPER(TRIM(SUBSTITUTE(W467,"  "," ")))</f>
        <v>Office Supplies</v>
      </c>
      <c r="Y467" s="3" t="s">
        <v>156</v>
      </c>
      <c r="Z467" s="6" t="str">
        <f>PROPER(TRIM(SUBSTITUTE(Y467,"  "," ")))</f>
        <v>Storage</v>
      </c>
      <c r="AA467" s="3" t="s">
        <v>2958</v>
      </c>
      <c r="AB467" s="3" t="s">
        <v>67</v>
      </c>
      <c r="AC467" s="6" t="str">
        <f>PROPER(TRIM(SUBSTITUTE(AB467,"  "," ")))</f>
        <v>Standard Class</v>
      </c>
      <c r="AD467" s="3">
        <v>4</v>
      </c>
      <c r="AE467" s="3">
        <v>2759.01</v>
      </c>
      <c r="AF467" s="3">
        <v>0.05</v>
      </c>
      <c r="AG467" s="17">
        <v>0.05</v>
      </c>
      <c r="AH467" s="6" t="str">
        <f t="shared" si="59"/>
        <v>Valid</v>
      </c>
      <c r="AI467" s="3">
        <v>10484.24</v>
      </c>
      <c r="AJ467" s="3">
        <v>6680.15</v>
      </c>
      <c r="AK467" s="3">
        <v>3804.09</v>
      </c>
      <c r="AL467" s="3" t="s">
        <v>34</v>
      </c>
      <c r="AM467" s="6" t="str">
        <f>PROPER(TRIM(SUBSTITUTE(AL467,".","")))</f>
        <v>Paid</v>
      </c>
      <c r="AN467" s="3" t="s">
        <v>35</v>
      </c>
      <c r="AO467" s="8" t="str">
        <f>PROPER(TRIM(SUBSTITUTE(AN467,".","")))</f>
        <v>Completed</v>
      </c>
      <c r="AP467" t="str">
        <f>IF(COUNTIF($A$2:$A$933, A467) &gt; 1, "Duplicate ID", "Unique")</f>
        <v>Unique</v>
      </c>
      <c r="AR467">
        <f t="shared" si="60"/>
        <v>10484.238000000001</v>
      </c>
      <c r="AS467">
        <f t="shared" si="61"/>
        <v>3804.0880000000016</v>
      </c>
      <c r="AT467" s="15">
        <f t="shared" si="62"/>
        <v>0.36283876806306775</v>
      </c>
      <c r="AU467" t="str">
        <f t="shared" si="63"/>
        <v>Clean</v>
      </c>
      <c r="AV467" s="8" t="str">
        <f t="shared" si="64"/>
        <v>Active</v>
      </c>
    </row>
    <row r="468" spans="1:48">
      <c r="A468" s="3" t="s">
        <v>342</v>
      </c>
      <c r="B468" s="3" t="s">
        <v>343</v>
      </c>
      <c r="C468" s="9">
        <f>IFERROR(DATEVALUE(TEXT(B468,"DD/MM/YYYY")), IF(ISNUMBER(B468), B468, ""))</f>
        <v>45687</v>
      </c>
      <c r="D468" s="9" t="str">
        <f>IF(B468="","Missing", IF(AND(ISNUMBER(B468)=FALSE, C468=""),"Invalid - Could Not Parse", IF(AND(ISNUMBER(B468)=FALSE, C468&lt;&gt;""),"Text - Converted to Date", IF(ISNUMBER(B468),"Valid","Check"))))</f>
        <v>Text - Converted to Date</v>
      </c>
      <c r="E468" s="5">
        <f t="shared" si="57"/>
        <v>1</v>
      </c>
      <c r="F468" s="5">
        <f t="shared" si="58"/>
        <v>2025</v>
      </c>
      <c r="G468" s="3" t="s">
        <v>344</v>
      </c>
      <c r="H468" s="9">
        <f>IFERROR(DATEVALUE(TEXT(G468,"DD/MM/YYYY")), IF(ISNUMBER(G468), G468, ""))</f>
        <v>45693</v>
      </c>
      <c r="I468" s="9" t="str">
        <f>IF(G468="","Missing", IF(AND(ISNUMBER(G468)=FALSE, H468=""),"Invalid - Could Not Parse", IF(AND(ISNUMBER(G468)=FALSE, H468&lt;&gt;""),"Text - Converted to Date", IF(ISNUMBER(G468),"Valid","Check"))))</f>
        <v>Text - Converted to Date</v>
      </c>
      <c r="J468" s="9" t="str">
        <f>IF(OR(C468="", H468=""), "Cannot Check - Date Missing", IF(H468&lt;C468, "Invalid - Ship Before Order", "Valid"))</f>
        <v>Valid</v>
      </c>
      <c r="K468" s="5">
        <f>IF(OR(C468="", H468=""), "", IF(H468&lt;C468, "", H468-C468))</f>
        <v>6</v>
      </c>
      <c r="L468" s="3" t="s">
        <v>345</v>
      </c>
      <c r="M468" s="3" t="s">
        <v>93</v>
      </c>
      <c r="N468" s="4" t="str">
        <f>TRIM(SUBSTITUTE(M468,"_"," "))</f>
        <v>Neha Gupta</v>
      </c>
      <c r="O468" s="3" t="s">
        <v>108</v>
      </c>
      <c r="P468" s="6" t="str">
        <f>PROPER(TRIM(SUBSTITUTE(O468,".","")))</f>
        <v>Corporate</v>
      </c>
      <c r="Q468" s="3" t="s">
        <v>73</v>
      </c>
      <c r="R468" s="7" t="str">
        <f>PROPER(TRIM(SUBSTITUTE(Q468,"  "," ")))</f>
        <v>West</v>
      </c>
      <c r="S468" s="3" t="s">
        <v>74</v>
      </c>
      <c r="T468" s="6" t="str">
        <f>PROPER(TRIM(SUBSTITUTE(S468,"  "," ")))</f>
        <v>Maharashtra</v>
      </c>
      <c r="U468" s="3" t="s">
        <v>75</v>
      </c>
      <c r="V468" s="6" t="str">
        <f>PROPER(TRIM(SUBSTITUTE(U468,"  "," ")))</f>
        <v>Mumbai</v>
      </c>
      <c r="W468" s="3" t="s">
        <v>45</v>
      </c>
      <c r="X468" s="6" t="str">
        <f>PROPER(TRIM(SUBSTITUTE(W468,"  "," ")))</f>
        <v>Furniture</v>
      </c>
      <c r="Y468" s="3" t="s">
        <v>76</v>
      </c>
      <c r="Z468" s="6" t="str">
        <f>PROPER(TRIM(SUBSTITUTE(Y468,"  "," ")))</f>
        <v>Chairs</v>
      </c>
      <c r="AA468" s="3" t="s">
        <v>346</v>
      </c>
      <c r="AB468" s="3" t="s">
        <v>33</v>
      </c>
      <c r="AC468" s="6" t="str">
        <f>PROPER(TRIM(SUBSTITUTE(AB468,"  "," ")))</f>
        <v>Second Class</v>
      </c>
      <c r="AD468" s="3">
        <v>7</v>
      </c>
      <c r="AE468" s="3">
        <v>4063.66</v>
      </c>
      <c r="AF468" s="3">
        <v>0</v>
      </c>
      <c r="AG468" s="17">
        <v>0</v>
      </c>
      <c r="AH468" s="6" t="str">
        <f t="shared" si="59"/>
        <v>Valid</v>
      </c>
      <c r="AI468" s="3">
        <v>28445.62</v>
      </c>
      <c r="AJ468" s="3">
        <v>20938.59</v>
      </c>
      <c r="AK468" s="3">
        <v>7507.03</v>
      </c>
      <c r="AL468" s="3" t="s">
        <v>34</v>
      </c>
      <c r="AM468" s="6" t="str">
        <f>PROPER(TRIM(SUBSTITUTE(AL468,".","")))</f>
        <v>Paid</v>
      </c>
      <c r="AN468" s="3" t="s">
        <v>35</v>
      </c>
      <c r="AO468" s="8" t="str">
        <f>PROPER(TRIM(SUBSTITUTE(AN468,".","")))</f>
        <v>Completed</v>
      </c>
      <c r="AP468" t="str">
        <f>IF(COUNTIF($A$2:$A$933, A468) &gt; 1, "Duplicate ID", "Unique")</f>
        <v>Unique</v>
      </c>
      <c r="AR468">
        <f t="shared" si="60"/>
        <v>28445.62</v>
      </c>
      <c r="AS468">
        <f t="shared" si="61"/>
        <v>7507.0299999999988</v>
      </c>
      <c r="AT468" s="15">
        <f t="shared" si="62"/>
        <v>0.26390811660986818</v>
      </c>
      <c r="AU468" t="str">
        <f t="shared" si="63"/>
        <v>Clean</v>
      </c>
      <c r="AV468" s="8" t="str">
        <f t="shared" si="64"/>
        <v>Active</v>
      </c>
    </row>
    <row r="469" spans="1:48">
      <c r="A469" s="3" t="s">
        <v>2441</v>
      </c>
      <c r="B469" s="3" t="s">
        <v>2442</v>
      </c>
      <c r="C469" s="9">
        <f>IFERROR(DATEVALUE(TEXT(B469,"DD/MM/YYYY")), IF(ISNUMBER(B469), B469, ""))</f>
        <v>45295</v>
      </c>
      <c r="D469" s="9" t="str">
        <f>IF(B469="","Missing", IF(AND(ISNUMBER(B469)=FALSE, C469=""),"Invalid - Could Not Parse", IF(AND(ISNUMBER(B469)=FALSE, C469&lt;&gt;""),"Text - Converted to Date", IF(ISNUMBER(B469),"Valid","Check"))))</f>
        <v>Text - Converted to Date</v>
      </c>
      <c r="E469" s="5">
        <f t="shared" si="57"/>
        <v>1</v>
      </c>
      <c r="F469" s="5">
        <f t="shared" si="58"/>
        <v>2024</v>
      </c>
      <c r="G469" s="3" t="s">
        <v>2443</v>
      </c>
      <c r="H469" s="9">
        <f>IFERROR(DATEVALUE(TEXT(G469,"DD/MM/YYYY")), IF(ISNUMBER(G469), G469, ""))</f>
        <v>45391</v>
      </c>
      <c r="I469" s="9" t="str">
        <f>IF(G469="","Missing", IF(AND(ISNUMBER(G469)=FALSE, H469=""),"Invalid - Could Not Parse", IF(AND(ISNUMBER(G469)=FALSE, H469&lt;&gt;""),"Text - Converted to Date", IF(ISNUMBER(G469),"Valid","Check"))))</f>
        <v>Text - Converted to Date</v>
      </c>
      <c r="J469" s="9" t="str">
        <f>IF(OR(C469="", H469=""), "Cannot Check - Date Missing", IF(H469&lt;C469, "Invalid - Ship Before Order", "Valid"))</f>
        <v>Valid</v>
      </c>
      <c r="K469" s="5">
        <f>IF(OR(C469="", H469=""), "", IF(H469&lt;C469, "", H469-C469))</f>
        <v>96</v>
      </c>
      <c r="L469" s="3" t="s">
        <v>2444</v>
      </c>
      <c r="M469" s="3" t="s">
        <v>142</v>
      </c>
      <c r="N469" s="4" t="str">
        <f>TRIM(SUBSTITUTE(M469,"_"," "))</f>
        <v>Priya Menon</v>
      </c>
      <c r="O469" s="3" t="s">
        <v>41</v>
      </c>
      <c r="P469" s="6" t="str">
        <f>PROPER(TRIM(SUBSTITUTE(O469,".","")))</f>
        <v>Small Business</v>
      </c>
      <c r="Q469" s="3" t="s">
        <v>42</v>
      </c>
      <c r="R469" s="7" t="str">
        <f>PROPER(TRIM(SUBSTITUTE(Q469,"  "," ")))</f>
        <v>East</v>
      </c>
      <c r="S469" s="3" t="s">
        <v>43</v>
      </c>
      <c r="T469" s="6" t="str">
        <f>PROPER(TRIM(SUBSTITUTE(S469,"  "," ")))</f>
        <v>Odisha</v>
      </c>
      <c r="U469" s="3" t="s">
        <v>44</v>
      </c>
      <c r="V469" s="6" t="str">
        <f>PROPER(TRIM(SUBSTITUTE(U469,"  "," ")))</f>
        <v>Bhubaneswar</v>
      </c>
      <c r="W469" s="3" t="s">
        <v>86</v>
      </c>
      <c r="X469" s="6" t="str">
        <f>PROPER(TRIM(SUBSTITUTE(W469,"  "," ")))</f>
        <v>Technology</v>
      </c>
      <c r="Y469" s="3" t="s">
        <v>94</v>
      </c>
      <c r="Z469" s="6" t="str">
        <f>PROPER(TRIM(SUBSTITUTE(Y469,"  "," ")))</f>
        <v>Copiers</v>
      </c>
      <c r="AA469" s="3" t="s">
        <v>2445</v>
      </c>
      <c r="AB469" s="3" t="s">
        <v>33</v>
      </c>
      <c r="AC469" s="6" t="str">
        <f>PROPER(TRIM(SUBSTITUTE(AB469,"  "," ")))</f>
        <v>Second Class</v>
      </c>
      <c r="AD469" s="3">
        <v>6</v>
      </c>
      <c r="AE469" s="3">
        <v>826.93</v>
      </c>
      <c r="AF469" s="3">
        <v>0.1</v>
      </c>
      <c r="AG469" s="17">
        <v>0.1</v>
      </c>
      <c r="AH469" s="6" t="str">
        <f t="shared" si="59"/>
        <v>Valid</v>
      </c>
      <c r="AI469" s="3">
        <v>4465.42</v>
      </c>
      <c r="AJ469" s="3">
        <v>3377.1</v>
      </c>
      <c r="AK469" s="3">
        <v>1088.32</v>
      </c>
      <c r="AL469" s="3" t="s">
        <v>34</v>
      </c>
      <c r="AM469" s="6" t="str">
        <f>PROPER(TRIM(SUBSTITUTE(AL469,".","")))</f>
        <v>Paid</v>
      </c>
      <c r="AN469" s="3" t="s">
        <v>35</v>
      </c>
      <c r="AO469" s="8" t="str">
        <f>PROPER(TRIM(SUBSTITUTE(AN469,".","")))</f>
        <v>Completed</v>
      </c>
      <c r="AP469" t="str">
        <f>IF(COUNTIF($A$2:$A$933, A469) &gt; 1, "Duplicate ID", "Unique")</f>
        <v>Unique</v>
      </c>
      <c r="AR469">
        <f t="shared" si="60"/>
        <v>4465.4220000000005</v>
      </c>
      <c r="AS469">
        <f t="shared" si="61"/>
        <v>1088.3220000000006</v>
      </c>
      <c r="AT469" s="15">
        <f t="shared" si="62"/>
        <v>0.24372209390288319</v>
      </c>
      <c r="AU469" t="str">
        <f t="shared" si="63"/>
        <v>Clean</v>
      </c>
      <c r="AV469" s="8" t="str">
        <f t="shared" si="64"/>
        <v>Active</v>
      </c>
    </row>
    <row r="470" spans="1:48">
      <c r="A470" s="3" t="s">
        <v>880</v>
      </c>
      <c r="B470" s="3" t="s">
        <v>881</v>
      </c>
      <c r="C470" s="9">
        <f>IFERROR(DATEVALUE(TEXT(B470,"DD/MM/YYYY")), IF(ISNUMBER(B470), B470, ""))</f>
        <v>45687</v>
      </c>
      <c r="D470" s="9" t="str">
        <f>IF(B470="","Missing", IF(AND(ISNUMBER(B470)=FALSE, C470=""),"Invalid - Could Not Parse", IF(AND(ISNUMBER(B470)=FALSE, C470&lt;&gt;""),"Text - Converted to Date", IF(ISNUMBER(B470),"Valid","Check"))))</f>
        <v>Text - Converted to Date</v>
      </c>
      <c r="E470" s="5">
        <f t="shared" si="57"/>
        <v>1</v>
      </c>
      <c r="F470" s="5">
        <f t="shared" si="58"/>
        <v>2025</v>
      </c>
      <c r="G470" s="3" t="s">
        <v>882</v>
      </c>
      <c r="H470" s="9">
        <f>IFERROR(DATEVALUE(TEXT(G470,"DD/MM/YYYY")), IF(ISNUMBER(G470), G470, ""))</f>
        <v>45692</v>
      </c>
      <c r="I470" s="9" t="str">
        <f>IF(G470="","Missing", IF(AND(ISNUMBER(G470)=FALSE, H470=""),"Invalid - Could Not Parse", IF(AND(ISNUMBER(G470)=FALSE, H470&lt;&gt;""),"Text - Converted to Date", IF(ISNUMBER(G470),"Valid","Check"))))</f>
        <v>Text - Converted to Date</v>
      </c>
      <c r="J470" s="9" t="str">
        <f>IF(OR(C470="", H470=""), "Cannot Check - Date Missing", IF(H470&lt;C470, "Invalid - Ship Before Order", "Valid"))</f>
        <v>Valid</v>
      </c>
      <c r="K470" s="5">
        <f>IF(OR(C470="", H470=""), "", IF(H470&lt;C470, "", H470-C470))</f>
        <v>5</v>
      </c>
      <c r="L470" s="3" t="s">
        <v>883</v>
      </c>
      <c r="M470" s="3" t="s">
        <v>142</v>
      </c>
      <c r="N470" s="4" t="str">
        <f>TRIM(SUBSTITUTE(M470,"_"," "))</f>
        <v>Priya Menon</v>
      </c>
      <c r="O470" s="3" t="s">
        <v>108</v>
      </c>
      <c r="P470" s="6" t="str">
        <f>PROPER(TRIM(SUBSTITUTE(O470,".","")))</f>
        <v>Corporate</v>
      </c>
      <c r="Q470" s="3" t="s">
        <v>27</v>
      </c>
      <c r="R470" s="7" t="str">
        <f>PROPER(TRIM(SUBSTITUTE(Q470,"  "," ")))</f>
        <v>North</v>
      </c>
      <c r="S470" s="3" t="s">
        <v>323</v>
      </c>
      <c r="T470" s="6" t="str">
        <f>PROPER(TRIM(SUBSTITUTE(S470,"  "," ")))</f>
        <v>Haryana</v>
      </c>
      <c r="U470" s="3" t="s">
        <v>324</v>
      </c>
      <c r="V470" s="6" t="str">
        <f>PROPER(TRIM(SUBSTITUTE(U470,"  "," ")))</f>
        <v>Gurugram</v>
      </c>
      <c r="W470" s="3" t="s">
        <v>45</v>
      </c>
      <c r="X470" s="6" t="str">
        <f>PROPER(TRIM(SUBSTITUTE(W470,"  "," ")))</f>
        <v>Furniture</v>
      </c>
      <c r="Y470" s="3" t="s">
        <v>76</v>
      </c>
      <c r="Z470" s="6" t="str">
        <f>PROPER(TRIM(SUBSTITUTE(Y470,"  "," ")))</f>
        <v>Chairs</v>
      </c>
      <c r="AA470" s="3" t="s">
        <v>884</v>
      </c>
      <c r="AB470" s="3" t="s">
        <v>48</v>
      </c>
      <c r="AC470" s="6" t="str">
        <f>PROPER(TRIM(SUBSTITUTE(AB470,"  "," ")))</f>
        <v>Same Day</v>
      </c>
      <c r="AD470" s="3">
        <v>9</v>
      </c>
      <c r="AE470" s="3">
        <v>4430.5</v>
      </c>
      <c r="AF470" s="3">
        <v>0.15</v>
      </c>
      <c r="AG470" s="17">
        <v>0.15</v>
      </c>
      <c r="AH470" s="6" t="str">
        <f t="shared" si="59"/>
        <v>Valid</v>
      </c>
      <c r="AI470" s="3">
        <v>33893.32</v>
      </c>
      <c r="AJ470" s="3">
        <v>25750.35</v>
      </c>
      <c r="AK470" s="3">
        <v>8142.97</v>
      </c>
      <c r="AL470" s="3" t="s">
        <v>137</v>
      </c>
      <c r="AM470" s="6" t="str">
        <f>PROPER(TRIM(SUBSTITUTE(AL470,".","")))</f>
        <v>Pending</v>
      </c>
      <c r="AN470" s="3" t="s">
        <v>78</v>
      </c>
      <c r="AO470" s="8" t="str">
        <f>PROPER(TRIM(SUBSTITUTE(AN470,".","")))</f>
        <v>Cancelled</v>
      </c>
      <c r="AP470" t="str">
        <f>IF(COUNTIF($A$2:$A$933, A470) &gt; 1, "Duplicate ID", "Unique")</f>
        <v>Unique</v>
      </c>
      <c r="AR470">
        <f t="shared" si="60"/>
        <v>33893.324999999997</v>
      </c>
      <c r="AS470">
        <f t="shared" si="61"/>
        <v>8142.9749999999985</v>
      </c>
      <c r="AT470" s="15">
        <f t="shared" si="62"/>
        <v>0.24025305867748292</v>
      </c>
      <c r="AU470" t="str">
        <f t="shared" si="63"/>
        <v>Clean</v>
      </c>
      <c r="AV470" s="8" t="str">
        <f t="shared" si="64"/>
        <v>Cancelled</v>
      </c>
    </row>
    <row r="471" spans="1:48">
      <c r="A471" s="3" t="s">
        <v>267</v>
      </c>
      <c r="B471" s="3" t="s">
        <v>268</v>
      </c>
      <c r="C471" s="9">
        <f>IFERROR(DATEVALUE(TEXT(B471,"DD/MM/YYYY")), IF(ISNUMBER(B471), B471, ""))</f>
        <v>45688</v>
      </c>
      <c r="D471" s="9" t="str">
        <f>IF(B471="","Missing", IF(AND(ISNUMBER(B471)=FALSE, C471=""),"Invalid - Could Not Parse", IF(AND(ISNUMBER(B471)=FALSE, C471&lt;&gt;""),"Text - Converted to Date", IF(ISNUMBER(B471),"Valid","Check"))))</f>
        <v>Text - Converted to Date</v>
      </c>
      <c r="E471" s="5">
        <f t="shared" si="57"/>
        <v>1</v>
      </c>
      <c r="F471" s="5">
        <f t="shared" si="58"/>
        <v>2025</v>
      </c>
      <c r="G471" s="3" t="s">
        <v>269</v>
      </c>
      <c r="H471" s="9">
        <f>IFERROR(DATEVALUE(TEXT(G471,"DD/MM/YYYY")), IF(ISNUMBER(G471), G471, ""))</f>
        <v>45693</v>
      </c>
      <c r="I471" s="9" t="str">
        <f>IF(G471="","Missing", IF(AND(ISNUMBER(G471)=FALSE, H471=""),"Invalid - Could Not Parse", IF(AND(ISNUMBER(G471)=FALSE, H471&lt;&gt;""),"Text - Converted to Date", IF(ISNUMBER(G471),"Valid","Check"))))</f>
        <v>Text - Converted to Date</v>
      </c>
      <c r="J471" s="9" t="str">
        <f>IF(OR(C471="", H471=""), "Cannot Check - Date Missing", IF(H471&lt;C471, "Invalid - Ship Before Order", "Valid"))</f>
        <v>Valid</v>
      </c>
      <c r="K471" s="5">
        <f>IF(OR(C471="", H471=""), "", IF(H471&lt;C471, "", H471-C471))</f>
        <v>5</v>
      </c>
      <c r="L471" s="3" t="s">
        <v>270</v>
      </c>
      <c r="M471" s="3" t="s">
        <v>142</v>
      </c>
      <c r="N471" s="4" t="str">
        <f>TRIM(SUBSTITUTE(M471,"_"," "))</f>
        <v>Priya Menon</v>
      </c>
      <c r="O471" s="3" t="s">
        <v>115</v>
      </c>
      <c r="P471" s="6" t="str">
        <f>PROPER(TRIM(SUBSTITUTE(O471,".","")))</f>
        <v>Home Office</v>
      </c>
      <c r="Q471" s="3" t="s">
        <v>42</v>
      </c>
      <c r="R471" s="7" t="str">
        <f>PROPER(TRIM(SUBSTITUTE(Q471,"  "," ")))</f>
        <v>East</v>
      </c>
      <c r="S471" s="3" t="s">
        <v>121</v>
      </c>
      <c r="T471" s="6" t="str">
        <f>PROPER(TRIM(SUBSTITUTE(S471,"  "," ")))</f>
        <v>West Bengal</v>
      </c>
      <c r="U471" s="3" t="s">
        <v>122</v>
      </c>
      <c r="V471" s="6" t="str">
        <f>PROPER(TRIM(SUBSTITUTE(U471,"  "," ")))</f>
        <v>Kolkata</v>
      </c>
      <c r="W471" s="3" t="s">
        <v>45</v>
      </c>
      <c r="X471" s="6" t="str">
        <f>PROPER(TRIM(SUBSTITUTE(W471,"  "," ")))</f>
        <v>Furniture</v>
      </c>
      <c r="Y471" s="3" t="s">
        <v>76</v>
      </c>
      <c r="Z471" s="6" t="str">
        <f>PROPER(TRIM(SUBSTITUTE(Y471,"  "," ")))</f>
        <v>Chairs</v>
      </c>
      <c r="AA471" s="3" t="s">
        <v>271</v>
      </c>
      <c r="AB471" s="3"/>
      <c r="AC471" s="11" t="str">
        <f>IF(ISBLANK(AB471), "Unknown", AB471)</f>
        <v>Unknown</v>
      </c>
      <c r="AD471" s="3">
        <v>2</v>
      </c>
      <c r="AE471" s="3">
        <v>4159.6899999999996</v>
      </c>
      <c r="AF471" s="3">
        <v>0.2</v>
      </c>
      <c r="AG471" s="17">
        <v>0.2</v>
      </c>
      <c r="AH471" s="6" t="str">
        <f t="shared" si="59"/>
        <v>Valid</v>
      </c>
      <c r="AI471" s="3">
        <v>6655.5</v>
      </c>
      <c r="AJ471" s="3">
        <v>4340.21</v>
      </c>
      <c r="AK471" s="3">
        <v>2607.3200000000002</v>
      </c>
      <c r="AL471" s="3" t="s">
        <v>34</v>
      </c>
      <c r="AM471" s="6" t="str">
        <f>PROPER(TRIM(SUBSTITUTE(AL471,".","")))</f>
        <v>Paid</v>
      </c>
      <c r="AN471" s="3" t="s">
        <v>35</v>
      </c>
      <c r="AO471" s="8" t="str">
        <f>PROPER(TRIM(SUBSTITUTE(AN471,".","")))</f>
        <v>Completed</v>
      </c>
      <c r="AP471" t="str">
        <f>IF(COUNTIF($A$2:$A$933, A471) &gt; 1, "Duplicate ID", "Unique")</f>
        <v>Unique</v>
      </c>
      <c r="AR471">
        <f t="shared" si="60"/>
        <v>6655.5039999999999</v>
      </c>
      <c r="AS471">
        <f t="shared" si="61"/>
        <v>2315.2939999999999</v>
      </c>
      <c r="AT471" s="15">
        <f t="shared" si="62"/>
        <v>0.34787658455317583</v>
      </c>
      <c r="AU471" t="str">
        <f t="shared" si="63"/>
        <v>Clean</v>
      </c>
      <c r="AV471" s="8" t="str">
        <f t="shared" si="64"/>
        <v>Active</v>
      </c>
    </row>
    <row r="472" spans="1:48">
      <c r="A472" s="3" t="s">
        <v>614</v>
      </c>
      <c r="B472" s="3" t="s">
        <v>615</v>
      </c>
      <c r="C472" s="9">
        <f>IFERROR(DATEVALUE(TEXT(B472,"DD/MM/YYYY")), IF(ISNUMBER(B472), B472, ""))</f>
        <v>45689</v>
      </c>
      <c r="D472" s="9" t="str">
        <f>IF(B472="","Missing", IF(AND(ISNUMBER(B472)=FALSE, C472=""),"Invalid - Could Not Parse", IF(AND(ISNUMBER(B472)=FALSE, C472&lt;&gt;""),"Text - Converted to Date", IF(ISNUMBER(B472),"Valid","Check"))))</f>
        <v>Text - Converted to Date</v>
      </c>
      <c r="E472" s="5">
        <f t="shared" si="57"/>
        <v>2</v>
      </c>
      <c r="F472" s="5">
        <f t="shared" si="58"/>
        <v>2025</v>
      </c>
      <c r="G472" s="3" t="s">
        <v>616</v>
      </c>
      <c r="H472" s="9">
        <f>IFERROR(DATEVALUE(TEXT(G472,"DD/MM/YYYY")), IF(ISNUMBER(G472), G472, ""))</f>
        <v>45871</v>
      </c>
      <c r="I472" s="9" t="str">
        <f>IF(G472="","Missing", IF(AND(ISNUMBER(G472)=FALSE, H472=""),"Invalid - Could Not Parse", IF(AND(ISNUMBER(G472)=FALSE, H472&lt;&gt;""),"Text - Converted to Date", IF(ISNUMBER(G472),"Valid","Check"))))</f>
        <v>Text - Converted to Date</v>
      </c>
      <c r="J472" s="9" t="str">
        <f>IF(OR(C472="", H472=""), "Cannot Check - Date Missing", IF(H472&lt;C472, "Invalid - Ship Before Order", "Valid"))</f>
        <v>Valid</v>
      </c>
      <c r="K472" s="5">
        <f>IF(OR(C472="", H472=""), "", IF(H472&lt;C472, "", H472-C472))</f>
        <v>182</v>
      </c>
      <c r="L472" s="3" t="s">
        <v>617</v>
      </c>
      <c r="M472" s="3" t="s">
        <v>72</v>
      </c>
      <c r="N472" s="4" t="str">
        <f>TRIM(SUBSTITUTE(M472,"_"," "))</f>
        <v>Ananya Rao</v>
      </c>
      <c r="O472" s="3" t="s">
        <v>26</v>
      </c>
      <c r="P472" s="6" t="str">
        <f>PROPER(TRIM(SUBSTITUTE(O472,".","")))</f>
        <v>Consumer</v>
      </c>
      <c r="Q472" s="3" t="s">
        <v>62</v>
      </c>
      <c r="R472" s="7" t="str">
        <f>PROPER(TRIM(SUBSTITUTE(Q472,"  "," ")))</f>
        <v>South</v>
      </c>
      <c r="S472" s="3" t="s">
        <v>229</v>
      </c>
      <c r="T472" s="6" t="str">
        <f>PROPER(TRIM(SUBSTITUTE(S472,"  "," ")))</f>
        <v>Karnataka</v>
      </c>
      <c r="U472" s="3" t="s">
        <v>230</v>
      </c>
      <c r="V472" s="6" t="str">
        <f>PROPER(TRIM(SUBSTITUTE(U472,"  "," ")))</f>
        <v>Bengaluru</v>
      </c>
      <c r="W472" s="3" t="s">
        <v>30</v>
      </c>
      <c r="X472" s="6" t="str">
        <f>PROPER(TRIM(SUBSTITUTE(W472,"  "," ")))</f>
        <v>Office Supplies</v>
      </c>
      <c r="Y472" s="3" t="s">
        <v>109</v>
      </c>
      <c r="Z472" s="6" t="str">
        <f>PROPER(TRIM(SUBSTITUTE(Y472,"  "," ")))</f>
        <v>Labels</v>
      </c>
      <c r="AA472" s="3" t="s">
        <v>618</v>
      </c>
      <c r="AB472" s="3" t="s">
        <v>48</v>
      </c>
      <c r="AC472" s="6" t="str">
        <f>PROPER(TRIM(SUBSTITUTE(AB472,"  "," ")))</f>
        <v>Same Day</v>
      </c>
      <c r="AD472" s="3">
        <v>5</v>
      </c>
      <c r="AE472" s="3">
        <v>2112.54</v>
      </c>
      <c r="AF472" s="3">
        <v>0.25</v>
      </c>
      <c r="AG472" s="17">
        <v>0.25</v>
      </c>
      <c r="AH472" s="6" t="str">
        <f t="shared" si="59"/>
        <v>Valid</v>
      </c>
      <c r="AI472" s="3">
        <v>8260.4599999999991</v>
      </c>
      <c r="AJ472" s="3">
        <v>5619.95</v>
      </c>
      <c r="AK472" s="3">
        <v>2302.08</v>
      </c>
      <c r="AL472" s="3" t="s">
        <v>34</v>
      </c>
      <c r="AM472" s="6" t="str">
        <f>PROPER(TRIM(SUBSTITUTE(AL472,".","")))</f>
        <v>Paid</v>
      </c>
      <c r="AN472" s="3" t="s">
        <v>78</v>
      </c>
      <c r="AO472" s="8" t="str">
        <f>PROPER(TRIM(SUBSTITUTE(AN472,".","")))</f>
        <v>Cancelled</v>
      </c>
      <c r="AP472" t="str">
        <f>IF(COUNTIF($A$2:$A$933, A472) &gt; 1, "Duplicate ID", "Unique")</f>
        <v>Unique</v>
      </c>
      <c r="AR472">
        <f t="shared" si="60"/>
        <v>7922.0250000000005</v>
      </c>
      <c r="AS472">
        <f t="shared" si="61"/>
        <v>2302.0750000000007</v>
      </c>
      <c r="AT472" s="15">
        <f t="shared" si="62"/>
        <v>0.29059173633004193</v>
      </c>
      <c r="AU472" t="str">
        <f t="shared" si="63"/>
        <v>Warning</v>
      </c>
      <c r="AV472" s="8" t="str">
        <f t="shared" si="64"/>
        <v>Cancelled</v>
      </c>
    </row>
    <row r="473" spans="1:48">
      <c r="A473" s="3" t="s">
        <v>3981</v>
      </c>
      <c r="B473" s="3" t="s">
        <v>3982</v>
      </c>
      <c r="C473" s="9">
        <f>IFERROR(DATEVALUE(TEXT(B473,"DD/MM/YYYY")), IF(ISNUMBER(B473), B473, ""))</f>
        <v>45689</v>
      </c>
      <c r="D473" s="9" t="str">
        <f>IF(B473="","Missing", IF(AND(ISNUMBER(B473)=FALSE, C473=""),"Invalid - Could Not Parse", IF(AND(ISNUMBER(B473)=FALSE, C473&lt;&gt;""),"Text - Converted to Date", IF(ISNUMBER(B473),"Valid","Check"))))</f>
        <v>Text - Converted to Date</v>
      </c>
      <c r="E473" s="5">
        <f t="shared" si="57"/>
        <v>2</v>
      </c>
      <c r="F473" s="5">
        <f t="shared" si="58"/>
        <v>2025</v>
      </c>
      <c r="G473" s="3" t="s">
        <v>3983</v>
      </c>
      <c r="H473" s="9">
        <f>IFERROR(DATEVALUE(TEXT(G473,"DD/MM/YYYY")), IF(ISNUMBER(G473), G473, ""))</f>
        <v>45696</v>
      </c>
      <c r="I473" s="9" t="str">
        <f>IF(G473="","Missing", IF(AND(ISNUMBER(G473)=FALSE, H473=""),"Invalid - Could Not Parse", IF(AND(ISNUMBER(G473)=FALSE, H473&lt;&gt;""),"Text - Converted to Date", IF(ISNUMBER(G473),"Valid","Check"))))</f>
        <v>Text - Converted to Date</v>
      </c>
      <c r="J473" s="9" t="str">
        <f>IF(OR(C473="", H473=""), "Cannot Check - Date Missing", IF(H473&lt;C473, "Invalid - Ship Before Order", "Valid"))</f>
        <v>Valid</v>
      </c>
      <c r="K473" s="5">
        <f>IF(OR(C473="", H473=""), "", IF(H473&lt;C473, "", H473-C473))</f>
        <v>7</v>
      </c>
      <c r="L473" s="3" t="s">
        <v>3984</v>
      </c>
      <c r="M473" s="3" t="s">
        <v>107</v>
      </c>
      <c r="N473" s="4" t="str">
        <f>TRIM(SUBSTITUTE(M473,"_"," "))</f>
        <v>Aditi Sen</v>
      </c>
      <c r="O473" s="3" t="s">
        <v>115</v>
      </c>
      <c r="P473" s="6" t="str">
        <f>PROPER(TRIM(SUBSTITUTE(O473,".","")))</f>
        <v>Home Office</v>
      </c>
      <c r="Q473" s="3" t="s">
        <v>73</v>
      </c>
      <c r="R473" s="7" t="str">
        <f>PROPER(TRIM(SUBSTITUTE(Q473,"  "," ")))</f>
        <v>West</v>
      </c>
      <c r="S473" s="3" t="s">
        <v>235</v>
      </c>
      <c r="T473" s="6" t="str">
        <f>PROPER(TRIM(SUBSTITUTE(S473,"  "," ")))</f>
        <v>Gujarat</v>
      </c>
      <c r="U473" s="3" t="s">
        <v>236</v>
      </c>
      <c r="V473" s="6" t="str">
        <f>PROPER(TRIM(SUBSTITUTE(U473,"  "," ")))</f>
        <v>Ahmedabad</v>
      </c>
      <c r="W473" s="3" t="s">
        <v>30</v>
      </c>
      <c r="X473" s="6" t="str">
        <f>PROPER(TRIM(SUBSTITUTE(W473,"  "," ")))</f>
        <v>Office Supplies</v>
      </c>
      <c r="Y473" s="3" t="s">
        <v>156</v>
      </c>
      <c r="Z473" s="6" t="str">
        <f>PROPER(TRIM(SUBSTITUTE(Y473,"  "," ")))</f>
        <v>Storage</v>
      </c>
      <c r="AA473" s="3" t="s">
        <v>3985</v>
      </c>
      <c r="AB473" s="3" t="s">
        <v>33</v>
      </c>
      <c r="AC473" s="6" t="str">
        <f>PROPER(TRIM(SUBSTITUTE(AB473,"  "," ")))</f>
        <v>Second Class</v>
      </c>
      <c r="AD473" s="3">
        <v>8</v>
      </c>
      <c r="AE473" s="3">
        <v>623.30999999999995</v>
      </c>
      <c r="AF473" s="3">
        <v>0.1</v>
      </c>
      <c r="AG473" s="17">
        <v>0.1</v>
      </c>
      <c r="AH473" s="6" t="str">
        <f t="shared" si="59"/>
        <v>Valid</v>
      </c>
      <c r="AI473" s="3">
        <v>4487.83</v>
      </c>
      <c r="AJ473" s="3">
        <v>2633.78</v>
      </c>
      <c r="AK473" s="3">
        <v>1854.05</v>
      </c>
      <c r="AL473" s="3" t="s">
        <v>34</v>
      </c>
      <c r="AM473" s="6" t="str">
        <f>PROPER(TRIM(SUBSTITUTE(AL473,".","")))</f>
        <v>Paid</v>
      </c>
      <c r="AN473" s="3" t="s">
        <v>35</v>
      </c>
      <c r="AO473" s="8" t="str">
        <f>PROPER(TRIM(SUBSTITUTE(AN473,".","")))</f>
        <v>Completed</v>
      </c>
      <c r="AP473" t="str">
        <f>IF(COUNTIF($A$2:$A$933, A473) &gt; 1, "Duplicate ID", "Unique")</f>
        <v>Unique</v>
      </c>
      <c r="AR473">
        <f t="shared" si="60"/>
        <v>4487.8319999999994</v>
      </c>
      <c r="AS473">
        <f t="shared" si="61"/>
        <v>1854.0519999999992</v>
      </c>
      <c r="AT473" s="15">
        <f t="shared" si="62"/>
        <v>0.41312865543986482</v>
      </c>
      <c r="AU473" t="str">
        <f t="shared" si="63"/>
        <v>Clean</v>
      </c>
      <c r="AV473" s="8" t="str">
        <f t="shared" si="64"/>
        <v>Active</v>
      </c>
    </row>
    <row r="474" spans="1:48">
      <c r="A474" s="3" t="s">
        <v>3157</v>
      </c>
      <c r="B474" s="3" t="s">
        <v>3158</v>
      </c>
      <c r="C474" s="9">
        <f>IFERROR(DATEVALUE(TEXT(B474,"DD/MM/YYYY")), IF(ISNUMBER(B474), B474, ""))</f>
        <v>45690</v>
      </c>
      <c r="D474" s="9" t="str">
        <f>IF(B474="","Missing", IF(AND(ISNUMBER(B474)=FALSE, C474=""),"Invalid - Could Not Parse", IF(AND(ISNUMBER(B474)=FALSE, C474&lt;&gt;""),"Text - Converted to Date", IF(ISNUMBER(B474),"Valid","Check"))))</f>
        <v>Text - Converted to Date</v>
      </c>
      <c r="E474" s="5">
        <f t="shared" si="57"/>
        <v>2</v>
      </c>
      <c r="F474" s="5">
        <f t="shared" si="58"/>
        <v>2025</v>
      </c>
      <c r="G474" s="3" t="s">
        <v>2956</v>
      </c>
      <c r="H474" s="9">
        <f>IFERROR(DATEVALUE(TEXT(G474,"DD/MM/YYYY")), IF(ISNUMBER(G474), G474, ""))</f>
        <v>45694</v>
      </c>
      <c r="I474" s="9" t="str">
        <f>IF(G474="","Missing", IF(AND(ISNUMBER(G474)=FALSE, H474=""),"Invalid - Could Not Parse", IF(AND(ISNUMBER(G474)=FALSE, H474&lt;&gt;""),"Text - Converted to Date", IF(ISNUMBER(G474),"Valid","Check"))))</f>
        <v>Text - Converted to Date</v>
      </c>
      <c r="J474" s="9" t="str">
        <f>IF(OR(C474="", H474=""), "Cannot Check - Date Missing", IF(H474&lt;C474, "Invalid - Ship Before Order", "Valid"))</f>
        <v>Valid</v>
      </c>
      <c r="K474" s="5">
        <f>IF(OR(C474="", H474=""), "", IF(H474&lt;C474, "", H474-C474))</f>
        <v>4</v>
      </c>
      <c r="L474" s="3" t="s">
        <v>2431</v>
      </c>
      <c r="M474" s="3" t="s">
        <v>168</v>
      </c>
      <c r="N474" s="4" t="str">
        <f>TRIM(SUBSTITUTE(M474,"_"," "))</f>
        <v>Sneha Kapoor</v>
      </c>
      <c r="O474" s="3" t="s">
        <v>108</v>
      </c>
      <c r="P474" s="6" t="str">
        <f>PROPER(TRIM(SUBSTITUTE(O474,".","")))</f>
        <v>Corporate</v>
      </c>
      <c r="Q474" s="3" t="s">
        <v>27</v>
      </c>
      <c r="R474" s="7" t="str">
        <f>PROPER(TRIM(SUBSTITUTE(Q474,"  "," ")))</f>
        <v>North</v>
      </c>
      <c r="S474" s="3" t="s">
        <v>174</v>
      </c>
      <c r="T474" s="6" t="str">
        <f>PROPER(TRIM(SUBSTITUTE(S474,"  "," ")))</f>
        <v>Uttar Pradesh</v>
      </c>
      <c r="U474" s="3" t="s">
        <v>175</v>
      </c>
      <c r="V474" s="6" t="str">
        <f>PROPER(TRIM(SUBSTITUTE(U474,"  "," ")))</f>
        <v>Noida</v>
      </c>
      <c r="W474" s="3" t="s">
        <v>45</v>
      </c>
      <c r="X474" s="6" t="str">
        <f>PROPER(TRIM(SUBSTITUTE(W474,"  "," ")))</f>
        <v>Furniture</v>
      </c>
      <c r="Y474" s="3" t="s">
        <v>46</v>
      </c>
      <c r="Z474" s="6" t="str">
        <f>PROPER(TRIM(SUBSTITUTE(Y474,"  "," ")))</f>
        <v>Tables</v>
      </c>
      <c r="AA474" s="3" t="s">
        <v>3159</v>
      </c>
      <c r="AB474" s="3" t="s">
        <v>67</v>
      </c>
      <c r="AC474" s="6" t="str">
        <f>PROPER(TRIM(SUBSTITUTE(AB474,"  "," ")))</f>
        <v>Standard Class</v>
      </c>
      <c r="AD474" s="3">
        <v>8</v>
      </c>
      <c r="AE474" s="3">
        <v>857.86</v>
      </c>
      <c r="AF474" s="3">
        <v>0.1</v>
      </c>
      <c r="AG474" s="17">
        <v>0.1</v>
      </c>
      <c r="AH474" s="6" t="str">
        <f t="shared" si="59"/>
        <v>Valid</v>
      </c>
      <c r="AI474" s="3">
        <v>6176.59</v>
      </c>
      <c r="AJ474" s="3">
        <v>3560.96</v>
      </c>
      <c r="AK474" s="3">
        <v>2615.63</v>
      </c>
      <c r="AL474" s="3" t="s">
        <v>34</v>
      </c>
      <c r="AM474" s="6" t="str">
        <f>PROPER(TRIM(SUBSTITUTE(AL474,".","")))</f>
        <v>Paid</v>
      </c>
      <c r="AN474" s="3" t="s">
        <v>35</v>
      </c>
      <c r="AO474" s="8" t="str">
        <f>PROPER(TRIM(SUBSTITUTE(AN474,".","")))</f>
        <v>Completed</v>
      </c>
      <c r="AP474" t="str">
        <f>IF(COUNTIF($A$2:$A$933, A474) &gt; 1, "Duplicate ID", "Unique")</f>
        <v>Unique</v>
      </c>
      <c r="AR474">
        <f t="shared" si="60"/>
        <v>6176.5920000000006</v>
      </c>
      <c r="AS474">
        <f t="shared" si="61"/>
        <v>2615.6320000000005</v>
      </c>
      <c r="AT474" s="15">
        <f t="shared" si="62"/>
        <v>0.42347495188285067</v>
      </c>
      <c r="AU474" t="str">
        <f t="shared" si="63"/>
        <v>Clean</v>
      </c>
      <c r="AV474" s="8" t="str">
        <f t="shared" si="64"/>
        <v>Active</v>
      </c>
    </row>
    <row r="475" spans="1:48">
      <c r="A475" s="3" t="s">
        <v>3288</v>
      </c>
      <c r="B475" s="3" t="s">
        <v>3289</v>
      </c>
      <c r="C475" s="9">
        <f>IFERROR(DATEVALUE(TEXT(B475,"DD/MM/YYYY")), IF(ISNUMBER(B475), B475, ""))</f>
        <v>45690</v>
      </c>
      <c r="D475" s="9" t="str">
        <f>IF(B475="","Missing", IF(AND(ISNUMBER(B475)=FALSE, C475=""),"Invalid - Could Not Parse", IF(AND(ISNUMBER(B475)=FALSE, C475&lt;&gt;""),"Text - Converted to Date", IF(ISNUMBER(B475),"Valid","Check"))))</f>
        <v>Text - Converted to Date</v>
      </c>
      <c r="E475" s="5">
        <f t="shared" si="57"/>
        <v>2</v>
      </c>
      <c r="F475" s="5">
        <f t="shared" si="58"/>
        <v>2025</v>
      </c>
      <c r="G475" s="3" t="s">
        <v>2884</v>
      </c>
      <c r="H475" s="9">
        <f>IFERROR(DATEVALUE(TEXT(G475,"DD/MM/YYYY")), IF(ISNUMBER(G475), G475, ""))</f>
        <v>45810</v>
      </c>
      <c r="I475" s="9" t="str">
        <f>IF(G475="","Missing", IF(AND(ISNUMBER(G475)=FALSE, H475=""),"Invalid - Could Not Parse", IF(AND(ISNUMBER(G475)=FALSE, H475&lt;&gt;""),"Text - Converted to Date", IF(ISNUMBER(G475),"Valid","Check"))))</f>
        <v>Text - Converted to Date</v>
      </c>
      <c r="J475" s="9" t="str">
        <f>IF(OR(C475="", H475=""), "Cannot Check - Date Missing", IF(H475&lt;C475, "Invalid - Ship Before Order", "Valid"))</f>
        <v>Valid</v>
      </c>
      <c r="K475" s="5">
        <f>IF(OR(C475="", H475=""), "", IF(H475&lt;C475, "", H475-C475))</f>
        <v>120</v>
      </c>
      <c r="L475" s="3" t="s">
        <v>3290</v>
      </c>
      <c r="M475" s="3" t="s">
        <v>25</v>
      </c>
      <c r="N475" s="4" t="str">
        <f>TRIM(SUBSTITUTE(M475,"_"," "))</f>
        <v>Karan Malhotra</v>
      </c>
      <c r="O475" s="3" t="s">
        <v>41</v>
      </c>
      <c r="P475" s="6" t="str">
        <f>PROPER(TRIM(SUBSTITUTE(O475,".","")))</f>
        <v>Small Business</v>
      </c>
      <c r="Q475" s="3" t="s">
        <v>73</v>
      </c>
      <c r="R475" s="7" t="str">
        <f>PROPER(TRIM(SUBSTITUTE(Q475,"  "," ")))</f>
        <v>West</v>
      </c>
      <c r="S475" s="3" t="s">
        <v>28</v>
      </c>
      <c r="T475" s="6" t="str">
        <f>PROPER(TRIM(SUBSTITUTE(S475,"  "," ")))</f>
        <v>Rajasthan</v>
      </c>
      <c r="U475" s="3" t="s">
        <v>135</v>
      </c>
      <c r="V475" s="6" t="str">
        <f>PROPER(TRIM(SUBSTITUTE(U475,"  "," ")))</f>
        <v>Udaipur</v>
      </c>
      <c r="W475" s="3" t="s">
        <v>45</v>
      </c>
      <c r="X475" s="6" t="str">
        <f>PROPER(TRIM(SUBSTITUTE(W475,"  "," ")))</f>
        <v>Furniture</v>
      </c>
      <c r="Y475" s="3" t="s">
        <v>46</v>
      </c>
      <c r="Z475" s="6" t="str">
        <f>PROPER(TRIM(SUBSTITUTE(Y475,"  "," ")))</f>
        <v>Tables</v>
      </c>
      <c r="AA475" s="3" t="s">
        <v>3291</v>
      </c>
      <c r="AB475" s="3" t="s">
        <v>33</v>
      </c>
      <c r="AC475" s="6" t="str">
        <f>PROPER(TRIM(SUBSTITUTE(AB475,"  "," ")))</f>
        <v>Second Class</v>
      </c>
      <c r="AD475" s="3">
        <v>3</v>
      </c>
      <c r="AE475" s="3">
        <v>997.34</v>
      </c>
      <c r="AF475" s="3">
        <v>0.1</v>
      </c>
      <c r="AG475" s="17">
        <v>0.1</v>
      </c>
      <c r="AH475" s="6" t="str">
        <f t="shared" si="59"/>
        <v>Valid</v>
      </c>
      <c r="AI475" s="3">
        <v>2692.82</v>
      </c>
      <c r="AJ475" s="3">
        <v>1820.08</v>
      </c>
      <c r="AK475" s="3">
        <v>872.74</v>
      </c>
      <c r="AL475" s="3" t="s">
        <v>34</v>
      </c>
      <c r="AM475" s="6" t="str">
        <f>PROPER(TRIM(SUBSTITUTE(AL475,".","")))</f>
        <v>Paid</v>
      </c>
      <c r="AN475" s="3" t="s">
        <v>35</v>
      </c>
      <c r="AO475" s="8" t="str">
        <f>PROPER(TRIM(SUBSTITUTE(AN475,".","")))</f>
        <v>Completed</v>
      </c>
      <c r="AP475" t="str">
        <f>IF(COUNTIF($A$2:$A$933, A475) &gt; 1, "Duplicate ID", "Unique")</f>
        <v>Unique</v>
      </c>
      <c r="AR475">
        <f t="shared" si="60"/>
        <v>2692.8180000000002</v>
      </c>
      <c r="AS475">
        <f t="shared" si="61"/>
        <v>872.73800000000028</v>
      </c>
      <c r="AT475" s="15">
        <f t="shared" si="62"/>
        <v>0.32409839803506968</v>
      </c>
      <c r="AU475" t="str">
        <f t="shared" si="63"/>
        <v>Clean</v>
      </c>
      <c r="AV475" s="8" t="str">
        <f t="shared" si="64"/>
        <v>Active</v>
      </c>
    </row>
    <row r="476" spans="1:48">
      <c r="A476" s="3" t="s">
        <v>3326</v>
      </c>
      <c r="B476" s="3" t="s">
        <v>3327</v>
      </c>
      <c r="C476" s="9">
        <f>IFERROR(DATEVALUE(TEXT(B476,"DD/MM/YYYY")), IF(ISNUMBER(B476), B476, ""))</f>
        <v>45690</v>
      </c>
      <c r="D476" s="9" t="str">
        <f>IF(B476="","Missing", IF(AND(ISNUMBER(B476)=FALSE, C476=""),"Invalid - Could Not Parse", IF(AND(ISNUMBER(B476)=FALSE, C476&lt;&gt;""),"Text - Converted to Date", IF(ISNUMBER(B476),"Valid","Check"))))</f>
        <v>Text - Converted to Date</v>
      </c>
      <c r="E476" s="5">
        <f t="shared" si="57"/>
        <v>2</v>
      </c>
      <c r="F476" s="5">
        <f t="shared" si="58"/>
        <v>2025</v>
      </c>
      <c r="G476" s="3" t="s">
        <v>3289</v>
      </c>
      <c r="H476" s="9">
        <f>IFERROR(DATEVALUE(TEXT(G476,"DD/MM/YYYY")), IF(ISNUMBER(G476), G476, ""))</f>
        <v>45690</v>
      </c>
      <c r="I476" s="9" t="str">
        <f>IF(G476="","Missing", IF(AND(ISNUMBER(G476)=FALSE, H476=""),"Invalid - Could Not Parse", IF(AND(ISNUMBER(G476)=FALSE, H476&lt;&gt;""),"Text - Converted to Date", IF(ISNUMBER(G476),"Valid","Check"))))</f>
        <v>Text - Converted to Date</v>
      </c>
      <c r="J476" s="9" t="str">
        <f>IF(OR(C476="", H476=""), "Cannot Check - Date Missing", IF(H476&lt;C476, "Invalid - Ship Before Order", "Valid"))</f>
        <v>Valid</v>
      </c>
      <c r="K476" s="5">
        <f>IF(OR(C476="", H476=""), "", IF(H476&lt;C476, "", H476-C476))</f>
        <v>0</v>
      </c>
      <c r="L476" s="3" t="s">
        <v>3328</v>
      </c>
      <c r="M476" s="3" t="s">
        <v>366</v>
      </c>
      <c r="N476" s="4" t="str">
        <f>TRIM(SUBSTITUTE(M476,"_"," "))</f>
        <v>Kabir Singh</v>
      </c>
      <c r="O476" s="3" t="s">
        <v>108</v>
      </c>
      <c r="P476" s="6" t="str">
        <f>PROPER(TRIM(SUBSTITUTE(O476,".","")))</f>
        <v>Corporate</v>
      </c>
      <c r="Q476" s="3" t="s">
        <v>42</v>
      </c>
      <c r="R476" s="7" t="str">
        <f>PROPER(TRIM(SUBSTITUTE(Q476,"  "," ")))</f>
        <v>East</v>
      </c>
      <c r="S476" s="3" t="s">
        <v>121</v>
      </c>
      <c r="T476" s="6" t="str">
        <f>PROPER(TRIM(SUBSTITUTE(S476,"  "," ")))</f>
        <v>West Bengal</v>
      </c>
      <c r="U476" s="3" t="s">
        <v>122</v>
      </c>
      <c r="V476" s="6" t="str">
        <f>PROPER(TRIM(SUBSTITUTE(U476,"  "," ")))</f>
        <v>Kolkata</v>
      </c>
      <c r="W476" s="3" t="s">
        <v>86</v>
      </c>
      <c r="X476" s="6" t="str">
        <f>PROPER(TRIM(SUBSTITUTE(W476,"  "," ")))</f>
        <v>Technology</v>
      </c>
      <c r="Y476" s="3" t="s">
        <v>382</v>
      </c>
      <c r="Z476" s="6" t="str">
        <f>PROPER(TRIM(SUBSTITUTE(Y476,"  "," ")))</f>
        <v>Machines</v>
      </c>
      <c r="AA476" s="3" t="s">
        <v>3329</v>
      </c>
      <c r="AB476" s="3" t="s">
        <v>56</v>
      </c>
      <c r="AC476" s="6" t="str">
        <f>PROPER(TRIM(SUBSTITUTE(AB476,"  "," ")))</f>
        <v>First Class</v>
      </c>
      <c r="AD476" s="3">
        <v>1</v>
      </c>
      <c r="AE476" s="3">
        <v>4326.75</v>
      </c>
      <c r="AF476" s="3">
        <v>0.05</v>
      </c>
      <c r="AG476" s="17">
        <v>0.05</v>
      </c>
      <c r="AH476" s="6" t="str">
        <f t="shared" si="59"/>
        <v>Valid</v>
      </c>
      <c r="AI476" s="3">
        <v>4110.41</v>
      </c>
      <c r="AJ476" s="3">
        <v>2394.14</v>
      </c>
      <c r="AK476" s="3">
        <v>1716.27</v>
      </c>
      <c r="AL476" s="3" t="s">
        <v>137</v>
      </c>
      <c r="AM476" s="6" t="str">
        <f>PROPER(TRIM(SUBSTITUTE(AL476,".","")))</f>
        <v>Pending</v>
      </c>
      <c r="AN476" s="3" t="s">
        <v>125</v>
      </c>
      <c r="AO476" s="8" t="str">
        <f>PROPER(TRIM(SUBSTITUTE(AN476,".","")))</f>
        <v>Returned</v>
      </c>
      <c r="AP476" t="str">
        <f>IF(COUNTIF($A$2:$A$933, A476) &gt; 1, "Duplicate ID", "Unique")</f>
        <v>Unique</v>
      </c>
      <c r="AR476">
        <f t="shared" si="60"/>
        <v>4110.4124999999995</v>
      </c>
      <c r="AS476">
        <f t="shared" si="61"/>
        <v>1716.2724999999996</v>
      </c>
      <c r="AT476" s="15">
        <f t="shared" si="62"/>
        <v>0.41754264322619683</v>
      </c>
      <c r="AU476" t="str">
        <f t="shared" si="63"/>
        <v>Clean</v>
      </c>
      <c r="AV476" s="8" t="str">
        <f t="shared" si="64"/>
        <v>Active</v>
      </c>
    </row>
    <row r="477" spans="1:48">
      <c r="A477" s="3" t="s">
        <v>4017</v>
      </c>
      <c r="B477" s="3" t="s">
        <v>4018</v>
      </c>
      <c r="C477" s="9">
        <f>IFERROR(DATEVALUE(TEXT(B477,"DD/MM/YYYY")), IF(ISNUMBER(B477), B477, ""))</f>
        <v>45690</v>
      </c>
      <c r="D477" s="9" t="str">
        <f>IF(B477="","Missing", IF(AND(ISNUMBER(B477)=FALSE, C477=""),"Invalid - Could Not Parse", IF(AND(ISNUMBER(B477)=FALSE, C477&lt;&gt;""),"Text - Converted to Date", IF(ISNUMBER(B477),"Valid","Check"))))</f>
        <v>Text - Converted to Date</v>
      </c>
      <c r="E477" s="5">
        <f t="shared" si="57"/>
        <v>2</v>
      </c>
      <c r="F477" s="5">
        <f t="shared" si="58"/>
        <v>2025</v>
      </c>
      <c r="G477" s="3" t="s">
        <v>1335</v>
      </c>
      <c r="H477" s="9">
        <f>IFERROR(DATEVALUE(TEXT(G477,"DD/MM/YYYY")), IF(ISNUMBER(G477), G477, ""))</f>
        <v>45932</v>
      </c>
      <c r="I477" s="9" t="str">
        <f>IF(G477="","Missing", IF(AND(ISNUMBER(G477)=FALSE, H477=""),"Invalid - Could Not Parse", IF(AND(ISNUMBER(G477)=FALSE, H477&lt;&gt;""),"Text - Converted to Date", IF(ISNUMBER(G477),"Valid","Check"))))</f>
        <v>Text - Converted to Date</v>
      </c>
      <c r="J477" s="9" t="str">
        <f>IF(OR(C477="", H477=""), "Cannot Check - Date Missing", IF(H477&lt;C477, "Invalid - Ship Before Order", "Valid"))</f>
        <v>Valid</v>
      </c>
      <c r="K477" s="5">
        <f>IF(OR(C477="", H477=""), "", IF(H477&lt;C477, "", H477-C477))</f>
        <v>242</v>
      </c>
      <c r="L477" s="3" t="s">
        <v>4019</v>
      </c>
      <c r="M477" s="3" t="s">
        <v>168</v>
      </c>
      <c r="N477" s="4" t="str">
        <f>TRIM(SUBSTITUTE(M477,"_"," "))</f>
        <v>Sneha Kapoor</v>
      </c>
      <c r="O477" s="3" t="s">
        <v>108</v>
      </c>
      <c r="P477" s="6" t="str">
        <f>PROPER(TRIM(SUBSTITUTE(O477,".","")))</f>
        <v>Corporate</v>
      </c>
      <c r="Q477" s="3" t="s">
        <v>42</v>
      </c>
      <c r="R477" s="7" t="str">
        <f>PROPER(TRIM(SUBSTITUTE(Q477,"  "," ")))</f>
        <v>East</v>
      </c>
      <c r="S477" s="3" t="s">
        <v>186</v>
      </c>
      <c r="T477" s="6" t="str">
        <f>PROPER(TRIM(SUBSTITUTE(S477,"  "," ")))</f>
        <v>Bihar</v>
      </c>
      <c r="U477" s="3" t="s">
        <v>187</v>
      </c>
      <c r="V477" s="6" t="str">
        <f>PROPER(TRIM(SUBSTITUTE(U477,"  "," ")))</f>
        <v>Patna</v>
      </c>
      <c r="W477" s="3" t="s">
        <v>86</v>
      </c>
      <c r="X477" s="6" t="str">
        <f>PROPER(TRIM(SUBSTITUTE(W477,"  "," ")))</f>
        <v>Technology</v>
      </c>
      <c r="Y477" s="3" t="s">
        <v>87</v>
      </c>
      <c r="Z477" s="6" t="str">
        <f>PROPER(TRIM(SUBSTITUTE(Y477,"  "," ")))</f>
        <v>Accessories</v>
      </c>
      <c r="AA477" s="3" t="s">
        <v>4020</v>
      </c>
      <c r="AB477" s="3" t="s">
        <v>67</v>
      </c>
      <c r="AC477" s="6" t="str">
        <f>PROPER(TRIM(SUBSTITUTE(AB477,"  "," ")))</f>
        <v>Standard Class</v>
      </c>
      <c r="AD477" s="3">
        <v>4</v>
      </c>
      <c r="AE477" s="3">
        <v>1912.45</v>
      </c>
      <c r="AF477" s="3">
        <v>0</v>
      </c>
      <c r="AG477" s="17">
        <v>0</v>
      </c>
      <c r="AH477" s="6" t="str">
        <f t="shared" si="59"/>
        <v>Valid</v>
      </c>
      <c r="AI477" s="3">
        <v>7649.8</v>
      </c>
      <c r="AJ477" s="3">
        <v>4894.53</v>
      </c>
      <c r="AK477" s="3">
        <v>2755.27</v>
      </c>
      <c r="AL477" s="3" t="s">
        <v>137</v>
      </c>
      <c r="AM477" s="6" t="str">
        <f>PROPER(TRIM(SUBSTITUTE(AL477,".","")))</f>
        <v>Pending</v>
      </c>
      <c r="AN477" s="3" t="s">
        <v>125</v>
      </c>
      <c r="AO477" s="8" t="str">
        <f>PROPER(TRIM(SUBSTITUTE(AN477,".","")))</f>
        <v>Returned</v>
      </c>
      <c r="AP477" t="str">
        <f>IF(COUNTIF($A$2:$A$933, A477) &gt; 1, "Duplicate ID", "Unique")</f>
        <v>Unique</v>
      </c>
      <c r="AR477">
        <f t="shared" si="60"/>
        <v>7649.8</v>
      </c>
      <c r="AS477">
        <f t="shared" si="61"/>
        <v>2755.2700000000004</v>
      </c>
      <c r="AT477" s="15">
        <f t="shared" si="62"/>
        <v>0.36017542942299152</v>
      </c>
      <c r="AU477" t="str">
        <f t="shared" si="63"/>
        <v>Clean</v>
      </c>
      <c r="AV477" s="8" t="str">
        <f t="shared" si="64"/>
        <v>Active</v>
      </c>
    </row>
    <row r="478" spans="1:48">
      <c r="A478" s="3" t="s">
        <v>439</v>
      </c>
      <c r="B478" s="3" t="s">
        <v>440</v>
      </c>
      <c r="C478" s="9">
        <f>IFERROR(DATEVALUE(TEXT(B478,"DD/MM/YYYY")), IF(ISNUMBER(B478), B478, ""))</f>
        <v>45691</v>
      </c>
      <c r="D478" s="9" t="str">
        <f>IF(B478="","Missing", IF(AND(ISNUMBER(B478)=FALSE, C478=""),"Invalid - Could Not Parse", IF(AND(ISNUMBER(B478)=FALSE, C478&lt;&gt;""),"Text - Converted to Date", IF(ISNUMBER(B478),"Valid","Check"))))</f>
        <v>Text - Converted to Date</v>
      </c>
      <c r="E478" s="5">
        <f t="shared" si="57"/>
        <v>2</v>
      </c>
      <c r="F478" s="5">
        <f t="shared" si="58"/>
        <v>2025</v>
      </c>
      <c r="G478" s="3" t="s">
        <v>441</v>
      </c>
      <c r="H478" s="9">
        <f>IFERROR(DATEVALUE(TEXT(G478,"DD/MM/YYYY")), IF(ISNUMBER(G478), G478, ""))</f>
        <v>45695</v>
      </c>
      <c r="I478" s="9" t="str">
        <f>IF(G478="","Missing", IF(AND(ISNUMBER(G478)=FALSE, H478=""),"Invalid - Could Not Parse", IF(AND(ISNUMBER(G478)=FALSE, H478&lt;&gt;""),"Text - Converted to Date", IF(ISNUMBER(G478),"Valid","Check"))))</f>
        <v>Text - Converted to Date</v>
      </c>
      <c r="J478" s="9" t="str">
        <f>IF(OR(C478="", H478=""), "Cannot Check - Date Missing", IF(H478&lt;C478, "Invalid - Ship Before Order", "Valid"))</f>
        <v>Valid</v>
      </c>
      <c r="K478" s="5">
        <f>IF(OR(C478="", H478=""), "", IF(H478&lt;C478, "", H478-C478))</f>
        <v>4</v>
      </c>
      <c r="L478" s="3" t="s">
        <v>442</v>
      </c>
      <c r="M478" s="3" t="s">
        <v>366</v>
      </c>
      <c r="N478" s="4" t="str">
        <f>TRIM(SUBSTITUTE(M478,"_"," "))</f>
        <v>Kabir Singh</v>
      </c>
      <c r="O478" s="3" t="s">
        <v>26</v>
      </c>
      <c r="P478" s="6" t="str">
        <f>PROPER(TRIM(SUBSTITUTE(O478,".","")))</f>
        <v>Consumer</v>
      </c>
      <c r="Q478" s="3" t="s">
        <v>27</v>
      </c>
      <c r="R478" s="7" t="str">
        <f>PROPER(TRIM(SUBSTITUTE(Q478,"  "," ")))</f>
        <v>North</v>
      </c>
      <c r="S478" s="3" t="s">
        <v>323</v>
      </c>
      <c r="T478" s="6" t="str">
        <f>PROPER(TRIM(SUBSTITUTE(S478,"  "," ")))</f>
        <v>Haryana</v>
      </c>
      <c r="U478" s="3" t="s">
        <v>324</v>
      </c>
      <c r="V478" s="6" t="str">
        <f>PROPER(TRIM(SUBSTITUTE(U478,"  "," ")))</f>
        <v>Gurugram</v>
      </c>
      <c r="W478" s="3" t="s">
        <v>30</v>
      </c>
      <c r="X478" s="6" t="str">
        <f>PROPER(TRIM(SUBSTITUTE(W478,"  "," ")))</f>
        <v>Office Supplies</v>
      </c>
      <c r="Y478" s="3" t="s">
        <v>31</v>
      </c>
      <c r="Z478" s="6" t="str">
        <f>PROPER(TRIM(SUBSTITUTE(Y478,"  "," ")))</f>
        <v>Paper</v>
      </c>
      <c r="AA478" s="3" t="s">
        <v>443</v>
      </c>
      <c r="AB478" s="3" t="s">
        <v>56</v>
      </c>
      <c r="AC478" s="6" t="str">
        <f>PROPER(TRIM(SUBSTITUTE(AB478,"  "," ")))</f>
        <v>First Class</v>
      </c>
      <c r="AD478" s="3">
        <v>7</v>
      </c>
      <c r="AE478" s="3">
        <v>3609.34</v>
      </c>
      <c r="AF478" s="3">
        <v>0.05</v>
      </c>
      <c r="AG478" s="17">
        <v>0.05</v>
      </c>
      <c r="AH478" s="6" t="str">
        <f t="shared" si="59"/>
        <v>Valid</v>
      </c>
      <c r="AI478" s="3">
        <v>24002.11</v>
      </c>
      <c r="AJ478" s="3">
        <v>18707.57</v>
      </c>
      <c r="AK478" s="3">
        <v>5294.54</v>
      </c>
      <c r="AL478" s="3" t="s">
        <v>34</v>
      </c>
      <c r="AM478" s="6" t="str">
        <f>PROPER(TRIM(SUBSTITUTE(AL478,".","")))</f>
        <v>Paid</v>
      </c>
      <c r="AN478" s="3" t="s">
        <v>35</v>
      </c>
      <c r="AO478" s="8" t="str">
        <f>PROPER(TRIM(SUBSTITUTE(AN478,".","")))</f>
        <v>Completed</v>
      </c>
      <c r="AP478" t="str">
        <f>IF(COUNTIF($A$2:$A$933, A478) &gt; 1, "Duplicate ID", "Unique")</f>
        <v>Unique</v>
      </c>
      <c r="AR478">
        <f t="shared" si="60"/>
        <v>24002.111000000001</v>
      </c>
      <c r="AS478">
        <f t="shared" si="61"/>
        <v>5294.5410000000011</v>
      </c>
      <c r="AT478" s="15">
        <f t="shared" si="62"/>
        <v>0.2205864725815159</v>
      </c>
      <c r="AU478" t="str">
        <f t="shared" si="63"/>
        <v>Clean</v>
      </c>
      <c r="AV478" s="8" t="str">
        <f t="shared" si="64"/>
        <v>Active</v>
      </c>
    </row>
    <row r="479" spans="1:48">
      <c r="A479" s="3" t="s">
        <v>785</v>
      </c>
      <c r="B479" s="3" t="s">
        <v>786</v>
      </c>
      <c r="C479" s="9">
        <f>IFERROR(DATEVALUE(TEXT(B479,"DD/MM/YYYY")), IF(ISNUMBER(B479), B479, ""))</f>
        <v>45691</v>
      </c>
      <c r="D479" s="9" t="str">
        <f>IF(B479="","Missing", IF(AND(ISNUMBER(B479)=FALSE, C479=""),"Invalid - Could Not Parse", IF(AND(ISNUMBER(B479)=FALSE, C479&lt;&gt;""),"Text - Converted to Date", IF(ISNUMBER(B479),"Valid","Check"))))</f>
        <v>Text - Converted to Date</v>
      </c>
      <c r="E479" s="5">
        <f t="shared" si="57"/>
        <v>2</v>
      </c>
      <c r="F479" s="5">
        <f t="shared" si="58"/>
        <v>2025</v>
      </c>
      <c r="G479" s="3" t="s">
        <v>787</v>
      </c>
      <c r="H479" s="9">
        <f>IFERROR(DATEVALUE(TEXT(G479,"DD/MM/YYYY")), IF(ISNUMBER(G479), G479, ""))</f>
        <v>45723</v>
      </c>
      <c r="I479" s="9" t="str">
        <f>IF(G479="","Missing", IF(AND(ISNUMBER(G479)=FALSE, H479=""),"Invalid - Could Not Parse", IF(AND(ISNUMBER(G479)=FALSE, H479&lt;&gt;""),"Text - Converted to Date", IF(ISNUMBER(G479),"Valid","Check"))))</f>
        <v>Text - Converted to Date</v>
      </c>
      <c r="J479" s="9" t="str">
        <f>IF(OR(C479="", H479=""), "Cannot Check - Date Missing", IF(H479&lt;C479, "Invalid - Ship Before Order", "Valid"))</f>
        <v>Valid</v>
      </c>
      <c r="K479" s="5">
        <f>IF(OR(C479="", H479=""), "", IF(H479&lt;C479, "", H479-C479))</f>
        <v>32</v>
      </c>
      <c r="L479" s="3" t="s">
        <v>788</v>
      </c>
      <c r="M479" s="3" t="s">
        <v>93</v>
      </c>
      <c r="N479" s="4" t="str">
        <f>TRIM(SUBSTITUTE(M479,"_"," "))</f>
        <v>Neha Gupta</v>
      </c>
      <c r="O479" s="3" t="s">
        <v>115</v>
      </c>
      <c r="P479" s="6" t="str">
        <f>PROPER(TRIM(SUBSTITUTE(O479,".","")))</f>
        <v>Home Office</v>
      </c>
      <c r="Q479" s="3" t="s">
        <v>62</v>
      </c>
      <c r="R479" s="7" t="str">
        <f>PROPER(TRIM(SUBSTITUTE(Q479,"  "," ")))</f>
        <v>South</v>
      </c>
      <c r="S479" s="3" t="s">
        <v>229</v>
      </c>
      <c r="T479" s="6" t="str">
        <f>PROPER(TRIM(SUBSTITUTE(S479,"  "," ")))</f>
        <v>Karnataka</v>
      </c>
      <c r="U479" s="3" t="s">
        <v>230</v>
      </c>
      <c r="V479" s="6" t="str">
        <f>PROPER(TRIM(SUBSTITUTE(U479,"  "," ")))</f>
        <v>Bengaluru</v>
      </c>
      <c r="W479" s="3" t="s">
        <v>30</v>
      </c>
      <c r="X479" s="6" t="str">
        <f>PROPER(TRIM(SUBSTITUTE(W479,"  "," ")))</f>
        <v>Office Supplies</v>
      </c>
      <c r="Y479" s="3" t="s">
        <v>109</v>
      </c>
      <c r="Z479" s="6" t="str">
        <f>PROPER(TRIM(SUBSTITUTE(Y479,"  "," ")))</f>
        <v>Labels</v>
      </c>
      <c r="AA479" s="3" t="s">
        <v>789</v>
      </c>
      <c r="AB479" s="3" t="s">
        <v>67</v>
      </c>
      <c r="AC479" s="6" t="str">
        <f>PROPER(TRIM(SUBSTITUTE(AB479,"  "," ")))</f>
        <v>Standard Class</v>
      </c>
      <c r="AD479" s="3">
        <v>8</v>
      </c>
      <c r="AE479" s="3">
        <v>1287.6300000000001</v>
      </c>
      <c r="AF479" s="3">
        <v>0</v>
      </c>
      <c r="AG479" s="17">
        <v>0</v>
      </c>
      <c r="AH479" s="6" t="str">
        <f t="shared" si="59"/>
        <v>Valid</v>
      </c>
      <c r="AI479" s="3">
        <v>10301.040000000001</v>
      </c>
      <c r="AJ479" s="3">
        <v>6564.06</v>
      </c>
      <c r="AK479" s="3">
        <v>3736.98</v>
      </c>
      <c r="AL479" s="3" t="s">
        <v>34</v>
      </c>
      <c r="AM479" s="6" t="str">
        <f>PROPER(TRIM(SUBSTITUTE(AL479,".","")))</f>
        <v>Paid</v>
      </c>
      <c r="AN479" s="3" t="s">
        <v>35</v>
      </c>
      <c r="AO479" s="8" t="str">
        <f>PROPER(TRIM(SUBSTITUTE(AN479,".","")))</f>
        <v>Completed</v>
      </c>
      <c r="AP479" t="str">
        <f>IF(COUNTIF($A$2:$A$933, A479) &gt; 1, "Duplicate ID", "Unique")</f>
        <v>Unique</v>
      </c>
      <c r="AR479">
        <f t="shared" si="60"/>
        <v>10301.040000000001</v>
      </c>
      <c r="AS479">
        <f t="shared" si="61"/>
        <v>3736.9800000000005</v>
      </c>
      <c r="AT479" s="15">
        <f t="shared" si="62"/>
        <v>0.3627769623261341</v>
      </c>
      <c r="AU479" t="str">
        <f t="shared" si="63"/>
        <v>Clean</v>
      </c>
      <c r="AV479" s="8" t="str">
        <f t="shared" si="64"/>
        <v>Active</v>
      </c>
    </row>
    <row r="480" spans="1:48">
      <c r="A480" s="3" t="s">
        <v>2487</v>
      </c>
      <c r="B480" s="3" t="s">
        <v>786</v>
      </c>
      <c r="C480" s="9">
        <f>IFERROR(DATEVALUE(TEXT(B480,"DD/MM/YYYY")), IF(ISNUMBER(B480), B480, ""))</f>
        <v>45691</v>
      </c>
      <c r="D480" s="9" t="str">
        <f>IF(B480="","Missing", IF(AND(ISNUMBER(B480)=FALSE, C480=""),"Invalid - Could Not Parse", IF(AND(ISNUMBER(B480)=FALSE, C480&lt;&gt;""),"Text - Converted to Date", IF(ISNUMBER(B480),"Valid","Check"))))</f>
        <v>Text - Converted to Date</v>
      </c>
      <c r="E480" s="5">
        <f t="shared" si="57"/>
        <v>2</v>
      </c>
      <c r="F480" s="5">
        <f t="shared" si="58"/>
        <v>2025</v>
      </c>
      <c r="G480" s="3" t="s">
        <v>2488</v>
      </c>
      <c r="H480" s="9">
        <f>IFERROR(DATEVALUE(TEXT(G480,"DD/MM/YYYY")), IF(ISNUMBER(G480), G480, ""))</f>
        <v>45719</v>
      </c>
      <c r="I480" s="9" t="str">
        <f>IF(G480="","Missing", IF(AND(ISNUMBER(G480)=FALSE, H480=""),"Invalid - Could Not Parse", IF(AND(ISNUMBER(G480)=FALSE, H480&lt;&gt;""),"Text - Converted to Date", IF(ISNUMBER(G480),"Valid","Check"))))</f>
        <v>Text - Converted to Date</v>
      </c>
      <c r="J480" s="9" t="str">
        <f>IF(OR(C480="", H480=""), "Cannot Check - Date Missing", IF(H480&lt;C480, "Invalid - Ship Before Order", "Valid"))</f>
        <v>Valid</v>
      </c>
      <c r="K480" s="5">
        <f>IF(OR(C480="", H480=""), "", IF(H480&lt;C480, "", H480-C480))</f>
        <v>28</v>
      </c>
      <c r="L480" s="3" t="s">
        <v>1900</v>
      </c>
      <c r="M480" s="3" t="s">
        <v>53</v>
      </c>
      <c r="N480" s="4" t="str">
        <f>TRIM(SUBSTITUTE(M480,"_"," "))</f>
        <v>Isha Nair</v>
      </c>
      <c r="O480" s="3" t="s">
        <v>108</v>
      </c>
      <c r="P480" s="6" t="str">
        <f>PROPER(TRIM(SUBSTITUTE(O480,".","")))</f>
        <v>Corporate</v>
      </c>
      <c r="Q480" s="3" t="s">
        <v>62</v>
      </c>
      <c r="R480" s="7" t="str">
        <f>PROPER(TRIM(SUBSTITUTE(Q480,"  "," ")))</f>
        <v>South</v>
      </c>
      <c r="S480" s="3" t="s">
        <v>242</v>
      </c>
      <c r="T480" s="6" t="str">
        <f>PROPER(TRIM(SUBSTITUTE(S480,"  "," ")))</f>
        <v>Kerala</v>
      </c>
      <c r="U480" s="3" t="s">
        <v>243</v>
      </c>
      <c r="V480" s="6" t="str">
        <f>PROPER(TRIM(SUBSTITUTE(U480,"  "," ")))</f>
        <v>Kochi</v>
      </c>
      <c r="W480" s="3" t="s">
        <v>30</v>
      </c>
      <c r="X480" s="6" t="str">
        <f>PROPER(TRIM(SUBSTITUTE(W480,"  "," ")))</f>
        <v>Office Supplies</v>
      </c>
      <c r="Y480" s="3" t="s">
        <v>109</v>
      </c>
      <c r="Z480" s="6" t="str">
        <f>PROPER(TRIM(SUBSTITUTE(Y480,"  "," ")))</f>
        <v>Labels</v>
      </c>
      <c r="AA480" s="3" t="s">
        <v>2489</v>
      </c>
      <c r="AB480" s="3" t="s">
        <v>33</v>
      </c>
      <c r="AC480" s="6" t="str">
        <f>PROPER(TRIM(SUBSTITUTE(AB480,"  "," ")))</f>
        <v>Second Class</v>
      </c>
      <c r="AD480" s="3">
        <v>2</v>
      </c>
      <c r="AE480" s="3">
        <v>4031.45</v>
      </c>
      <c r="AF480" s="3">
        <v>0.25</v>
      </c>
      <c r="AG480" s="17">
        <v>0.25</v>
      </c>
      <c r="AH480" s="6" t="str">
        <f t="shared" si="59"/>
        <v>Valid</v>
      </c>
      <c r="AI480" s="3">
        <v>6047.17</v>
      </c>
      <c r="AJ480" s="3">
        <v>3368.79</v>
      </c>
      <c r="AK480" s="3">
        <v>2678.38</v>
      </c>
      <c r="AL480" s="3" t="s">
        <v>34</v>
      </c>
      <c r="AM480" s="6" t="str">
        <f>PROPER(TRIM(SUBSTITUTE(AL480,".","")))</f>
        <v>Paid</v>
      </c>
      <c r="AN480" s="3" t="s">
        <v>35</v>
      </c>
      <c r="AO480" s="8" t="str">
        <f>PROPER(TRIM(SUBSTITUTE(AN480,".","")))</f>
        <v>Completed</v>
      </c>
      <c r="AP480" t="str">
        <f>IF(COUNTIF($A$2:$A$933, A480) &gt; 1, "Duplicate ID", "Unique")</f>
        <v>Unique</v>
      </c>
      <c r="AR480">
        <f t="shared" si="60"/>
        <v>6047.1749999999993</v>
      </c>
      <c r="AS480">
        <f t="shared" si="61"/>
        <v>2678.3849999999993</v>
      </c>
      <c r="AT480" s="15">
        <f t="shared" si="62"/>
        <v>0.44291508018206843</v>
      </c>
      <c r="AU480" t="str">
        <f t="shared" si="63"/>
        <v>Clean</v>
      </c>
      <c r="AV480" s="8" t="str">
        <f t="shared" si="64"/>
        <v>Active</v>
      </c>
    </row>
    <row r="481" spans="1:48">
      <c r="A481" s="3" t="s">
        <v>1333</v>
      </c>
      <c r="B481" s="3" t="s">
        <v>1334</v>
      </c>
      <c r="C481" s="9">
        <f>IFERROR(DATEVALUE(TEXT(B481,"DD/MM/YYYY")), IF(ISNUMBER(B481), B481, ""))</f>
        <v>45692</v>
      </c>
      <c r="D481" s="9" t="str">
        <f>IF(B481="","Missing", IF(AND(ISNUMBER(B481)=FALSE, C481=""),"Invalid - Could Not Parse", IF(AND(ISNUMBER(B481)=FALSE, C481&lt;&gt;""),"Text - Converted to Date", IF(ISNUMBER(B481),"Valid","Check"))))</f>
        <v>Text - Converted to Date</v>
      </c>
      <c r="E481" s="5">
        <f t="shared" si="57"/>
        <v>2</v>
      </c>
      <c r="F481" s="5">
        <f t="shared" si="58"/>
        <v>2025</v>
      </c>
      <c r="G481" s="3" t="s">
        <v>1335</v>
      </c>
      <c r="H481" s="9">
        <f>IFERROR(DATEVALUE(TEXT(G481,"DD/MM/YYYY")), IF(ISNUMBER(G481), G481, ""))</f>
        <v>45932</v>
      </c>
      <c r="I481" s="9" t="str">
        <f>IF(G481="","Missing", IF(AND(ISNUMBER(G481)=FALSE, H481=""),"Invalid - Could Not Parse", IF(AND(ISNUMBER(G481)=FALSE, H481&lt;&gt;""),"Text - Converted to Date", IF(ISNUMBER(G481),"Valid","Check"))))</f>
        <v>Text - Converted to Date</v>
      </c>
      <c r="J481" s="9" t="str">
        <f>IF(OR(C481="", H481=""), "Cannot Check - Date Missing", IF(H481&lt;C481, "Invalid - Ship Before Order", "Valid"))</f>
        <v>Valid</v>
      </c>
      <c r="K481" s="5">
        <f>IF(OR(C481="", H481=""), "", IF(H481&lt;C481, "", H481-C481))</f>
        <v>240</v>
      </c>
      <c r="L481" s="3" t="s">
        <v>1336</v>
      </c>
      <c r="M481" s="3" t="s">
        <v>53</v>
      </c>
      <c r="N481" s="4" t="str">
        <f>TRIM(SUBSTITUTE(M481,"_"," "))</f>
        <v>Isha Nair</v>
      </c>
      <c r="O481" s="3" t="s">
        <v>108</v>
      </c>
      <c r="P481" s="6" t="str">
        <f>PROPER(TRIM(SUBSTITUTE(O481,".","")))</f>
        <v>Corporate</v>
      </c>
      <c r="Q481" s="3" t="s">
        <v>73</v>
      </c>
      <c r="R481" s="7" t="str">
        <f>PROPER(TRIM(SUBSTITUTE(Q481,"  "," ")))</f>
        <v>West</v>
      </c>
      <c r="S481" s="3" t="s">
        <v>74</v>
      </c>
      <c r="T481" s="6" t="str">
        <f>PROPER(TRIM(SUBSTITUTE(S481,"  "," ")))</f>
        <v>Maharashtra</v>
      </c>
      <c r="U481" s="3" t="s">
        <v>75</v>
      </c>
      <c r="V481" s="6" t="str">
        <f>PROPER(TRIM(SUBSTITUTE(U481,"  "," ")))</f>
        <v>Mumbai</v>
      </c>
      <c r="W481" s="3" t="s">
        <v>86</v>
      </c>
      <c r="X481" s="6" t="str">
        <f>PROPER(TRIM(SUBSTITUTE(W481,"  "," ")))</f>
        <v>Technology</v>
      </c>
      <c r="Y481" s="3" t="s">
        <v>223</v>
      </c>
      <c r="Z481" s="6" t="str">
        <f>PROPER(TRIM(SUBSTITUTE(Y481,"  "," ")))</f>
        <v>Phones</v>
      </c>
      <c r="AA481" s="3" t="s">
        <v>1337</v>
      </c>
      <c r="AB481" s="3" t="s">
        <v>56</v>
      </c>
      <c r="AC481" s="6" t="str">
        <f>PROPER(TRIM(SUBSTITUTE(AB481,"  "," ")))</f>
        <v>First Class</v>
      </c>
      <c r="AD481" s="3">
        <v>7</v>
      </c>
      <c r="AE481" s="3">
        <v>1830</v>
      </c>
      <c r="AF481" s="3">
        <v>0</v>
      </c>
      <c r="AG481" s="17">
        <v>0</v>
      </c>
      <c r="AH481" s="6" t="str">
        <f t="shared" si="59"/>
        <v>Valid</v>
      </c>
      <c r="AI481" s="3">
        <v>12810</v>
      </c>
      <c r="AJ481" s="3">
        <v>9334.1200000000008</v>
      </c>
      <c r="AK481" s="3">
        <v>3475.88</v>
      </c>
      <c r="AL481" s="3" t="s">
        <v>34</v>
      </c>
      <c r="AM481" s="6" t="str">
        <f>PROPER(TRIM(SUBSTITUTE(AL481,".","")))</f>
        <v>Paid</v>
      </c>
      <c r="AN481" s="3" t="s">
        <v>35</v>
      </c>
      <c r="AO481" s="8" t="str">
        <f>PROPER(TRIM(SUBSTITUTE(AN481,".","")))</f>
        <v>Completed</v>
      </c>
      <c r="AP481" t="str">
        <f>IF(COUNTIF($A$2:$A$933, A481) &gt; 1, "Duplicate ID", "Unique")</f>
        <v>Unique</v>
      </c>
      <c r="AR481">
        <f t="shared" si="60"/>
        <v>12810</v>
      </c>
      <c r="AS481">
        <f t="shared" si="61"/>
        <v>3475.8799999999992</v>
      </c>
      <c r="AT481" s="15">
        <f t="shared" si="62"/>
        <v>0.27134113973458229</v>
      </c>
      <c r="AU481" t="str">
        <f t="shared" si="63"/>
        <v>Clean</v>
      </c>
      <c r="AV481" s="8" t="str">
        <f t="shared" si="64"/>
        <v>Active</v>
      </c>
    </row>
    <row r="482" spans="1:48">
      <c r="A482" s="3" t="s">
        <v>2674</v>
      </c>
      <c r="B482" s="3" t="s">
        <v>882</v>
      </c>
      <c r="C482" s="9">
        <f>IFERROR(DATEVALUE(TEXT(B482,"DD/MM/YYYY")), IF(ISNUMBER(B482), B482, ""))</f>
        <v>45692</v>
      </c>
      <c r="D482" s="9" t="str">
        <f>IF(B482="","Missing", IF(AND(ISNUMBER(B482)=FALSE, C482=""),"Invalid - Could Not Parse", IF(AND(ISNUMBER(B482)=FALSE, C482&lt;&gt;""),"Text - Converted to Date", IF(ISNUMBER(B482),"Valid","Check"))))</f>
        <v>Text - Converted to Date</v>
      </c>
      <c r="E482" s="5">
        <f t="shared" si="57"/>
        <v>2</v>
      </c>
      <c r="F482" s="5">
        <f t="shared" si="58"/>
        <v>2025</v>
      </c>
      <c r="G482" s="3" t="s">
        <v>2675</v>
      </c>
      <c r="H482" s="9">
        <f>IFERROR(DATEVALUE(TEXT(G482,"DD/MM/YYYY")), IF(ISNUMBER(G482), G482, ""))</f>
        <v>45698</v>
      </c>
      <c r="I482" s="9" t="str">
        <f>IF(G482="","Missing", IF(AND(ISNUMBER(G482)=FALSE, H482=""),"Invalid - Could Not Parse", IF(AND(ISNUMBER(G482)=FALSE, H482&lt;&gt;""),"Text - Converted to Date", IF(ISNUMBER(G482),"Valid","Check"))))</f>
        <v>Text - Converted to Date</v>
      </c>
      <c r="J482" s="9" t="str">
        <f>IF(OR(C482="", H482=""), "Cannot Check - Date Missing", IF(H482&lt;C482, "Invalid - Ship Before Order", "Valid"))</f>
        <v>Valid</v>
      </c>
      <c r="K482" s="5">
        <f>IF(OR(C482="", H482=""), "", IF(H482&lt;C482, "", H482-C482))</f>
        <v>6</v>
      </c>
      <c r="L482" s="3" t="s">
        <v>2676</v>
      </c>
      <c r="M482" s="3" t="s">
        <v>72</v>
      </c>
      <c r="N482" s="4" t="str">
        <f>TRIM(SUBSTITUTE(M482,"_"," "))</f>
        <v>Ananya Rao</v>
      </c>
      <c r="O482" s="3" t="s">
        <v>41</v>
      </c>
      <c r="P482" s="6" t="str">
        <f>PROPER(TRIM(SUBSTITUTE(O482,".","")))</f>
        <v>Small Business</v>
      </c>
      <c r="Q482" s="3" t="s">
        <v>62</v>
      </c>
      <c r="R482" s="7" t="str">
        <f>PROPER(TRIM(SUBSTITUTE(Q482,"  "," ")))</f>
        <v>South</v>
      </c>
      <c r="S482" s="3" t="s">
        <v>63</v>
      </c>
      <c r="T482" s="6" t="str">
        <f>PROPER(TRIM(SUBSTITUTE(S482,"  "," ")))</f>
        <v>Telangana</v>
      </c>
      <c r="U482" s="3" t="s">
        <v>64</v>
      </c>
      <c r="V482" s="6" t="str">
        <f>PROPER(TRIM(SUBSTITUTE(U482,"  "," ")))</f>
        <v>Hyderabad</v>
      </c>
      <c r="W482" s="3" t="s">
        <v>30</v>
      </c>
      <c r="X482" s="6" t="str">
        <f>PROPER(TRIM(SUBSTITUTE(W482,"  "," ")))</f>
        <v>Office Supplies</v>
      </c>
      <c r="Y482" s="3" t="s">
        <v>156</v>
      </c>
      <c r="Z482" s="6" t="str">
        <f>PROPER(TRIM(SUBSTITUTE(Y482,"  "," ")))</f>
        <v>Storage</v>
      </c>
      <c r="AA482" s="3" t="s">
        <v>2677</v>
      </c>
      <c r="AB482" s="3" t="s">
        <v>67</v>
      </c>
      <c r="AC482" s="6" t="str">
        <f>PROPER(TRIM(SUBSTITUTE(AB482,"  "," ")))</f>
        <v>Standard Class</v>
      </c>
      <c r="AD482" s="3">
        <v>6</v>
      </c>
      <c r="AE482" s="3">
        <v>1042.8</v>
      </c>
      <c r="AF482" s="3">
        <v>0.05</v>
      </c>
      <c r="AG482" s="17">
        <v>0.05</v>
      </c>
      <c r="AH482" s="6" t="str">
        <f t="shared" si="59"/>
        <v>Valid</v>
      </c>
      <c r="AI482" s="3">
        <v>5943.96</v>
      </c>
      <c r="AJ482" s="3">
        <v>3604.14</v>
      </c>
      <c r="AK482" s="3">
        <v>2339.8200000000002</v>
      </c>
      <c r="AL482" s="3" t="s">
        <v>34</v>
      </c>
      <c r="AM482" s="6" t="str">
        <f>PROPER(TRIM(SUBSTITUTE(AL482,".","")))</f>
        <v>Paid</v>
      </c>
      <c r="AN482" s="3" t="s">
        <v>35</v>
      </c>
      <c r="AO482" s="8" t="str">
        <f>PROPER(TRIM(SUBSTITUTE(AN482,".","")))</f>
        <v>Completed</v>
      </c>
      <c r="AP482" t="str">
        <f>IF(COUNTIF($A$2:$A$933, A482) &gt; 1, "Duplicate ID", "Unique")</f>
        <v>Unique</v>
      </c>
      <c r="AR482">
        <f t="shared" si="60"/>
        <v>5943.9599999999991</v>
      </c>
      <c r="AS482">
        <f t="shared" si="61"/>
        <v>2339.8199999999993</v>
      </c>
      <c r="AT482" s="15">
        <f t="shared" si="62"/>
        <v>0.39364665980255581</v>
      </c>
      <c r="AU482" t="str">
        <f t="shared" si="63"/>
        <v>Clean</v>
      </c>
      <c r="AV482" s="8" t="str">
        <f t="shared" si="64"/>
        <v>Active</v>
      </c>
    </row>
    <row r="483" spans="1:48">
      <c r="A483" s="3" t="s">
        <v>609</v>
      </c>
      <c r="B483" s="3" t="s">
        <v>610</v>
      </c>
      <c r="C483" s="9">
        <f>IFERROR(DATEVALUE(TEXT(B483,"DD/MM/YYYY")), IF(ISNUMBER(B483), B483, ""))</f>
        <v>45693</v>
      </c>
      <c r="D483" s="9" t="str">
        <f>IF(B483="","Missing", IF(AND(ISNUMBER(B483)=FALSE, C483=""),"Invalid - Could Not Parse", IF(AND(ISNUMBER(B483)=FALSE, C483&lt;&gt;""),"Text - Converted to Date", IF(ISNUMBER(B483),"Valid","Check"))))</f>
        <v>Text - Converted to Date</v>
      </c>
      <c r="E483" s="5">
        <f t="shared" si="57"/>
        <v>2</v>
      </c>
      <c r="F483" s="5">
        <f t="shared" si="58"/>
        <v>2025</v>
      </c>
      <c r="G483" s="3" t="s">
        <v>611</v>
      </c>
      <c r="H483" s="9">
        <f>IFERROR(DATEVALUE(TEXT(G483,"DD/MM/YYYY")), IF(ISNUMBER(G483), G483, ""))</f>
        <v>45935</v>
      </c>
      <c r="I483" s="9" t="str">
        <f>IF(G483="","Missing", IF(AND(ISNUMBER(G483)=FALSE, H483=""),"Invalid - Could Not Parse", IF(AND(ISNUMBER(G483)=FALSE, H483&lt;&gt;""),"Text - Converted to Date", IF(ISNUMBER(G483),"Valid","Check"))))</f>
        <v>Text - Converted to Date</v>
      </c>
      <c r="J483" s="9" t="str">
        <f>IF(OR(C483="", H483=""), "Cannot Check - Date Missing", IF(H483&lt;C483, "Invalid - Ship Before Order", "Valid"))</f>
        <v>Valid</v>
      </c>
      <c r="K483" s="5">
        <f>IF(OR(C483="", H483=""), "", IF(H483&lt;C483, "", H483-C483))</f>
        <v>242</v>
      </c>
      <c r="L483" s="3" t="s">
        <v>612</v>
      </c>
      <c r="M483" s="3" t="s">
        <v>366</v>
      </c>
      <c r="N483" s="4" t="str">
        <f>TRIM(SUBSTITUTE(M483,"_"," "))</f>
        <v>Kabir Singh</v>
      </c>
      <c r="O483" s="3" t="s">
        <v>108</v>
      </c>
      <c r="P483" s="6" t="str">
        <f>PROPER(TRIM(SUBSTITUTE(O483,".","")))</f>
        <v>Corporate</v>
      </c>
      <c r="Q483" s="3" t="s">
        <v>73</v>
      </c>
      <c r="R483" s="7" t="str">
        <f>PROPER(TRIM(SUBSTITUTE(Q483,"  "," ")))</f>
        <v>West</v>
      </c>
      <c r="S483" s="3" t="s">
        <v>74</v>
      </c>
      <c r="T483" s="6" t="str">
        <f>PROPER(TRIM(SUBSTITUTE(S483,"  "," ")))</f>
        <v>Maharashtra</v>
      </c>
      <c r="U483" s="3" t="s">
        <v>75</v>
      </c>
      <c r="V483" s="6" t="str">
        <f>PROPER(TRIM(SUBSTITUTE(U483,"  "," ")))</f>
        <v>Mumbai</v>
      </c>
      <c r="W483" s="3" t="s">
        <v>45</v>
      </c>
      <c r="X483" s="6" t="str">
        <f>PROPER(TRIM(SUBSTITUTE(W483,"  "," ")))</f>
        <v>Furniture</v>
      </c>
      <c r="Y483" s="3" t="s">
        <v>46</v>
      </c>
      <c r="Z483" s="6" t="str">
        <f>PROPER(TRIM(SUBSTITUTE(Y483,"  "," ")))</f>
        <v>Tables</v>
      </c>
      <c r="AA483" s="3" t="s">
        <v>613</v>
      </c>
      <c r="AB483" s="3" t="s">
        <v>56</v>
      </c>
      <c r="AC483" s="6" t="str">
        <f>PROPER(TRIM(SUBSTITUTE(AB483,"  "," ")))</f>
        <v>First Class</v>
      </c>
      <c r="AD483" s="3">
        <v>4</v>
      </c>
      <c r="AE483" s="3">
        <v>2440.34</v>
      </c>
      <c r="AF483" s="3">
        <v>0.2</v>
      </c>
      <c r="AG483" s="17">
        <v>0.2</v>
      </c>
      <c r="AH483" s="6" t="str">
        <f t="shared" si="59"/>
        <v>Valid</v>
      </c>
      <c r="AI483" s="3">
        <v>7809.09</v>
      </c>
      <c r="AJ483" s="3">
        <v>6657.75</v>
      </c>
      <c r="AK483" s="3">
        <v>1151.3399999999999</v>
      </c>
      <c r="AL483" s="3" t="s">
        <v>34</v>
      </c>
      <c r="AM483" s="6" t="str">
        <f>PROPER(TRIM(SUBSTITUTE(AL483,".","")))</f>
        <v>Paid</v>
      </c>
      <c r="AN483" s="3" t="s">
        <v>35</v>
      </c>
      <c r="AO483" s="8" t="str">
        <f>PROPER(TRIM(SUBSTITUTE(AN483,".","")))</f>
        <v>Completed</v>
      </c>
      <c r="AP483" t="str">
        <f>IF(COUNTIF($A$2:$A$933, A483) &gt; 1, "Duplicate ID", "Unique")</f>
        <v>Unique</v>
      </c>
      <c r="AR483">
        <f t="shared" si="60"/>
        <v>7809.0880000000006</v>
      </c>
      <c r="AS483">
        <f t="shared" si="61"/>
        <v>1151.3380000000006</v>
      </c>
      <c r="AT483" s="15">
        <f t="shared" si="62"/>
        <v>0.14743565445798543</v>
      </c>
      <c r="AU483" t="str">
        <f t="shared" si="63"/>
        <v>Clean</v>
      </c>
      <c r="AV483" s="8" t="str">
        <f t="shared" si="64"/>
        <v>Active</v>
      </c>
    </row>
    <row r="484" spans="1:48">
      <c r="A484" s="3" t="s">
        <v>2882</v>
      </c>
      <c r="B484" s="3" t="s">
        <v>2883</v>
      </c>
      <c r="C484" s="9">
        <f>IFERROR(DATEVALUE(TEXT(B484,"DD/MM/YYYY")), IF(ISNUMBER(B484), B484, ""))</f>
        <v>45693</v>
      </c>
      <c r="D484" s="9" t="str">
        <f>IF(B484="","Missing", IF(AND(ISNUMBER(B484)=FALSE, C484=""),"Invalid - Could Not Parse", IF(AND(ISNUMBER(B484)=FALSE, C484&lt;&gt;""),"Text - Converted to Date", IF(ISNUMBER(B484),"Valid","Check"))))</f>
        <v>Text - Converted to Date</v>
      </c>
      <c r="E484" s="5">
        <f t="shared" si="57"/>
        <v>2</v>
      </c>
      <c r="F484" s="5">
        <f t="shared" si="58"/>
        <v>2025</v>
      </c>
      <c r="G484" s="3" t="s">
        <v>2884</v>
      </c>
      <c r="H484" s="9">
        <f>IFERROR(DATEVALUE(TEXT(G484,"DD/MM/YYYY")), IF(ISNUMBER(G484), G484, ""))</f>
        <v>45810</v>
      </c>
      <c r="I484" s="9" t="str">
        <f>IF(G484="","Missing", IF(AND(ISNUMBER(G484)=FALSE, H484=""),"Invalid - Could Not Parse", IF(AND(ISNUMBER(G484)=FALSE, H484&lt;&gt;""),"Text - Converted to Date", IF(ISNUMBER(G484),"Valid","Check"))))</f>
        <v>Text - Converted to Date</v>
      </c>
      <c r="J484" s="9" t="str">
        <f>IF(OR(C484="", H484=""), "Cannot Check - Date Missing", IF(H484&lt;C484, "Invalid - Ship Before Order", "Valid"))</f>
        <v>Valid</v>
      </c>
      <c r="K484" s="5">
        <f>IF(OR(C484="", H484=""), "", IF(H484&lt;C484, "", H484-C484))</f>
        <v>117</v>
      </c>
      <c r="L484" s="3" t="s">
        <v>2885</v>
      </c>
      <c r="M484" s="3" t="s">
        <v>72</v>
      </c>
      <c r="N484" s="4" t="str">
        <f>TRIM(SUBSTITUTE(M484,"_"," "))</f>
        <v>Ananya Rao</v>
      </c>
      <c r="O484" s="3" t="s">
        <v>26</v>
      </c>
      <c r="P484" s="6" t="str">
        <f>PROPER(TRIM(SUBSTITUTE(O484,".","")))</f>
        <v>Consumer</v>
      </c>
      <c r="Q484" s="3" t="s">
        <v>73</v>
      </c>
      <c r="R484" s="7" t="str">
        <f>PROPER(TRIM(SUBSTITUTE(Q484,"  "," ")))</f>
        <v>West</v>
      </c>
      <c r="S484" s="3" t="s">
        <v>84</v>
      </c>
      <c r="T484" s="6" t="str">
        <f>PROPER(TRIM(SUBSTITUTE(S484,"  "," ")))</f>
        <v>Madhya Pradesh</v>
      </c>
      <c r="U484" s="3" t="s">
        <v>85</v>
      </c>
      <c r="V484" s="6" t="str">
        <f>PROPER(TRIM(SUBSTITUTE(U484,"  "," ")))</f>
        <v>Indore</v>
      </c>
      <c r="W484" s="3" t="s">
        <v>30</v>
      </c>
      <c r="X484" s="6" t="str">
        <f>PROPER(TRIM(SUBSTITUTE(W484,"  "," ")))</f>
        <v>Office Supplies</v>
      </c>
      <c r="Y484" s="3" t="s">
        <v>198</v>
      </c>
      <c r="Z484" s="6" t="str">
        <f>PROPER(TRIM(SUBSTITUTE(Y484,"  "," ")))</f>
        <v>Binders</v>
      </c>
      <c r="AA484" s="3" t="s">
        <v>2886</v>
      </c>
      <c r="AB484" s="3" t="s">
        <v>48</v>
      </c>
      <c r="AC484" s="6" t="str">
        <f>PROPER(TRIM(SUBSTITUTE(AB484,"  "," ")))</f>
        <v>Same Day</v>
      </c>
      <c r="AD484" s="3">
        <v>3</v>
      </c>
      <c r="AE484" s="3">
        <v>1076.3</v>
      </c>
      <c r="AF484" s="3">
        <v>0</v>
      </c>
      <c r="AG484" s="17">
        <v>0</v>
      </c>
      <c r="AH484" s="6" t="str">
        <f t="shared" si="59"/>
        <v>Valid</v>
      </c>
      <c r="AI484" s="3">
        <v>3228.9</v>
      </c>
      <c r="AJ484" s="3">
        <v>1853.23</v>
      </c>
      <c r="AK484" s="3">
        <v>1375.67</v>
      </c>
      <c r="AL484" s="3" t="s">
        <v>34</v>
      </c>
      <c r="AM484" s="6" t="str">
        <f>PROPER(TRIM(SUBSTITUTE(AL484,".","")))</f>
        <v>Paid</v>
      </c>
      <c r="AN484" s="3" t="s">
        <v>35</v>
      </c>
      <c r="AO484" s="8" t="str">
        <f>PROPER(TRIM(SUBSTITUTE(AN484,".","")))</f>
        <v>Completed</v>
      </c>
      <c r="AP484" t="str">
        <f>IF(COUNTIF($A$2:$A$933, A484) &gt; 1, "Duplicate ID", "Unique")</f>
        <v>Unique</v>
      </c>
      <c r="AR484">
        <f t="shared" si="60"/>
        <v>3228.8999999999996</v>
      </c>
      <c r="AS484">
        <f t="shared" si="61"/>
        <v>1375.6699999999996</v>
      </c>
      <c r="AT484" s="15">
        <f t="shared" si="62"/>
        <v>0.42604911889497965</v>
      </c>
      <c r="AU484" t="str">
        <f t="shared" si="63"/>
        <v>Clean</v>
      </c>
      <c r="AV484" s="8" t="str">
        <f t="shared" si="64"/>
        <v>Active</v>
      </c>
    </row>
    <row r="485" spans="1:48">
      <c r="A485" s="3" t="s">
        <v>3210</v>
      </c>
      <c r="B485" s="3" t="s">
        <v>344</v>
      </c>
      <c r="C485" s="9">
        <f>IFERROR(DATEVALUE(TEXT(B485,"DD/MM/YYYY")), IF(ISNUMBER(B485), B485, ""))</f>
        <v>45693</v>
      </c>
      <c r="D485" s="9" t="str">
        <f>IF(B485="","Missing", IF(AND(ISNUMBER(B485)=FALSE, C485=""),"Invalid - Could Not Parse", IF(AND(ISNUMBER(B485)=FALSE, C485&lt;&gt;""),"Text - Converted to Date", IF(ISNUMBER(B485),"Valid","Check"))))</f>
        <v>Text - Converted to Date</v>
      </c>
      <c r="E485" s="5">
        <f t="shared" si="57"/>
        <v>2</v>
      </c>
      <c r="F485" s="5">
        <f t="shared" si="58"/>
        <v>2025</v>
      </c>
      <c r="G485" s="3" t="s">
        <v>2883</v>
      </c>
      <c r="H485" s="9">
        <f>IFERROR(DATEVALUE(TEXT(G485,"DD/MM/YYYY")), IF(ISNUMBER(G485), G485, ""))</f>
        <v>45693</v>
      </c>
      <c r="I485" s="9" t="str">
        <f>IF(G485="","Missing", IF(AND(ISNUMBER(G485)=FALSE, H485=""),"Invalid - Could Not Parse", IF(AND(ISNUMBER(G485)=FALSE, H485&lt;&gt;""),"Text - Converted to Date", IF(ISNUMBER(G485),"Valid","Check"))))</f>
        <v>Text - Converted to Date</v>
      </c>
      <c r="J485" s="9" t="str">
        <f>IF(OR(C485="", H485=""), "Cannot Check - Date Missing", IF(H485&lt;C485, "Invalid - Ship Before Order", "Valid"))</f>
        <v>Valid</v>
      </c>
      <c r="K485" s="5">
        <f>IF(OR(C485="", H485=""), "", IF(H485&lt;C485, "", H485-C485))</f>
        <v>0</v>
      </c>
      <c r="L485" s="3" t="s">
        <v>3211</v>
      </c>
      <c r="M485" s="3" t="s">
        <v>3212</v>
      </c>
      <c r="N485" s="4" t="str">
        <f>TRIM(SUBSTITUTE(M485,"_"," "))</f>
        <v>ananya rao</v>
      </c>
      <c r="O485" s="3" t="s">
        <v>108</v>
      </c>
      <c r="P485" s="6" t="str">
        <f>PROPER(TRIM(SUBSTITUTE(O485,".","")))</f>
        <v>Corporate</v>
      </c>
      <c r="Q485" s="3" t="s">
        <v>27</v>
      </c>
      <c r="R485" s="7" t="str">
        <f>PROPER(TRIM(SUBSTITUTE(Q485,"  "," ")))</f>
        <v>North</v>
      </c>
      <c r="S485" s="3" t="s">
        <v>323</v>
      </c>
      <c r="T485" s="6" t="str">
        <f>PROPER(TRIM(SUBSTITUTE(S485,"  "," ")))</f>
        <v>Haryana</v>
      </c>
      <c r="U485" s="3" t="s">
        <v>324</v>
      </c>
      <c r="V485" s="6" t="str">
        <f>PROPER(TRIM(SUBSTITUTE(U485,"  "," ")))</f>
        <v>Gurugram</v>
      </c>
      <c r="W485" s="3" t="s">
        <v>30</v>
      </c>
      <c r="X485" s="6" t="str">
        <f>PROPER(TRIM(SUBSTITUTE(W485,"  "," ")))</f>
        <v>Office Supplies</v>
      </c>
      <c r="Y485" s="3" t="s">
        <v>156</v>
      </c>
      <c r="Z485" s="6" t="str">
        <f>PROPER(TRIM(SUBSTITUTE(Y485,"  "," ")))</f>
        <v>Storage</v>
      </c>
      <c r="AA485" s="3" t="s">
        <v>3213</v>
      </c>
      <c r="AB485" s="3" t="s">
        <v>48</v>
      </c>
      <c r="AC485" s="6" t="str">
        <f>PROPER(TRIM(SUBSTITUTE(AB485,"  "," ")))</f>
        <v>Same Day</v>
      </c>
      <c r="AD485" s="3">
        <v>3</v>
      </c>
      <c r="AE485" s="3">
        <v>2590.7800000000002</v>
      </c>
      <c r="AF485" s="3"/>
      <c r="AG485" s="18">
        <f>IF(ISBLANK(AF485), 0, AF485)</f>
        <v>0</v>
      </c>
      <c r="AH485" s="6" t="str">
        <f t="shared" si="59"/>
        <v>Missing</v>
      </c>
      <c r="AI485" s="3">
        <v>7383.72</v>
      </c>
      <c r="AJ485" s="3">
        <v>4113.66</v>
      </c>
      <c r="AK485" s="3">
        <v>3270.06</v>
      </c>
      <c r="AL485" s="3" t="s">
        <v>34</v>
      </c>
      <c r="AM485" s="6" t="str">
        <f>PROPER(TRIM(SUBSTITUTE(AL485,".","")))</f>
        <v>Paid</v>
      </c>
      <c r="AN485" s="3" t="s">
        <v>35</v>
      </c>
      <c r="AO485" s="8" t="str">
        <f>PROPER(TRIM(SUBSTITUTE(AN485,".","")))</f>
        <v>Completed</v>
      </c>
      <c r="AP485" t="str">
        <f>IF(COUNTIF($A$2:$A$933, A485) &gt; 1, "Duplicate ID", "Unique")</f>
        <v>Unique</v>
      </c>
      <c r="AR485">
        <f t="shared" si="60"/>
        <v>7772.34</v>
      </c>
      <c r="AS485">
        <f t="shared" si="61"/>
        <v>3658.6800000000003</v>
      </c>
      <c r="AT485" s="15">
        <f t="shared" si="62"/>
        <v>0.47073082237781677</v>
      </c>
      <c r="AU485" t="str">
        <f t="shared" si="63"/>
        <v>Warning</v>
      </c>
      <c r="AV485" s="8" t="str">
        <f t="shared" si="64"/>
        <v>Active</v>
      </c>
    </row>
    <row r="486" spans="1:48">
      <c r="A486" s="3" t="s">
        <v>3483</v>
      </c>
      <c r="B486" s="3" t="s">
        <v>3484</v>
      </c>
      <c r="C486" s="9">
        <f>IFERROR(DATEVALUE(TEXT(B486,"DD/MM/YYYY")), IF(ISNUMBER(B486), B486, ""))</f>
        <v>45694</v>
      </c>
      <c r="D486" s="9" t="str">
        <f>IF(B486="","Missing", IF(AND(ISNUMBER(B486)=FALSE, C486=""),"Invalid - Could Not Parse", IF(AND(ISNUMBER(B486)=FALSE, C486&lt;&gt;""),"Text - Converted to Date", IF(ISNUMBER(B486),"Valid","Check"))))</f>
        <v>Text - Converted to Date</v>
      </c>
      <c r="E486" s="5">
        <f t="shared" si="57"/>
        <v>2</v>
      </c>
      <c r="F486" s="5">
        <f t="shared" si="58"/>
        <v>2025</v>
      </c>
      <c r="G486" s="3" t="s">
        <v>375</v>
      </c>
      <c r="H486" s="9">
        <f>IFERROR(DATEVALUE(TEXT(G486,"DD/MM/YYYY")), IF(ISNUMBER(G486), G486, ""))</f>
        <v>45810</v>
      </c>
      <c r="I486" s="9" t="str">
        <f>IF(G486="","Missing", IF(AND(ISNUMBER(G486)=FALSE, H486=""),"Invalid - Could Not Parse", IF(AND(ISNUMBER(G486)=FALSE, H486&lt;&gt;""),"Text - Converted to Date", IF(ISNUMBER(G486),"Valid","Check"))))</f>
        <v>Text - Converted to Date</v>
      </c>
      <c r="J486" s="9" t="str">
        <f>IF(OR(C486="", H486=""), "Cannot Check - Date Missing", IF(H486&lt;C486, "Invalid - Ship Before Order", "Valid"))</f>
        <v>Valid</v>
      </c>
      <c r="K486" s="5">
        <f>IF(OR(C486="", H486=""), "", IF(H486&lt;C486, "", H486-C486))</f>
        <v>116</v>
      </c>
      <c r="L486" s="3" t="s">
        <v>3485</v>
      </c>
      <c r="M486" s="3" t="s">
        <v>162</v>
      </c>
      <c r="N486" s="4" t="str">
        <f>TRIM(SUBSTITUTE(M486,"_"," "))</f>
        <v>Aarav Sharma</v>
      </c>
      <c r="O486" s="3" t="s">
        <v>115</v>
      </c>
      <c r="P486" s="6" t="str">
        <f>PROPER(TRIM(SUBSTITUTE(O486,".","")))</f>
        <v>Home Office</v>
      </c>
      <c r="Q486" s="3" t="s">
        <v>62</v>
      </c>
      <c r="R486" s="7" t="str">
        <f>PROPER(TRIM(SUBSTITUTE(Q486,"  "," ")))</f>
        <v>South</v>
      </c>
      <c r="S486" s="3" t="s">
        <v>63</v>
      </c>
      <c r="T486" s="6" t="str">
        <f>PROPER(TRIM(SUBSTITUTE(S486,"  "," ")))</f>
        <v>Telangana</v>
      </c>
      <c r="U486" s="3" t="s">
        <v>64</v>
      </c>
      <c r="V486" s="6" t="str">
        <f>PROPER(TRIM(SUBSTITUTE(U486,"  "," ")))</f>
        <v>Hyderabad</v>
      </c>
      <c r="W486" s="3" t="s">
        <v>86</v>
      </c>
      <c r="X486" s="6" t="str">
        <f>PROPER(TRIM(SUBSTITUTE(W486,"  "," ")))</f>
        <v>Technology</v>
      </c>
      <c r="Y486" s="3" t="s">
        <v>87</v>
      </c>
      <c r="Z486" s="6" t="str">
        <f>PROPER(TRIM(SUBSTITUTE(Y486,"  "," ")))</f>
        <v>Accessories</v>
      </c>
      <c r="AA486" s="3" t="s">
        <v>3486</v>
      </c>
      <c r="AB486" s="3" t="s">
        <v>56</v>
      </c>
      <c r="AC486" s="6" t="str">
        <f>PROPER(TRIM(SUBSTITUTE(AB486,"  "," ")))</f>
        <v>First Class</v>
      </c>
      <c r="AD486" s="3">
        <v>8</v>
      </c>
      <c r="AE486" s="3">
        <v>3925.93</v>
      </c>
      <c r="AF486" s="3">
        <v>0.15</v>
      </c>
      <c r="AG486" s="17">
        <v>0.15</v>
      </c>
      <c r="AH486" s="6" t="str">
        <f t="shared" si="59"/>
        <v>Valid</v>
      </c>
      <c r="AI486" s="3">
        <v>26696.32</v>
      </c>
      <c r="AJ486" s="3">
        <v>22724.52</v>
      </c>
      <c r="AK486" s="3">
        <v>3971.8</v>
      </c>
      <c r="AL486" s="3" t="s">
        <v>34</v>
      </c>
      <c r="AM486" s="6" t="str">
        <f>PROPER(TRIM(SUBSTITUTE(AL486,".","")))</f>
        <v>Paid</v>
      </c>
      <c r="AN486" s="3" t="s">
        <v>35</v>
      </c>
      <c r="AO486" s="8" t="str">
        <f>PROPER(TRIM(SUBSTITUTE(AN486,".","")))</f>
        <v>Completed</v>
      </c>
      <c r="AP486" t="str">
        <f>IF(COUNTIF($A$2:$A$933, A486) &gt; 1, "Duplicate ID", "Unique")</f>
        <v>Unique</v>
      </c>
      <c r="AR486">
        <f t="shared" si="60"/>
        <v>26696.323999999997</v>
      </c>
      <c r="AS486">
        <f t="shared" si="61"/>
        <v>3971.8039999999964</v>
      </c>
      <c r="AT486" s="15">
        <f t="shared" si="62"/>
        <v>0.14877718745097629</v>
      </c>
      <c r="AU486" t="str">
        <f t="shared" si="63"/>
        <v>Clean</v>
      </c>
      <c r="AV486" s="8" t="str">
        <f t="shared" si="64"/>
        <v>Active</v>
      </c>
    </row>
    <row r="487" spans="1:48">
      <c r="A487" s="3" t="s">
        <v>3765</v>
      </c>
      <c r="B487" s="3" t="s">
        <v>3766</v>
      </c>
      <c r="C487" s="9">
        <f>IFERROR(DATEVALUE(TEXT(B487,"DD/MM/YYYY")), IF(ISNUMBER(B487), B487, ""))</f>
        <v>45694</v>
      </c>
      <c r="D487" s="9" t="str">
        <f>IF(B487="","Missing", IF(AND(ISNUMBER(B487)=FALSE, C487=""),"Invalid - Could Not Parse", IF(AND(ISNUMBER(B487)=FALSE, C487&lt;&gt;""),"Text - Converted to Date", IF(ISNUMBER(B487),"Valid","Check"))))</f>
        <v>Text - Converted to Date</v>
      </c>
      <c r="E487" s="5">
        <f t="shared" si="57"/>
        <v>2</v>
      </c>
      <c r="F487" s="5">
        <f t="shared" si="58"/>
        <v>2025</v>
      </c>
      <c r="G487" s="3" t="s">
        <v>3767</v>
      </c>
      <c r="H487" s="9">
        <f>IFERROR(DATEVALUE(TEXT(G487,"DD/MM/YYYY")), IF(ISNUMBER(G487), G487, ""))</f>
        <v>45698</v>
      </c>
      <c r="I487" s="9" t="str">
        <f>IF(G487="","Missing", IF(AND(ISNUMBER(G487)=FALSE, H487=""),"Invalid - Could Not Parse", IF(AND(ISNUMBER(G487)=FALSE, H487&lt;&gt;""),"Text - Converted to Date", IF(ISNUMBER(G487),"Valid","Check"))))</f>
        <v>Text - Converted to Date</v>
      </c>
      <c r="J487" s="9" t="str">
        <f>IF(OR(C487="", H487=""), "Cannot Check - Date Missing", IF(H487&lt;C487, "Invalid - Ship Before Order", "Valid"))</f>
        <v>Valid</v>
      </c>
      <c r="K487" s="5">
        <f>IF(OR(C487="", H487=""), "", IF(H487&lt;C487, "", H487-C487))</f>
        <v>4</v>
      </c>
      <c r="L487" s="3" t="s">
        <v>3768</v>
      </c>
      <c r="M487" s="3" t="s">
        <v>72</v>
      </c>
      <c r="N487" s="4" t="str">
        <f>TRIM(SUBSTITUTE(M487,"_"," "))</f>
        <v>Ananya Rao</v>
      </c>
      <c r="O487" s="3" t="s">
        <v>115</v>
      </c>
      <c r="P487" s="6" t="str">
        <f>PROPER(TRIM(SUBSTITUTE(O487,".","")))</f>
        <v>Home Office</v>
      </c>
      <c r="Q487" s="3" t="s">
        <v>27</v>
      </c>
      <c r="R487" s="7" t="str">
        <f>PROPER(TRIM(SUBSTITUTE(Q487,"  "," ")))</f>
        <v>North</v>
      </c>
      <c r="S487" s="3" t="s">
        <v>174</v>
      </c>
      <c r="T487" s="6" t="str">
        <f>PROPER(TRIM(SUBSTITUTE(S487,"  "," ")))</f>
        <v>Uttar Pradesh</v>
      </c>
      <c r="U487" s="3" t="s">
        <v>175</v>
      </c>
      <c r="V487" s="6" t="str">
        <f>PROPER(TRIM(SUBSTITUTE(U487,"  "," ")))</f>
        <v>Noida</v>
      </c>
      <c r="W487" s="3" t="s">
        <v>45</v>
      </c>
      <c r="X487" s="6" t="str">
        <f>PROPER(TRIM(SUBSTITUTE(W487,"  "," ")))</f>
        <v>Furniture</v>
      </c>
      <c r="Y487" s="3" t="s">
        <v>204</v>
      </c>
      <c r="Z487" s="6" t="str">
        <f>PROPER(TRIM(SUBSTITUTE(Y487,"  "," ")))</f>
        <v>Bookcases</v>
      </c>
      <c r="AA487" s="3" t="s">
        <v>3769</v>
      </c>
      <c r="AB487" s="3" t="s">
        <v>67</v>
      </c>
      <c r="AC487" s="6" t="str">
        <f>PROPER(TRIM(SUBSTITUTE(AB487,"  "," ")))</f>
        <v>Standard Class</v>
      </c>
      <c r="AD487" s="3">
        <v>2</v>
      </c>
      <c r="AE487" s="3">
        <v>319.57</v>
      </c>
      <c r="AF487" s="3">
        <v>0.2</v>
      </c>
      <c r="AG487" s="17">
        <v>0.2</v>
      </c>
      <c r="AH487" s="6" t="str">
        <f t="shared" si="59"/>
        <v>Valid</v>
      </c>
      <c r="AI487" s="3">
        <v>511.31</v>
      </c>
      <c r="AJ487" s="3">
        <v>436.43</v>
      </c>
      <c r="AK487" s="3">
        <v>74.88</v>
      </c>
      <c r="AL487" s="3" t="s">
        <v>34</v>
      </c>
      <c r="AM487" s="6" t="str">
        <f>PROPER(TRIM(SUBSTITUTE(AL487,".","")))</f>
        <v>Paid</v>
      </c>
      <c r="AN487" s="3" t="s">
        <v>35</v>
      </c>
      <c r="AO487" s="8" t="str">
        <f>PROPER(TRIM(SUBSTITUTE(AN487,".","")))</f>
        <v>Completed</v>
      </c>
      <c r="AP487" t="str">
        <f>IF(COUNTIF($A$2:$A$933, A487) &gt; 1, "Duplicate ID", "Unique")</f>
        <v>Unique</v>
      </c>
      <c r="AR487">
        <f t="shared" si="60"/>
        <v>511.31200000000001</v>
      </c>
      <c r="AS487">
        <f t="shared" si="61"/>
        <v>74.882000000000005</v>
      </c>
      <c r="AT487" s="15">
        <f t="shared" si="62"/>
        <v>0.14645069937728825</v>
      </c>
      <c r="AU487" t="str">
        <f t="shared" si="63"/>
        <v>Clean</v>
      </c>
      <c r="AV487" s="8" t="str">
        <f t="shared" si="64"/>
        <v>Active</v>
      </c>
    </row>
    <row r="488" spans="1:48">
      <c r="A488" s="3" t="s">
        <v>3853</v>
      </c>
      <c r="B488" s="3" t="s">
        <v>3854</v>
      </c>
      <c r="C488" s="9">
        <f>IFERROR(DATEVALUE(TEXT(B488,"DD/MM/YYYY")), IF(ISNUMBER(B488), B488, ""))</f>
        <v>45694</v>
      </c>
      <c r="D488" s="9" t="str">
        <f>IF(B488="","Missing", IF(AND(ISNUMBER(B488)=FALSE, C488=""),"Invalid - Could Not Parse", IF(AND(ISNUMBER(B488)=FALSE, C488&lt;&gt;""),"Text - Converted to Date", IF(ISNUMBER(B488),"Valid","Check"))))</f>
        <v>Text - Converted to Date</v>
      </c>
      <c r="E488" s="5">
        <f t="shared" si="57"/>
        <v>2</v>
      </c>
      <c r="F488" s="5">
        <f t="shared" si="58"/>
        <v>2025</v>
      </c>
      <c r="G488" s="3" t="s">
        <v>3855</v>
      </c>
      <c r="H488" s="9">
        <f>IFERROR(DATEVALUE(TEXT(G488,"DD/MM/YYYY")), IF(ISNUMBER(G488), G488, ""))</f>
        <v>45700</v>
      </c>
      <c r="I488" s="9" t="str">
        <f>IF(G488="","Missing", IF(AND(ISNUMBER(G488)=FALSE, H488=""),"Invalid - Could Not Parse", IF(AND(ISNUMBER(G488)=FALSE, H488&lt;&gt;""),"Text - Converted to Date", IF(ISNUMBER(G488),"Valid","Check"))))</f>
        <v>Text - Converted to Date</v>
      </c>
      <c r="J488" s="9" t="str">
        <f>IF(OR(C488="", H488=""), "Cannot Check - Date Missing", IF(H488&lt;C488, "Invalid - Ship Before Order", "Valid"))</f>
        <v>Valid</v>
      </c>
      <c r="K488" s="5">
        <f>IF(OR(C488="", H488=""), "", IF(H488&lt;C488, "", H488-C488))</f>
        <v>6</v>
      </c>
      <c r="L488" s="3" t="s">
        <v>3856</v>
      </c>
      <c r="M488" s="3" t="s">
        <v>72</v>
      </c>
      <c r="N488" s="4" t="str">
        <f>TRIM(SUBSTITUTE(M488,"_"," "))</f>
        <v>Ananya Rao</v>
      </c>
      <c r="O488" s="3" t="s">
        <v>41</v>
      </c>
      <c r="P488" s="6" t="str">
        <f>PROPER(TRIM(SUBSTITUTE(O488,".","")))</f>
        <v>Small Business</v>
      </c>
      <c r="Q488" s="3" t="s">
        <v>42</v>
      </c>
      <c r="R488" s="7" t="str">
        <f>PROPER(TRIM(SUBSTITUTE(Q488,"  "," ")))</f>
        <v>East</v>
      </c>
      <c r="S488" s="3" t="s">
        <v>186</v>
      </c>
      <c r="T488" s="6" t="str">
        <f>PROPER(TRIM(SUBSTITUTE(S488,"  "," ")))</f>
        <v>Bihar</v>
      </c>
      <c r="U488" s="3" t="s">
        <v>187</v>
      </c>
      <c r="V488" s="6" t="str">
        <f>PROPER(TRIM(SUBSTITUTE(U488,"  "," ")))</f>
        <v>Patna</v>
      </c>
      <c r="W488" s="3" t="s">
        <v>30</v>
      </c>
      <c r="X488" s="6" t="str">
        <f>PROPER(TRIM(SUBSTITUTE(W488,"  "," ")))</f>
        <v>Office Supplies</v>
      </c>
      <c r="Y488" s="3" t="s">
        <v>54</v>
      </c>
      <c r="Z488" s="6" t="str">
        <f>PROPER(TRIM(SUBSTITUTE(Y488,"  "," ")))</f>
        <v>Art</v>
      </c>
      <c r="AA488" s="3" t="s">
        <v>3857</v>
      </c>
      <c r="AB488" s="3" t="s">
        <v>67</v>
      </c>
      <c r="AC488" s="6" t="str">
        <f>PROPER(TRIM(SUBSTITUTE(AB488,"  "," ")))</f>
        <v>Standard Class</v>
      </c>
      <c r="AD488" s="3">
        <v>9</v>
      </c>
      <c r="AE488" s="3">
        <v>3237.16</v>
      </c>
      <c r="AF488" s="3">
        <v>0.25</v>
      </c>
      <c r="AG488" s="17">
        <v>0.25</v>
      </c>
      <c r="AH488" s="6" t="str">
        <f t="shared" si="59"/>
        <v>Valid</v>
      </c>
      <c r="AI488" s="3">
        <v>21850.83</v>
      </c>
      <c r="AJ488" s="3">
        <v>16600.13</v>
      </c>
      <c r="AK488" s="3">
        <v>5250.7</v>
      </c>
      <c r="AL488" s="3" t="s">
        <v>34</v>
      </c>
      <c r="AM488" s="6" t="str">
        <f>PROPER(TRIM(SUBSTITUTE(AL488,".","")))</f>
        <v>Paid</v>
      </c>
      <c r="AN488" s="3" t="s">
        <v>35</v>
      </c>
      <c r="AO488" s="8" t="str">
        <f>PROPER(TRIM(SUBSTITUTE(AN488,".","")))</f>
        <v>Completed</v>
      </c>
      <c r="AP488" t="str">
        <f>IF(COUNTIF($A$2:$A$933, A488) &gt; 1, "Duplicate ID", "Unique")</f>
        <v>Unique</v>
      </c>
      <c r="AR488">
        <f t="shared" si="60"/>
        <v>21850.829999999998</v>
      </c>
      <c r="AS488">
        <f t="shared" si="61"/>
        <v>5250.6999999999971</v>
      </c>
      <c r="AT488" s="15">
        <f t="shared" si="62"/>
        <v>0.2402975081495759</v>
      </c>
      <c r="AU488" t="str">
        <f t="shared" si="63"/>
        <v>Clean</v>
      </c>
      <c r="AV488" s="8" t="str">
        <f t="shared" si="64"/>
        <v>Active</v>
      </c>
    </row>
    <row r="489" spans="1:48">
      <c r="A489" s="3" t="s">
        <v>3952</v>
      </c>
      <c r="B489" s="3" t="s">
        <v>3766</v>
      </c>
      <c r="C489" s="9">
        <f>IFERROR(DATEVALUE(TEXT(B489,"DD/MM/YYYY")), IF(ISNUMBER(B489), B489, ""))</f>
        <v>45694</v>
      </c>
      <c r="D489" s="9" t="str">
        <f>IF(B489="","Missing", IF(AND(ISNUMBER(B489)=FALSE, C489=""),"Invalid - Could Not Parse", IF(AND(ISNUMBER(B489)=FALSE, C489&lt;&gt;""),"Text - Converted to Date", IF(ISNUMBER(B489),"Valid","Check"))))</f>
        <v>Text - Converted to Date</v>
      </c>
      <c r="E489" s="5">
        <f t="shared" si="57"/>
        <v>2</v>
      </c>
      <c r="F489" s="5">
        <f t="shared" si="58"/>
        <v>2025</v>
      </c>
      <c r="G489" s="3" t="s">
        <v>1920</v>
      </c>
      <c r="H489" s="9">
        <f>IFERROR(DATEVALUE(TEXT(G489,"DD/MM/YYYY")), IF(ISNUMBER(G489), G489, ""))</f>
        <v>45702</v>
      </c>
      <c r="I489" s="9" t="str">
        <f>IF(G489="","Missing", IF(AND(ISNUMBER(G489)=FALSE, H489=""),"Invalid - Could Not Parse", IF(AND(ISNUMBER(G489)=FALSE, H489&lt;&gt;""),"Text - Converted to Date", IF(ISNUMBER(G489),"Valid","Check"))))</f>
        <v>Text - Converted to Date</v>
      </c>
      <c r="J489" s="9" t="str">
        <f>IF(OR(C489="", H489=""), "Cannot Check - Date Missing", IF(H489&lt;C489, "Invalid - Ship Before Order", "Valid"))</f>
        <v>Valid</v>
      </c>
      <c r="K489" s="5">
        <f>IF(OR(C489="", H489=""), "", IF(H489&lt;C489, "", H489-C489))</f>
        <v>8</v>
      </c>
      <c r="L489" s="3" t="s">
        <v>3953</v>
      </c>
      <c r="M489" s="3" t="s">
        <v>366</v>
      </c>
      <c r="N489" s="4" t="str">
        <f>TRIM(SUBSTITUTE(M489,"_"," "))</f>
        <v>Kabir Singh</v>
      </c>
      <c r="O489" s="3" t="s">
        <v>26</v>
      </c>
      <c r="P489" s="6" t="str">
        <f>PROPER(TRIM(SUBSTITUTE(O489,".","")))</f>
        <v>Consumer</v>
      </c>
      <c r="Q489" s="3" t="s">
        <v>73</v>
      </c>
      <c r="R489" s="7" t="str">
        <f>PROPER(TRIM(SUBSTITUTE(Q489,"  "," ")))</f>
        <v>West</v>
      </c>
      <c r="S489" s="3" t="s">
        <v>74</v>
      </c>
      <c r="T489" s="6" t="str">
        <f>PROPER(TRIM(SUBSTITUTE(S489,"  "," ")))</f>
        <v>Maharashtra</v>
      </c>
      <c r="U489" s="3" t="s">
        <v>75</v>
      </c>
      <c r="V489" s="6" t="str">
        <f>PROPER(TRIM(SUBSTITUTE(U489,"  "," ")))</f>
        <v>Mumbai</v>
      </c>
      <c r="W489" s="3" t="s">
        <v>30</v>
      </c>
      <c r="X489" s="6" t="str">
        <f>PROPER(TRIM(SUBSTITUTE(W489,"  "," ")))</f>
        <v>Office Supplies</v>
      </c>
      <c r="Y489" s="3" t="s">
        <v>109</v>
      </c>
      <c r="Z489" s="6" t="str">
        <f>PROPER(TRIM(SUBSTITUTE(Y489,"  "," ")))</f>
        <v>Labels</v>
      </c>
      <c r="AA489" s="3" t="s">
        <v>3954</v>
      </c>
      <c r="AB489" s="3" t="s">
        <v>33</v>
      </c>
      <c r="AC489" s="6" t="str">
        <f>PROPER(TRIM(SUBSTITUTE(AB489,"  "," ")))</f>
        <v>Second Class</v>
      </c>
      <c r="AD489" s="3">
        <v>2</v>
      </c>
      <c r="AE489" s="3">
        <v>3992.04</v>
      </c>
      <c r="AF489" s="3">
        <v>0</v>
      </c>
      <c r="AG489" s="17">
        <v>0</v>
      </c>
      <c r="AH489" s="6" t="str">
        <f t="shared" si="59"/>
        <v>Valid</v>
      </c>
      <c r="AI489" s="3">
        <v>7984.08</v>
      </c>
      <c r="AJ489" s="3">
        <v>5658.05</v>
      </c>
      <c r="AK489" s="3">
        <v>2326.0300000000002</v>
      </c>
      <c r="AL489" s="3" t="s">
        <v>34</v>
      </c>
      <c r="AM489" s="6" t="str">
        <f>PROPER(TRIM(SUBSTITUTE(AL489,".","")))</f>
        <v>Paid</v>
      </c>
      <c r="AN489" s="3" t="s">
        <v>35</v>
      </c>
      <c r="AO489" s="8" t="str">
        <f>PROPER(TRIM(SUBSTITUTE(AN489,".","")))</f>
        <v>Completed</v>
      </c>
      <c r="AP489" t="str">
        <f>IF(COUNTIF($A$2:$A$933, A489) &gt; 1, "Duplicate ID", "Unique")</f>
        <v>Unique</v>
      </c>
      <c r="AR489">
        <f t="shared" si="60"/>
        <v>7984.08</v>
      </c>
      <c r="AS489">
        <f t="shared" si="61"/>
        <v>2326.0299999999997</v>
      </c>
      <c r="AT489" s="15">
        <f t="shared" si="62"/>
        <v>0.29133350367230787</v>
      </c>
      <c r="AU489" t="str">
        <f t="shared" si="63"/>
        <v>Clean</v>
      </c>
      <c r="AV489" s="8" t="str">
        <f t="shared" si="64"/>
        <v>Active</v>
      </c>
    </row>
    <row r="490" spans="1:48">
      <c r="A490" s="3" t="s">
        <v>1275</v>
      </c>
      <c r="B490" s="3" t="s">
        <v>1276</v>
      </c>
      <c r="C490" s="9">
        <f>IFERROR(DATEVALUE(TEXT(B490,"DD/MM/YYYY")), IF(ISNUMBER(B490), B490, ""))</f>
        <v>45695</v>
      </c>
      <c r="D490" s="9" t="str">
        <f>IF(B490="","Missing", IF(AND(ISNUMBER(B490)=FALSE, C490=""),"Invalid - Could Not Parse", IF(AND(ISNUMBER(B490)=FALSE, C490&lt;&gt;""),"Text - Converted to Date", IF(ISNUMBER(B490),"Valid","Check"))))</f>
        <v>Text - Converted to Date</v>
      </c>
      <c r="E490" s="5">
        <f t="shared" si="57"/>
        <v>2</v>
      </c>
      <c r="F490" s="5">
        <f t="shared" si="58"/>
        <v>2025</v>
      </c>
      <c r="G490" s="3" t="s">
        <v>1277</v>
      </c>
      <c r="H490" s="9">
        <f>IFERROR(DATEVALUE(TEXT(G490,"DD/MM/YYYY")), IF(ISNUMBER(G490), G490, ""))</f>
        <v>45695</v>
      </c>
      <c r="I490" s="9" t="str">
        <f>IF(G490="","Missing", IF(AND(ISNUMBER(G490)=FALSE, H490=""),"Invalid - Could Not Parse", IF(AND(ISNUMBER(G490)=FALSE, H490&lt;&gt;""),"Text - Converted to Date", IF(ISNUMBER(G490),"Valid","Check"))))</f>
        <v>Text - Converted to Date</v>
      </c>
      <c r="J490" s="9" t="str">
        <f>IF(OR(C490="", H490=""), "Cannot Check - Date Missing", IF(H490&lt;C490, "Invalid - Ship Before Order", "Valid"))</f>
        <v>Valid</v>
      </c>
      <c r="K490" s="5">
        <f>IF(OR(C490="", H490=""), "", IF(H490&lt;C490, "", H490-C490))</f>
        <v>0</v>
      </c>
      <c r="L490" s="3" t="s">
        <v>1278</v>
      </c>
      <c r="M490" s="3" t="s">
        <v>61</v>
      </c>
      <c r="N490" s="4" t="str">
        <f>TRIM(SUBSTITUTE(M490,"_"," "))</f>
        <v>Arjun Bose</v>
      </c>
      <c r="O490" s="3" t="s">
        <v>26</v>
      </c>
      <c r="P490" s="6" t="str">
        <f>PROPER(TRIM(SUBSTITUTE(O490,".","")))</f>
        <v>Consumer</v>
      </c>
      <c r="Q490" s="3" t="s">
        <v>27</v>
      </c>
      <c r="R490" s="7" t="str">
        <f>PROPER(TRIM(SUBSTITUTE(Q490,"  "," ")))</f>
        <v>North</v>
      </c>
      <c r="S490" s="3" t="s">
        <v>174</v>
      </c>
      <c r="T490" s="6" t="str">
        <f>PROPER(TRIM(SUBSTITUTE(S490,"  "," ")))</f>
        <v>Uttar Pradesh</v>
      </c>
      <c r="U490" s="3" t="s">
        <v>175</v>
      </c>
      <c r="V490" s="6" t="str">
        <f>PROPER(TRIM(SUBSTITUTE(U490,"  "," ")))</f>
        <v>Noida</v>
      </c>
      <c r="W490" s="3" t="s">
        <v>30</v>
      </c>
      <c r="X490" s="6" t="str">
        <f>PROPER(TRIM(SUBSTITUTE(W490,"  "," ")))</f>
        <v>Office Supplies</v>
      </c>
      <c r="Y490" s="3" t="s">
        <v>54</v>
      </c>
      <c r="Z490" s="6" t="str">
        <f>PROPER(TRIM(SUBSTITUTE(Y490,"  "," ")))</f>
        <v>Art</v>
      </c>
      <c r="AA490" s="3" t="s">
        <v>1279</v>
      </c>
      <c r="AB490" s="3" t="s">
        <v>33</v>
      </c>
      <c r="AC490" s="6" t="str">
        <f>PROPER(TRIM(SUBSTITUTE(AB490,"  "," ")))</f>
        <v>Second Class</v>
      </c>
      <c r="AD490" s="3">
        <v>3</v>
      </c>
      <c r="AE490" s="3">
        <v>1999.24</v>
      </c>
      <c r="AF490" s="3">
        <v>0.05</v>
      </c>
      <c r="AG490" s="17">
        <v>0.05</v>
      </c>
      <c r="AH490" s="6" t="str">
        <f t="shared" si="59"/>
        <v>Valid</v>
      </c>
      <c r="AI490" s="3">
        <v>5697.83</v>
      </c>
      <c r="AJ490" s="3">
        <v>4251.5</v>
      </c>
      <c r="AK490" s="3">
        <v>1446.33</v>
      </c>
      <c r="AL490" s="3" t="s">
        <v>34</v>
      </c>
      <c r="AM490" s="6" t="str">
        <f>PROPER(TRIM(SUBSTITUTE(AL490,".","")))</f>
        <v>Paid</v>
      </c>
      <c r="AN490" s="3" t="s">
        <v>35</v>
      </c>
      <c r="AO490" s="8" t="str">
        <f>PROPER(TRIM(SUBSTITUTE(AN490,".","")))</f>
        <v>Completed</v>
      </c>
      <c r="AP490" t="str">
        <f>IF(COUNTIF($A$2:$A$933, A490) &gt; 1, "Duplicate ID", "Unique")</f>
        <v>Unique</v>
      </c>
      <c r="AR490">
        <f t="shared" si="60"/>
        <v>5697.8339999999998</v>
      </c>
      <c r="AS490">
        <f t="shared" si="61"/>
        <v>1446.3339999999998</v>
      </c>
      <c r="AT490" s="15">
        <f t="shared" si="62"/>
        <v>0.25383926593860051</v>
      </c>
      <c r="AU490" t="str">
        <f t="shared" si="63"/>
        <v>Clean</v>
      </c>
      <c r="AV490" s="8" t="str">
        <f t="shared" si="64"/>
        <v>Active</v>
      </c>
    </row>
    <row r="491" spans="1:48">
      <c r="A491" s="3" t="s">
        <v>2269</v>
      </c>
      <c r="B491" s="3" t="s">
        <v>441</v>
      </c>
      <c r="C491" s="9">
        <f>IFERROR(DATEVALUE(TEXT(B491,"DD/MM/YYYY")), IF(ISNUMBER(B491), B491, ""))</f>
        <v>45695</v>
      </c>
      <c r="D491" s="9" t="str">
        <f>IF(B491="","Missing", IF(AND(ISNUMBER(B491)=FALSE, C491=""),"Invalid - Could Not Parse", IF(AND(ISNUMBER(B491)=FALSE, C491&lt;&gt;""),"Text - Converted to Date", IF(ISNUMBER(B491),"Valid","Check"))))</f>
        <v>Text - Converted to Date</v>
      </c>
      <c r="E491" s="5">
        <f t="shared" si="57"/>
        <v>2</v>
      </c>
      <c r="F491" s="5">
        <f t="shared" si="58"/>
        <v>2025</v>
      </c>
      <c r="G491" s="3" t="s">
        <v>2270</v>
      </c>
      <c r="H491" s="9">
        <f>IFERROR(DATEVALUE(TEXT(G491,"DD/MM/YYYY")), IF(ISNUMBER(G491), G491, ""))</f>
        <v>45696</v>
      </c>
      <c r="I491" s="9" t="str">
        <f>IF(G491="","Missing", IF(AND(ISNUMBER(G491)=FALSE, H491=""),"Invalid - Could Not Parse", IF(AND(ISNUMBER(G491)=FALSE, H491&lt;&gt;""),"Text - Converted to Date", IF(ISNUMBER(G491),"Valid","Check"))))</f>
        <v>Text - Converted to Date</v>
      </c>
      <c r="J491" s="9" t="str">
        <f>IF(OR(C491="", H491=""), "Cannot Check - Date Missing", IF(H491&lt;C491, "Invalid - Ship Before Order", "Valid"))</f>
        <v>Valid</v>
      </c>
      <c r="K491" s="5">
        <f>IF(OR(C491="", H491=""), "", IF(H491&lt;C491, "", H491-C491))</f>
        <v>1</v>
      </c>
      <c r="L491" s="3" t="s">
        <v>2271</v>
      </c>
      <c r="M491" s="3" t="s">
        <v>61</v>
      </c>
      <c r="N491" s="4" t="str">
        <f>TRIM(SUBSTITUTE(M491,"_"," "))</f>
        <v>Arjun Bose</v>
      </c>
      <c r="O491" s="3" t="s">
        <v>108</v>
      </c>
      <c r="P491" s="6" t="str">
        <f>PROPER(TRIM(SUBSTITUTE(O491,".","")))</f>
        <v>Corporate</v>
      </c>
      <c r="Q491" s="3" t="s">
        <v>73</v>
      </c>
      <c r="R491" s="7" t="str">
        <f>PROPER(TRIM(SUBSTITUTE(Q491,"  "," ")))</f>
        <v>West</v>
      </c>
      <c r="S491" s="3" t="s">
        <v>84</v>
      </c>
      <c r="T491" s="6" t="str">
        <f>PROPER(TRIM(SUBSTITUTE(S491,"  "," ")))</f>
        <v>Madhya Pradesh</v>
      </c>
      <c r="U491" s="3" t="s">
        <v>85</v>
      </c>
      <c r="V491" s="6" t="str">
        <f>PROPER(TRIM(SUBSTITUTE(U491,"  "," ")))</f>
        <v>Indore</v>
      </c>
      <c r="W491" s="3" t="s">
        <v>86</v>
      </c>
      <c r="X491" s="6" t="str">
        <f>PROPER(TRIM(SUBSTITUTE(W491,"  "," ")))</f>
        <v>Technology</v>
      </c>
      <c r="Y491" s="3" t="s">
        <v>223</v>
      </c>
      <c r="Z491" s="6" t="str">
        <f>PROPER(TRIM(SUBSTITUTE(Y491,"  "," ")))</f>
        <v>Phones</v>
      </c>
      <c r="AA491" s="3" t="s">
        <v>2272</v>
      </c>
      <c r="AB491" s="3" t="s">
        <v>67</v>
      </c>
      <c r="AC491" s="6" t="str">
        <f>PROPER(TRIM(SUBSTITUTE(AB491,"  "," ")))</f>
        <v>Standard Class</v>
      </c>
      <c r="AD491" s="3">
        <v>4</v>
      </c>
      <c r="AE491" s="3">
        <v>889.5</v>
      </c>
      <c r="AF491" s="3">
        <v>0.2</v>
      </c>
      <c r="AG491" s="17">
        <v>0.2</v>
      </c>
      <c r="AH491" s="6" t="str">
        <f t="shared" si="59"/>
        <v>Valid</v>
      </c>
      <c r="AI491" s="3">
        <v>2846.4</v>
      </c>
      <c r="AJ491" s="3">
        <v>2132.37</v>
      </c>
      <c r="AK491" s="3">
        <v>714.03</v>
      </c>
      <c r="AL491" s="3" t="s">
        <v>34</v>
      </c>
      <c r="AM491" s="6" t="str">
        <f>PROPER(TRIM(SUBSTITUTE(AL491,".","")))</f>
        <v>Paid</v>
      </c>
      <c r="AN491" s="3" t="s">
        <v>35</v>
      </c>
      <c r="AO491" s="8" t="str">
        <f>PROPER(TRIM(SUBSTITUTE(AN491,".","")))</f>
        <v>Completed</v>
      </c>
      <c r="AP491" t="str">
        <f>IF(COUNTIF($A$2:$A$933, A491) &gt; 1, "Duplicate ID", "Unique")</f>
        <v>Unique</v>
      </c>
      <c r="AR491">
        <f t="shared" si="60"/>
        <v>2846.4</v>
      </c>
      <c r="AS491">
        <f t="shared" si="61"/>
        <v>714.0300000000002</v>
      </c>
      <c r="AT491" s="15">
        <f t="shared" si="62"/>
        <v>0.25085370994940986</v>
      </c>
      <c r="AU491" t="str">
        <f t="shared" si="63"/>
        <v>Clean</v>
      </c>
      <c r="AV491" s="8" t="str">
        <f t="shared" si="64"/>
        <v>Active</v>
      </c>
    </row>
    <row r="492" spans="1:48">
      <c r="A492" s="3" t="s">
        <v>3711</v>
      </c>
      <c r="B492" s="3" t="s">
        <v>1276</v>
      </c>
      <c r="C492" s="9">
        <f>IFERROR(DATEVALUE(TEXT(B492,"DD/MM/YYYY")), IF(ISNUMBER(B492), B492, ""))</f>
        <v>45695</v>
      </c>
      <c r="D492" s="9" t="str">
        <f>IF(B492="","Missing", IF(AND(ISNUMBER(B492)=FALSE, C492=""),"Invalid - Could Not Parse", IF(AND(ISNUMBER(B492)=FALSE, C492&lt;&gt;""),"Text - Converted to Date", IF(ISNUMBER(B492),"Valid","Check"))))</f>
        <v>Text - Converted to Date</v>
      </c>
      <c r="E492" s="5">
        <f t="shared" si="57"/>
        <v>2</v>
      </c>
      <c r="F492" s="5">
        <f t="shared" si="58"/>
        <v>2025</v>
      </c>
      <c r="G492" s="3" t="s">
        <v>2270</v>
      </c>
      <c r="H492" s="9">
        <f>IFERROR(DATEVALUE(TEXT(G492,"DD/MM/YYYY")), IF(ISNUMBER(G492), G492, ""))</f>
        <v>45696</v>
      </c>
      <c r="I492" s="9" t="str">
        <f>IF(G492="","Missing", IF(AND(ISNUMBER(G492)=FALSE, H492=""),"Invalid - Could Not Parse", IF(AND(ISNUMBER(G492)=FALSE, H492&lt;&gt;""),"Text - Converted to Date", IF(ISNUMBER(G492),"Valid","Check"))))</f>
        <v>Text - Converted to Date</v>
      </c>
      <c r="J492" s="9" t="str">
        <f>IF(OR(C492="", H492=""), "Cannot Check - Date Missing", IF(H492&lt;C492, "Invalid - Ship Before Order", "Valid"))</f>
        <v>Valid</v>
      </c>
      <c r="K492" s="5">
        <f>IF(OR(C492="", H492=""), "", IF(H492&lt;C492, "", H492-C492))</f>
        <v>1</v>
      </c>
      <c r="L492" s="3" t="s">
        <v>3712</v>
      </c>
      <c r="M492" s="3" t="s">
        <v>25</v>
      </c>
      <c r="N492" s="4" t="str">
        <f>TRIM(SUBSTITUTE(M492,"_"," "))</f>
        <v>Karan Malhotra</v>
      </c>
      <c r="O492" s="3" t="s">
        <v>41</v>
      </c>
      <c r="P492" s="6" t="str">
        <f>PROPER(TRIM(SUBSTITUTE(O492,".","")))</f>
        <v>Small Business</v>
      </c>
      <c r="Q492" s="3" t="s">
        <v>62</v>
      </c>
      <c r="R492" s="7" t="str">
        <f>PROPER(TRIM(SUBSTITUTE(Q492,"  "," ")))</f>
        <v>South</v>
      </c>
      <c r="S492" s="3" t="s">
        <v>63</v>
      </c>
      <c r="T492" s="6" t="str">
        <f>PROPER(TRIM(SUBSTITUTE(S492,"  "," ")))</f>
        <v>Telangana</v>
      </c>
      <c r="U492" s="3" t="s">
        <v>64</v>
      </c>
      <c r="V492" s="6" t="str">
        <f>PROPER(TRIM(SUBSTITUTE(U492,"  "," ")))</f>
        <v>Hyderabad</v>
      </c>
      <c r="W492" s="3" t="s">
        <v>30</v>
      </c>
      <c r="X492" s="6" t="str">
        <f>PROPER(TRIM(SUBSTITUTE(W492,"  "," ")))</f>
        <v>Office Supplies</v>
      </c>
      <c r="Y492" s="3" t="s">
        <v>109</v>
      </c>
      <c r="Z492" s="6" t="str">
        <f>PROPER(TRIM(SUBSTITUTE(Y492,"  "," ")))</f>
        <v>Labels</v>
      </c>
      <c r="AA492" s="3" t="s">
        <v>3713</v>
      </c>
      <c r="AB492" s="3" t="s">
        <v>3714</v>
      </c>
      <c r="AC492" s="6" t="str">
        <f>PROPER(TRIM(SUBSTITUTE(AB492,"  "," ")))</f>
        <v>Standard Class</v>
      </c>
      <c r="AD492" s="3">
        <v>2</v>
      </c>
      <c r="AE492" s="3">
        <v>2432.98</v>
      </c>
      <c r="AF492" s="3">
        <v>0.1</v>
      </c>
      <c r="AG492" s="17">
        <v>0.1</v>
      </c>
      <c r="AH492" s="6" t="str">
        <f t="shared" si="59"/>
        <v>Valid</v>
      </c>
      <c r="AI492" s="3">
        <v>4379.3599999999997</v>
      </c>
      <c r="AJ492" s="3">
        <v>3723.93</v>
      </c>
      <c r="AK492" s="3">
        <v>655.43</v>
      </c>
      <c r="AL492" s="3" t="s">
        <v>34</v>
      </c>
      <c r="AM492" s="6" t="str">
        <f>PROPER(TRIM(SUBSTITUTE(AL492,".","")))</f>
        <v>Paid</v>
      </c>
      <c r="AN492" s="3" t="s">
        <v>35</v>
      </c>
      <c r="AO492" s="8" t="str">
        <f>PROPER(TRIM(SUBSTITUTE(AN492,".","")))</f>
        <v>Completed</v>
      </c>
      <c r="AP492" t="str">
        <f>IF(COUNTIF($A$2:$A$933, A492) &gt; 1, "Duplicate ID", "Unique")</f>
        <v>Unique</v>
      </c>
      <c r="AR492">
        <f t="shared" si="60"/>
        <v>4379.3640000000005</v>
      </c>
      <c r="AS492">
        <f t="shared" si="61"/>
        <v>655.43400000000065</v>
      </c>
      <c r="AT492" s="15">
        <f t="shared" si="62"/>
        <v>0.14966419781502532</v>
      </c>
      <c r="AU492" t="str">
        <f t="shared" si="63"/>
        <v>Clean</v>
      </c>
      <c r="AV492" s="8" t="str">
        <f t="shared" si="64"/>
        <v>Active</v>
      </c>
    </row>
    <row r="493" spans="1:48">
      <c r="A493" s="3" t="s">
        <v>769</v>
      </c>
      <c r="B493" s="3" t="s">
        <v>770</v>
      </c>
      <c r="C493" s="9">
        <f>IFERROR(DATEVALUE(TEXT(B493,"DD/MM/YYYY")), IF(ISNUMBER(B493), B493, ""))</f>
        <v>45697</v>
      </c>
      <c r="D493" s="9" t="str">
        <f>IF(B493="","Missing", IF(AND(ISNUMBER(B493)=FALSE, C493=""),"Invalid - Could Not Parse", IF(AND(ISNUMBER(B493)=FALSE, C493&lt;&gt;""),"Text - Converted to Date", IF(ISNUMBER(B493),"Valid","Check"))))</f>
        <v>Text - Converted to Date</v>
      </c>
      <c r="E493" s="5">
        <f t="shared" si="57"/>
        <v>2</v>
      </c>
      <c r="F493" s="5">
        <f t="shared" si="58"/>
        <v>2025</v>
      </c>
      <c r="G493" s="3" t="s">
        <v>771</v>
      </c>
      <c r="H493" s="9">
        <f>IFERROR(DATEVALUE(TEXT(G493,"DD/MM/YYYY")), IF(ISNUMBER(G493), G493, ""))</f>
        <v>45703</v>
      </c>
      <c r="I493" s="9" t="str">
        <f>IF(G493="","Missing", IF(AND(ISNUMBER(G493)=FALSE, H493=""),"Invalid - Could Not Parse", IF(AND(ISNUMBER(G493)=FALSE, H493&lt;&gt;""),"Text - Converted to Date", IF(ISNUMBER(G493),"Valid","Check"))))</f>
        <v>Text - Converted to Date</v>
      </c>
      <c r="J493" s="9" t="str">
        <f>IF(OR(C493="", H493=""), "Cannot Check - Date Missing", IF(H493&lt;C493, "Invalid - Ship Before Order", "Valid"))</f>
        <v>Valid</v>
      </c>
      <c r="K493" s="5">
        <f>IF(OR(C493="", H493=""), "", IF(H493&lt;C493, "", H493-C493))</f>
        <v>6</v>
      </c>
      <c r="L493" s="3" t="s">
        <v>772</v>
      </c>
      <c r="M493" s="3" t="s">
        <v>40</v>
      </c>
      <c r="N493" s="4" t="str">
        <f>TRIM(SUBSTITUTE(M493,"_"," "))</f>
        <v>Mira Das</v>
      </c>
      <c r="O493" s="3" t="s">
        <v>115</v>
      </c>
      <c r="P493" s="6" t="str">
        <f>PROPER(TRIM(SUBSTITUTE(O493,".","")))</f>
        <v>Home Office</v>
      </c>
      <c r="Q493" s="3" t="s">
        <v>42</v>
      </c>
      <c r="R493" s="7" t="str">
        <f>PROPER(TRIM(SUBSTITUTE(Q493,"  "," ")))</f>
        <v>East</v>
      </c>
      <c r="S493" s="3" t="s">
        <v>311</v>
      </c>
      <c r="T493" s="6" t="str">
        <f>PROPER(TRIM(SUBSTITUTE(S493,"  "," ")))</f>
        <v>Jharkhand</v>
      </c>
      <c r="U493" s="3" t="s">
        <v>312</v>
      </c>
      <c r="V493" s="6" t="str">
        <f>PROPER(TRIM(SUBSTITUTE(U493,"  "," ")))</f>
        <v>Ranchi</v>
      </c>
      <c r="W493" s="3" t="s">
        <v>30</v>
      </c>
      <c r="X493" s="6" t="str">
        <f>PROPER(TRIM(SUBSTITUTE(W493,"  "," ")))</f>
        <v>Office Supplies</v>
      </c>
      <c r="Y493" s="3" t="s">
        <v>198</v>
      </c>
      <c r="Z493" s="6" t="str">
        <f>PROPER(TRIM(SUBSTITUTE(Y493,"  "," ")))</f>
        <v>Binders</v>
      </c>
      <c r="AA493" s="3" t="s">
        <v>773</v>
      </c>
      <c r="AB493" s="3" t="s">
        <v>774</v>
      </c>
      <c r="AC493" s="6" t="str">
        <f>PROPER(TRIM(SUBSTITUTE(AB493,"  "," ")))</f>
        <v>Standard Class</v>
      </c>
      <c r="AD493" s="3">
        <v>9</v>
      </c>
      <c r="AE493" s="3">
        <v>4330.33</v>
      </c>
      <c r="AF493" s="3">
        <v>0.2</v>
      </c>
      <c r="AG493" s="17">
        <v>0.2</v>
      </c>
      <c r="AH493" s="6" t="str">
        <f t="shared" si="59"/>
        <v>Valid</v>
      </c>
      <c r="AI493" s="3">
        <v>31178.38</v>
      </c>
      <c r="AJ493" s="3">
        <v>21421.09</v>
      </c>
      <c r="AK493" s="3">
        <v>9757.2900000000009</v>
      </c>
      <c r="AL493" s="3" t="s">
        <v>34</v>
      </c>
      <c r="AM493" s="6" t="str">
        <f>PROPER(TRIM(SUBSTITUTE(AL493,".","")))</f>
        <v>Paid</v>
      </c>
      <c r="AN493" s="3" t="s">
        <v>35</v>
      </c>
      <c r="AO493" s="8" t="str">
        <f>PROPER(TRIM(SUBSTITUTE(AN493,".","")))</f>
        <v>Completed</v>
      </c>
      <c r="AP493" t="str">
        <f>IF(COUNTIF($A$2:$A$933, A493) &gt; 1, "Duplicate ID", "Unique")</f>
        <v>Unique</v>
      </c>
      <c r="AR493">
        <f t="shared" si="60"/>
        <v>31178.376000000004</v>
      </c>
      <c r="AS493">
        <f t="shared" si="61"/>
        <v>9757.2860000000037</v>
      </c>
      <c r="AT493" s="15">
        <f t="shared" si="62"/>
        <v>0.31295042435821552</v>
      </c>
      <c r="AU493" t="str">
        <f t="shared" si="63"/>
        <v>Clean</v>
      </c>
      <c r="AV493" s="8" t="str">
        <f t="shared" si="64"/>
        <v>Active</v>
      </c>
    </row>
    <row r="494" spans="1:48">
      <c r="A494" s="3" t="s">
        <v>828</v>
      </c>
      <c r="B494" s="3" t="s">
        <v>829</v>
      </c>
      <c r="C494" s="9">
        <f>IFERROR(DATEVALUE(TEXT(B494,"DD/MM/YYYY")), IF(ISNUMBER(B494), B494, ""))</f>
        <v>45697</v>
      </c>
      <c r="D494" s="9" t="str">
        <f>IF(B494="","Missing", IF(AND(ISNUMBER(B494)=FALSE, C494=""),"Invalid - Could Not Parse", IF(AND(ISNUMBER(B494)=FALSE, C494&lt;&gt;""),"Text - Converted to Date", IF(ISNUMBER(B494),"Valid","Check"))))</f>
        <v>Text - Converted to Date</v>
      </c>
      <c r="E494" s="5">
        <f t="shared" si="57"/>
        <v>2</v>
      </c>
      <c r="F494" s="5">
        <f t="shared" si="58"/>
        <v>2025</v>
      </c>
      <c r="G494" s="3" t="s">
        <v>830</v>
      </c>
      <c r="H494" s="9">
        <f>IFERROR(DATEVALUE(TEXT(G494,"DD/MM/YYYY")), IF(ISNUMBER(G494), G494, ""))</f>
        <v>45701</v>
      </c>
      <c r="I494" s="9" t="str">
        <f>IF(G494="","Missing", IF(AND(ISNUMBER(G494)=FALSE, H494=""),"Invalid - Could Not Parse", IF(AND(ISNUMBER(G494)=FALSE, H494&lt;&gt;""),"Text - Converted to Date", IF(ISNUMBER(G494),"Valid","Check"))))</f>
        <v>Text - Converted to Date</v>
      </c>
      <c r="J494" s="9" t="str">
        <f>IF(OR(C494="", H494=""), "Cannot Check - Date Missing", IF(H494&lt;C494, "Invalid - Ship Before Order", "Valid"))</f>
        <v>Valid</v>
      </c>
      <c r="K494" s="5">
        <f>IF(OR(C494="", H494=""), "", IF(H494&lt;C494, "", H494-C494))</f>
        <v>4</v>
      </c>
      <c r="L494" s="3" t="s">
        <v>831</v>
      </c>
      <c r="M494" s="3" t="s">
        <v>40</v>
      </c>
      <c r="N494" s="4" t="str">
        <f>TRIM(SUBSTITUTE(M494,"_"," "))</f>
        <v>Mira Das</v>
      </c>
      <c r="O494" s="3" t="s">
        <v>115</v>
      </c>
      <c r="P494" s="6" t="str">
        <f>PROPER(TRIM(SUBSTITUTE(O494,".","")))</f>
        <v>Home Office</v>
      </c>
      <c r="Q494" s="3" t="s">
        <v>73</v>
      </c>
      <c r="R494" s="7" t="str">
        <f>PROPER(TRIM(SUBSTITUTE(Q494,"  "," ")))</f>
        <v>West</v>
      </c>
      <c r="S494" s="3" t="s">
        <v>84</v>
      </c>
      <c r="T494" s="6" t="str">
        <f>PROPER(TRIM(SUBSTITUTE(S494,"  "," ")))</f>
        <v>Madhya Pradesh</v>
      </c>
      <c r="U494" s="3" t="s">
        <v>85</v>
      </c>
      <c r="V494" s="6" t="str">
        <f>PROPER(TRIM(SUBSTITUTE(U494,"  "," ")))</f>
        <v>Indore</v>
      </c>
      <c r="W494" s="3" t="s">
        <v>86</v>
      </c>
      <c r="X494" s="6" t="str">
        <f>PROPER(TRIM(SUBSTITUTE(W494,"  "," ")))</f>
        <v>Technology</v>
      </c>
      <c r="Y494" s="3" t="s">
        <v>223</v>
      </c>
      <c r="Z494" s="6" t="str">
        <f>PROPER(TRIM(SUBSTITUTE(Y494,"  "," ")))</f>
        <v>Phones</v>
      </c>
      <c r="AA494" s="3" t="s">
        <v>832</v>
      </c>
      <c r="AB494" s="3"/>
      <c r="AC494" s="11" t="str">
        <f>IF(ISBLANK(AB494), "Unknown", AB494)</f>
        <v>Unknown</v>
      </c>
      <c r="AD494" s="3">
        <v>8</v>
      </c>
      <c r="AE494" s="3">
        <v>1696.07</v>
      </c>
      <c r="AF494" s="3">
        <v>0.25</v>
      </c>
      <c r="AG494" s="17">
        <v>0.25</v>
      </c>
      <c r="AH494" s="6" t="str">
        <f t="shared" si="59"/>
        <v>Valid</v>
      </c>
      <c r="AI494" s="3">
        <v>10176.42</v>
      </c>
      <c r="AJ494" s="3">
        <v>7604.47</v>
      </c>
      <c r="AK494" s="3">
        <v>2571.9499999999998</v>
      </c>
      <c r="AL494" s="3" t="s">
        <v>34</v>
      </c>
      <c r="AM494" s="6" t="str">
        <f>PROPER(TRIM(SUBSTITUTE(AL494,".","")))</f>
        <v>Paid</v>
      </c>
      <c r="AN494" s="3" t="s">
        <v>35</v>
      </c>
      <c r="AO494" s="8" t="str">
        <f>PROPER(TRIM(SUBSTITUTE(AN494,".","")))</f>
        <v>Completed</v>
      </c>
      <c r="AP494" t="str">
        <f>IF(COUNTIF($A$2:$A$933, A494) &gt; 1, "Duplicate ID", "Unique")</f>
        <v>Unique</v>
      </c>
      <c r="AR494">
        <f t="shared" si="60"/>
        <v>10176.42</v>
      </c>
      <c r="AS494">
        <f t="shared" si="61"/>
        <v>2571.9499999999998</v>
      </c>
      <c r="AT494" s="15">
        <f t="shared" si="62"/>
        <v>0.252736227474888</v>
      </c>
      <c r="AU494" t="str">
        <f t="shared" si="63"/>
        <v>Clean</v>
      </c>
      <c r="AV494" s="8" t="str">
        <f t="shared" si="64"/>
        <v>Active</v>
      </c>
    </row>
    <row r="495" spans="1:48">
      <c r="A495" s="3" t="s">
        <v>2856</v>
      </c>
      <c r="B495" s="3" t="s">
        <v>2439</v>
      </c>
      <c r="C495" s="9">
        <f>IFERROR(DATEVALUE(MID(B495,4,2) &amp; "/" &amp; LEFT(B495,2) &amp; "/" &amp; RIGHT(B495,4)), IF(ISNUMBER(B495), B495, IFERROR(DATEVALUE(B495), "")))</f>
        <v>45521</v>
      </c>
      <c r="D495" s="9" t="str">
        <f>IF(B495="","Missing", IF(AND(ISNUMBER(B495)=FALSE, C495=""),"Invalid - Could Not Parse", IF(AND(ISNUMBER(B495)=FALSE, C495&lt;&gt;""),"Text - Converted to Date", IF(ISNUMBER(B495),"Valid","Check"))))</f>
        <v>Text - Converted to Date</v>
      </c>
      <c r="E495" s="5">
        <f t="shared" si="57"/>
        <v>8</v>
      </c>
      <c r="F495" s="5">
        <f t="shared" si="58"/>
        <v>2024</v>
      </c>
      <c r="G495" s="3" t="s">
        <v>2857</v>
      </c>
      <c r="H495" s="9">
        <f>IFERROR(DATEVALUE(MID(G495,4,2) &amp; "/" &amp; LEFT(G495,2) &amp; "/" &amp; RIGHT(G495,4)), IF(ISNUMBER(G495), G495, IFERROR(DATEVALUE(G495), "")))</f>
        <v>45528</v>
      </c>
      <c r="I495" s="9" t="str">
        <f>IF(G495="","Missing", IF(AND(ISNUMBER(G495)=FALSE, H495=""),"Invalid - Could Not Parse", IF(AND(ISNUMBER(G495)=FALSE, H495&lt;&gt;""),"Text - Converted to Date", IF(ISNUMBER(G495),"Valid","Check"))))</f>
        <v>Text - Converted to Date</v>
      </c>
      <c r="J495" s="9" t="str">
        <f>IF(OR(C495="", H495=""), "Cannot Check - Date Missing", IF(H495&lt;C495, "Invalid - Ship Before Order", "Valid"))</f>
        <v>Valid</v>
      </c>
      <c r="K495" s="5">
        <f>IF(OR(C495="", H495=""), "", IF(H495&lt;C495, "", H495-C495))</f>
        <v>7</v>
      </c>
      <c r="L495" s="3" t="s">
        <v>2858</v>
      </c>
      <c r="M495" s="3" t="s">
        <v>72</v>
      </c>
      <c r="N495" s="4" t="str">
        <f>TRIM(SUBSTITUTE(M495,"_"," "))</f>
        <v>Ananya Rao</v>
      </c>
      <c r="O495" s="3" t="s">
        <v>108</v>
      </c>
      <c r="P495" s="6" t="str">
        <f>PROPER(TRIM(SUBSTITUTE(O495,".","")))</f>
        <v>Corporate</v>
      </c>
      <c r="Q495" s="3" t="s">
        <v>42</v>
      </c>
      <c r="R495" s="7" t="str">
        <f>PROPER(TRIM(SUBSTITUTE(Q495,"  "," ")))</f>
        <v>East</v>
      </c>
      <c r="S495" s="3" t="s">
        <v>121</v>
      </c>
      <c r="T495" s="6" t="str">
        <f>PROPER(TRIM(SUBSTITUTE(S495,"  "," ")))</f>
        <v>West Bengal</v>
      </c>
      <c r="U495" s="3" t="s">
        <v>122</v>
      </c>
      <c r="V495" s="6" t="str">
        <f>PROPER(TRIM(SUBSTITUTE(U495,"  "," ")))</f>
        <v>Kolkata</v>
      </c>
      <c r="W495" s="3" t="s">
        <v>86</v>
      </c>
      <c r="X495" s="6" t="str">
        <f>PROPER(TRIM(SUBSTITUTE(W495,"  "," ")))</f>
        <v>Technology</v>
      </c>
      <c r="Y495" s="3" t="s">
        <v>94</v>
      </c>
      <c r="Z495" s="6" t="str">
        <f>PROPER(TRIM(SUBSTITUTE(Y495,"  "," ")))</f>
        <v>Copiers</v>
      </c>
      <c r="AA495" s="3" t="s">
        <v>2859</v>
      </c>
      <c r="AB495" s="3" t="s">
        <v>48</v>
      </c>
      <c r="AC495" s="6" t="str">
        <f>PROPER(TRIM(SUBSTITUTE(AB495,"  "," ")))</f>
        <v>Same Day</v>
      </c>
      <c r="AD495" s="3">
        <v>3</v>
      </c>
      <c r="AE495" s="3">
        <v>1490.69</v>
      </c>
      <c r="AF495" s="3">
        <v>0.25</v>
      </c>
      <c r="AG495" s="17">
        <v>0.25</v>
      </c>
      <c r="AH495" s="6" t="str">
        <f t="shared" si="59"/>
        <v>Valid</v>
      </c>
      <c r="AI495" s="3">
        <v>3354.05</v>
      </c>
      <c r="AJ495" s="3">
        <v>2672.67</v>
      </c>
      <c r="AK495" s="3">
        <v>681.38</v>
      </c>
      <c r="AL495" s="3" t="s">
        <v>34</v>
      </c>
      <c r="AM495" s="6" t="str">
        <f>PROPER(TRIM(SUBSTITUTE(AL495,".","")))</f>
        <v>Paid</v>
      </c>
      <c r="AN495" s="3" t="s">
        <v>35</v>
      </c>
      <c r="AO495" s="8" t="str">
        <f>PROPER(TRIM(SUBSTITUTE(AN495,".","")))</f>
        <v>Completed</v>
      </c>
      <c r="AP495" t="str">
        <f>IF(COUNTIF($A$2:$A$933, A495) &gt; 1, "Duplicate ID", "Unique")</f>
        <v>Unique</v>
      </c>
      <c r="AR495">
        <f t="shared" si="60"/>
        <v>3354.0524999999998</v>
      </c>
      <c r="AS495">
        <f t="shared" si="61"/>
        <v>681.38249999999971</v>
      </c>
      <c r="AT495" s="15">
        <f t="shared" si="62"/>
        <v>0.20315200790685289</v>
      </c>
      <c r="AU495" t="str">
        <f t="shared" si="63"/>
        <v>Warning</v>
      </c>
      <c r="AV495" s="8" t="str">
        <f t="shared" si="64"/>
        <v>Active</v>
      </c>
    </row>
    <row r="496" spans="1:48">
      <c r="A496" s="3" t="s">
        <v>3296</v>
      </c>
      <c r="B496" s="3" t="s">
        <v>1558</v>
      </c>
      <c r="C496" s="9">
        <f>IFERROR(DATEVALUE(TEXT(B496,"DD/MM/YYYY")), IF(ISNUMBER(B496), B496, ""))</f>
        <v>45364</v>
      </c>
      <c r="D496" s="9" t="str">
        <f>IF(B496="","Missing", IF(AND(ISNUMBER(B496)=FALSE, C496=""),"Invalid - Could Not Parse", IF(AND(ISNUMBER(B496)=FALSE, C496&lt;&gt;""),"Text - Converted to Date", IF(ISNUMBER(B496),"Valid","Check"))))</f>
        <v>Text - Converted to Date</v>
      </c>
      <c r="E496" s="5">
        <f t="shared" si="57"/>
        <v>3</v>
      </c>
      <c r="F496" s="5">
        <f t="shared" si="58"/>
        <v>2024</v>
      </c>
      <c r="G496" s="3" t="s">
        <v>3297</v>
      </c>
      <c r="H496" s="9">
        <f>IFERROR(DATEVALUE(MID(G496,4,2) &amp; "/" &amp; LEFT(G496,2) &amp; "/" &amp; RIGHT(G496,4)), IF(ISNUMBER(G496), G496, IFERROR(DATEVALUE(G496), "")))</f>
        <v>45371</v>
      </c>
      <c r="I496" s="9" t="str">
        <f>IF(G496="","Missing", IF(AND(ISNUMBER(G496)=FALSE, H496=""),"Invalid - Could Not Parse", IF(AND(ISNUMBER(G496)=FALSE, H496&lt;&gt;""),"Text - Converted to Date", IF(ISNUMBER(G496),"Valid","Check"))))</f>
        <v>Text - Converted to Date</v>
      </c>
      <c r="J496" s="9" t="str">
        <f>IF(OR(C496="", H496=""), "Cannot Check - Date Missing", IF(H496&lt;C496, "Invalid - Ship Before Order", "Valid"))</f>
        <v>Valid</v>
      </c>
      <c r="K496" s="5">
        <f>IF(OR(C496="", H496=""), "", IF(H496&lt;C496, "", H496-C496))</f>
        <v>7</v>
      </c>
      <c r="L496" s="3" t="s">
        <v>3298</v>
      </c>
      <c r="M496" s="3" t="s">
        <v>142</v>
      </c>
      <c r="N496" s="4" t="str">
        <f>TRIM(SUBSTITUTE(M496,"_"," "))</f>
        <v>Priya Menon</v>
      </c>
      <c r="O496" s="3" t="s">
        <v>115</v>
      </c>
      <c r="P496" s="6" t="str">
        <f>PROPER(TRIM(SUBSTITUTE(O496,".","")))</f>
        <v>Home Office</v>
      </c>
      <c r="Q496" s="3" t="s">
        <v>62</v>
      </c>
      <c r="R496" s="7" t="str">
        <f>PROPER(TRIM(SUBSTITUTE(Q496,"  "," ")))</f>
        <v>South</v>
      </c>
      <c r="S496" s="3" t="s">
        <v>339</v>
      </c>
      <c r="T496" s="6" t="str">
        <f>PROPER(TRIM(SUBSTITUTE(S496,"  "," ")))</f>
        <v>Tamil Nadu</v>
      </c>
      <c r="U496" s="3" t="s">
        <v>340</v>
      </c>
      <c r="V496" s="6" t="str">
        <f>PROPER(TRIM(SUBSTITUTE(U496,"  "," ")))</f>
        <v>Chennai</v>
      </c>
      <c r="W496" s="3" t="s">
        <v>45</v>
      </c>
      <c r="X496" s="6" t="str">
        <f>PROPER(TRIM(SUBSTITUTE(W496,"  "," ")))</f>
        <v>Furniture</v>
      </c>
      <c r="Y496" s="3" t="s">
        <v>204</v>
      </c>
      <c r="Z496" s="6" t="str">
        <f>PROPER(TRIM(SUBSTITUTE(Y496,"  "," ")))</f>
        <v>Bookcases</v>
      </c>
      <c r="AA496" s="3" t="s">
        <v>3299</v>
      </c>
      <c r="AB496" s="3"/>
      <c r="AC496" s="11" t="str">
        <f>IF(ISBLANK(AB496), "Unknown", AB496)</f>
        <v>Unknown</v>
      </c>
      <c r="AD496" s="3">
        <v>1</v>
      </c>
      <c r="AE496" s="3">
        <v>2825.63</v>
      </c>
      <c r="AF496" s="3">
        <v>0.15</v>
      </c>
      <c r="AG496" s="17">
        <v>0.15</v>
      </c>
      <c r="AH496" s="6" t="str">
        <f t="shared" si="59"/>
        <v>Valid</v>
      </c>
      <c r="AI496" s="3">
        <v>2401.79</v>
      </c>
      <c r="AJ496" s="3">
        <v>1820.34</v>
      </c>
      <c r="AK496" s="3">
        <v>581.45000000000005</v>
      </c>
      <c r="AL496" s="3" t="s">
        <v>34</v>
      </c>
      <c r="AM496" s="6" t="str">
        <f>PROPER(TRIM(SUBSTITUTE(AL496,".","")))</f>
        <v>Paid</v>
      </c>
      <c r="AN496" s="3" t="s">
        <v>35</v>
      </c>
      <c r="AO496" s="8" t="str">
        <f>PROPER(TRIM(SUBSTITUTE(AN496,".","")))</f>
        <v>Completed</v>
      </c>
      <c r="AP496" t="str">
        <f>IF(COUNTIF($A$2:$A$933, A496) &gt; 1, "Duplicate ID", "Unique")</f>
        <v>Unique</v>
      </c>
      <c r="AR496">
        <f t="shared" si="60"/>
        <v>2401.7855</v>
      </c>
      <c r="AS496">
        <f t="shared" si="61"/>
        <v>581.44550000000004</v>
      </c>
      <c r="AT496" s="15">
        <f t="shared" si="62"/>
        <v>0.24208885431276025</v>
      </c>
      <c r="AU496" t="str">
        <f t="shared" si="63"/>
        <v>Clean</v>
      </c>
      <c r="AV496" s="8" t="str">
        <f t="shared" si="64"/>
        <v>Active</v>
      </c>
    </row>
    <row r="497" spans="1:48">
      <c r="A497" s="3" t="s">
        <v>2451</v>
      </c>
      <c r="B497" s="3" t="s">
        <v>2452</v>
      </c>
      <c r="C497" s="9">
        <f>IFERROR(DATEVALUE(TEXT(B497,"DD/MM/YYYY")), IF(ISNUMBER(B497), B497, ""))</f>
        <v>45700</v>
      </c>
      <c r="D497" s="9" t="str">
        <f>IF(B497="","Missing", IF(AND(ISNUMBER(B497)=FALSE, C497=""),"Invalid - Could Not Parse", IF(AND(ISNUMBER(B497)=FALSE, C497&lt;&gt;""),"Text - Converted to Date", IF(ISNUMBER(B497),"Valid","Check"))))</f>
        <v>Text - Converted to Date</v>
      </c>
      <c r="E497" s="5">
        <f t="shared" si="57"/>
        <v>2</v>
      </c>
      <c r="F497" s="5">
        <f t="shared" si="58"/>
        <v>2025</v>
      </c>
      <c r="G497" s="3" t="s">
        <v>2453</v>
      </c>
      <c r="H497" s="9">
        <f>IFERROR(DATEVALUE(TEXT(G497,"DD/MM/YYYY")), IF(ISNUMBER(G497), G497, ""))</f>
        <v>45705</v>
      </c>
      <c r="I497" s="9" t="str">
        <f>IF(G497="","Missing", IF(AND(ISNUMBER(G497)=FALSE, H497=""),"Invalid - Could Not Parse", IF(AND(ISNUMBER(G497)=FALSE, H497&lt;&gt;""),"Text - Converted to Date", IF(ISNUMBER(G497),"Valid","Check"))))</f>
        <v>Text - Converted to Date</v>
      </c>
      <c r="J497" s="9" t="str">
        <f>IF(OR(C497="", H497=""), "Cannot Check - Date Missing", IF(H497&lt;C497, "Invalid - Ship Before Order", "Valid"))</f>
        <v>Valid</v>
      </c>
      <c r="K497" s="5">
        <f>IF(OR(C497="", H497=""), "", IF(H497&lt;C497, "", H497-C497))</f>
        <v>5</v>
      </c>
      <c r="L497" s="3" t="s">
        <v>2454</v>
      </c>
      <c r="M497" s="3" t="s">
        <v>61</v>
      </c>
      <c r="N497" s="4" t="str">
        <f>TRIM(SUBSTITUTE(M497,"_"," "))</f>
        <v>Arjun Bose</v>
      </c>
      <c r="O497" s="3" t="s">
        <v>108</v>
      </c>
      <c r="P497" s="6" t="str">
        <f>PROPER(TRIM(SUBSTITUTE(O497,".","")))</f>
        <v>Corporate</v>
      </c>
      <c r="Q497" s="3" t="s">
        <v>73</v>
      </c>
      <c r="R497" s="7" t="str">
        <f>PROPER(TRIM(SUBSTITUTE(Q497,"  "," ")))</f>
        <v>West</v>
      </c>
      <c r="S497" s="3" t="s">
        <v>235</v>
      </c>
      <c r="T497" s="6" t="str">
        <f>PROPER(TRIM(SUBSTITUTE(S497,"  "," ")))</f>
        <v>Gujarat</v>
      </c>
      <c r="U497" s="3" t="s">
        <v>236</v>
      </c>
      <c r="V497" s="6" t="str">
        <f>PROPER(TRIM(SUBSTITUTE(U497,"  "," ")))</f>
        <v>Ahmedabad</v>
      </c>
      <c r="W497" s="3" t="s">
        <v>30</v>
      </c>
      <c r="X497" s="6" t="str">
        <f>PROPER(TRIM(SUBSTITUTE(W497,"  "," ")))</f>
        <v>Office Supplies</v>
      </c>
      <c r="Y497" s="3" t="s">
        <v>54</v>
      </c>
      <c r="Z497" s="6" t="str">
        <f>PROPER(TRIM(SUBSTITUTE(Y497,"  "," ")))</f>
        <v>Art</v>
      </c>
      <c r="AA497" s="3" t="s">
        <v>2455</v>
      </c>
      <c r="AB497" s="3" t="s">
        <v>67</v>
      </c>
      <c r="AC497" s="6" t="str">
        <f>PROPER(TRIM(SUBSTITUTE(AB497,"  "," ")))</f>
        <v>Standard Class</v>
      </c>
      <c r="AD497" s="3">
        <v>4</v>
      </c>
      <c r="AE497" s="3">
        <v>4328.12</v>
      </c>
      <c r="AF497" s="3">
        <v>0</v>
      </c>
      <c r="AG497" s="17">
        <v>0</v>
      </c>
      <c r="AH497" s="6" t="str">
        <f t="shared" si="59"/>
        <v>Valid</v>
      </c>
      <c r="AI497" s="3">
        <v>17312.48</v>
      </c>
      <c r="AJ497" s="3">
        <v>14424.22</v>
      </c>
      <c r="AK497" s="3">
        <v>2888.26</v>
      </c>
      <c r="AL497" s="3" t="s">
        <v>34</v>
      </c>
      <c r="AM497" s="6" t="str">
        <f>PROPER(TRIM(SUBSTITUTE(AL497,".","")))</f>
        <v>Paid</v>
      </c>
      <c r="AN497" s="3" t="s">
        <v>35</v>
      </c>
      <c r="AO497" s="8" t="str">
        <f>PROPER(TRIM(SUBSTITUTE(AN497,".","")))</f>
        <v>Completed</v>
      </c>
      <c r="AP497" t="str">
        <f>IF(COUNTIF($A$2:$A$933, A497) &gt; 1, "Duplicate ID", "Unique")</f>
        <v>Unique</v>
      </c>
      <c r="AR497">
        <f t="shared" si="60"/>
        <v>17312.48</v>
      </c>
      <c r="AS497">
        <f t="shared" si="61"/>
        <v>2888.26</v>
      </c>
      <c r="AT497" s="15">
        <f t="shared" si="62"/>
        <v>0.16683109525613893</v>
      </c>
      <c r="AU497" t="str">
        <f t="shared" si="63"/>
        <v>Warning</v>
      </c>
      <c r="AV497" s="8" t="str">
        <f t="shared" si="64"/>
        <v>Active</v>
      </c>
    </row>
    <row r="498" spans="1:48">
      <c r="A498" s="3" t="s">
        <v>2024</v>
      </c>
      <c r="B498" s="3" t="s">
        <v>830</v>
      </c>
      <c r="C498" s="9">
        <f>IFERROR(DATEVALUE(TEXT(B498,"DD/MM/YYYY")), IF(ISNUMBER(B498), B498, ""))</f>
        <v>45701</v>
      </c>
      <c r="D498" s="9" t="str">
        <f>IF(B498="","Missing", IF(AND(ISNUMBER(B498)=FALSE, C498=""),"Invalid - Could Not Parse", IF(AND(ISNUMBER(B498)=FALSE, C498&lt;&gt;""),"Text - Converted to Date", IF(ISNUMBER(B498),"Valid","Check"))))</f>
        <v>Text - Converted to Date</v>
      </c>
      <c r="E498" s="5">
        <f t="shared" si="57"/>
        <v>2</v>
      </c>
      <c r="F498" s="5">
        <f t="shared" si="58"/>
        <v>2025</v>
      </c>
      <c r="G498" s="3" t="s">
        <v>771</v>
      </c>
      <c r="H498" s="9">
        <f>IFERROR(DATEVALUE(TEXT(G498,"DD/MM/YYYY")), IF(ISNUMBER(G498), G498, ""))</f>
        <v>45703</v>
      </c>
      <c r="I498" s="9" t="str">
        <f>IF(G498="","Missing", IF(AND(ISNUMBER(G498)=FALSE, H498=""),"Invalid - Could Not Parse", IF(AND(ISNUMBER(G498)=FALSE, H498&lt;&gt;""),"Text - Converted to Date", IF(ISNUMBER(G498),"Valid","Check"))))</f>
        <v>Text - Converted to Date</v>
      </c>
      <c r="J498" s="9" t="str">
        <f>IF(OR(C498="", H498=""), "Cannot Check - Date Missing", IF(H498&lt;C498, "Invalid - Ship Before Order", "Valid"))</f>
        <v>Valid</v>
      </c>
      <c r="K498" s="5">
        <f>IF(OR(C498="", H498=""), "", IF(H498&lt;C498, "", H498-C498))</f>
        <v>2</v>
      </c>
      <c r="L498" s="3" t="s">
        <v>2025</v>
      </c>
      <c r="M498" s="3" t="s">
        <v>25</v>
      </c>
      <c r="N498" s="4" t="str">
        <f>TRIM(SUBSTITUTE(M498,"_"," "))</f>
        <v>Karan Malhotra</v>
      </c>
      <c r="O498" s="3" t="s">
        <v>26</v>
      </c>
      <c r="P498" s="6" t="str">
        <f>PROPER(TRIM(SUBSTITUTE(O498,".","")))</f>
        <v>Consumer</v>
      </c>
      <c r="Q498" s="3" t="s">
        <v>42</v>
      </c>
      <c r="R498" s="7" t="str">
        <f>PROPER(TRIM(SUBSTITUTE(Q498,"  "," ")))</f>
        <v>East</v>
      </c>
      <c r="S498" s="3" t="s">
        <v>216</v>
      </c>
      <c r="T498" s="6" t="str">
        <f>PROPER(TRIM(SUBSTITUTE(S498,"  "," ")))</f>
        <v>Assam</v>
      </c>
      <c r="U498" s="3" t="s">
        <v>217</v>
      </c>
      <c r="V498" s="6" t="str">
        <f>PROPER(TRIM(SUBSTITUTE(U498,"  "," ")))</f>
        <v>Guwahati</v>
      </c>
      <c r="W498" s="3" t="s">
        <v>86</v>
      </c>
      <c r="X498" s="6" t="str">
        <f>PROPER(TRIM(SUBSTITUTE(W498,"  "," ")))</f>
        <v>Technology</v>
      </c>
      <c r="Y498" s="3" t="s">
        <v>87</v>
      </c>
      <c r="Z498" s="6" t="str">
        <f>PROPER(TRIM(SUBSTITUTE(Y498,"  "," ")))</f>
        <v>Accessories</v>
      </c>
      <c r="AA498" s="3" t="s">
        <v>2026</v>
      </c>
      <c r="AB498" s="3" t="s">
        <v>48</v>
      </c>
      <c r="AC498" s="6" t="str">
        <f>PROPER(TRIM(SUBSTITUTE(AB498,"  "," ")))</f>
        <v>Same Day</v>
      </c>
      <c r="AD498" s="3">
        <v>1</v>
      </c>
      <c r="AE498" s="3">
        <v>3025.46</v>
      </c>
      <c r="AF498" s="3">
        <v>0.25</v>
      </c>
      <c r="AG498" s="17">
        <v>0.25</v>
      </c>
      <c r="AH498" s="6" t="str">
        <f t="shared" si="59"/>
        <v>Valid</v>
      </c>
      <c r="AI498" s="3">
        <v>2269.1</v>
      </c>
      <c r="AJ498" s="3">
        <v>1593.59</v>
      </c>
      <c r="AK498" s="3">
        <v>675.51</v>
      </c>
      <c r="AL498" s="3" t="s">
        <v>124</v>
      </c>
      <c r="AM498" s="6" t="str">
        <f>PROPER(TRIM(SUBSTITUTE(AL498,".","")))</f>
        <v>Refunded</v>
      </c>
      <c r="AN498" s="3" t="s">
        <v>125</v>
      </c>
      <c r="AO498" s="8" t="str">
        <f>PROPER(TRIM(SUBSTITUTE(AN498,".","")))</f>
        <v>Returned</v>
      </c>
      <c r="AP498" t="str">
        <f>IF(COUNTIF($A$2:$A$933, A498) &gt; 1, "Duplicate ID", "Unique")</f>
        <v>Unique</v>
      </c>
      <c r="AR498">
        <f t="shared" si="60"/>
        <v>2269.0950000000003</v>
      </c>
      <c r="AS498">
        <f t="shared" si="61"/>
        <v>675.50500000000034</v>
      </c>
      <c r="AT498" s="15">
        <f t="shared" si="62"/>
        <v>0.29769798091309541</v>
      </c>
      <c r="AU498" t="str">
        <f t="shared" si="63"/>
        <v>Clean</v>
      </c>
      <c r="AV498" s="8" t="str">
        <f t="shared" si="64"/>
        <v>Refund</v>
      </c>
    </row>
    <row r="499" spans="1:48">
      <c r="A499" s="3" t="s">
        <v>2400</v>
      </c>
      <c r="B499" s="3" t="s">
        <v>1415</v>
      </c>
      <c r="C499" s="9">
        <f>IFERROR(DATEVALUE(TEXT(B499,"DD/MM/YYYY")), IF(ISNUMBER(B499), B499, ""))</f>
        <v>45701</v>
      </c>
      <c r="D499" s="9" t="str">
        <f>IF(B499="","Missing", IF(AND(ISNUMBER(B499)=FALSE, C499=""),"Invalid - Could Not Parse", IF(AND(ISNUMBER(B499)=FALSE, C499&lt;&gt;""),"Text - Converted to Date", IF(ISNUMBER(B499),"Valid","Check"))))</f>
        <v>Text - Converted to Date</v>
      </c>
      <c r="E499" s="5">
        <f t="shared" si="57"/>
        <v>2</v>
      </c>
      <c r="F499" s="5">
        <f t="shared" si="58"/>
        <v>2025</v>
      </c>
      <c r="G499" s="3" t="s">
        <v>2401</v>
      </c>
      <c r="H499" s="9">
        <f>IFERROR(DATEVALUE(TEXT(G499,"DD/MM/YYYY")), IF(ISNUMBER(G499), G499, ""))</f>
        <v>45701</v>
      </c>
      <c r="I499" s="9" t="str">
        <f>IF(G499="","Missing", IF(AND(ISNUMBER(G499)=FALSE, H499=""),"Invalid - Could Not Parse", IF(AND(ISNUMBER(G499)=FALSE, H499&lt;&gt;""),"Text - Converted to Date", IF(ISNUMBER(G499),"Valid","Check"))))</f>
        <v>Text - Converted to Date</v>
      </c>
      <c r="J499" s="9" t="str">
        <f>IF(OR(C499="", H499=""), "Cannot Check - Date Missing", IF(H499&lt;C499, "Invalid - Ship Before Order", "Valid"))</f>
        <v>Valid</v>
      </c>
      <c r="K499" s="5">
        <f>IF(OR(C499="", H499=""), "", IF(H499&lt;C499, "", H499-C499))</f>
        <v>0</v>
      </c>
      <c r="L499" s="3" t="s">
        <v>2402</v>
      </c>
      <c r="M499" s="3" t="s">
        <v>366</v>
      </c>
      <c r="N499" s="4" t="str">
        <f>TRIM(SUBSTITUTE(M499,"_"," "))</f>
        <v>Kabir Singh</v>
      </c>
      <c r="O499" s="3" t="s">
        <v>108</v>
      </c>
      <c r="P499" s="6" t="str">
        <f>PROPER(TRIM(SUBSTITUTE(O499,".","")))</f>
        <v>Corporate</v>
      </c>
      <c r="Q499" s="3" t="s">
        <v>42</v>
      </c>
      <c r="R499" s="7" t="str">
        <f>PROPER(TRIM(SUBSTITUTE(Q499,"  "," ")))</f>
        <v>East</v>
      </c>
      <c r="S499" s="3" t="s">
        <v>43</v>
      </c>
      <c r="T499" s="6" t="str">
        <f>PROPER(TRIM(SUBSTITUTE(S499,"  "," ")))</f>
        <v>Odisha</v>
      </c>
      <c r="U499" s="3" t="s">
        <v>44</v>
      </c>
      <c r="V499" s="6" t="str">
        <f>PROPER(TRIM(SUBSTITUTE(U499,"  "," ")))</f>
        <v>Bhubaneswar</v>
      </c>
      <c r="W499" s="3" t="s">
        <v>30</v>
      </c>
      <c r="X499" s="6" t="str">
        <f>PROPER(TRIM(SUBSTITUTE(W499,"  "," ")))</f>
        <v>Office Supplies</v>
      </c>
      <c r="Y499" s="3" t="s">
        <v>31</v>
      </c>
      <c r="Z499" s="6" t="str">
        <f>PROPER(TRIM(SUBSTITUTE(Y499,"  "," ")))</f>
        <v>Paper</v>
      </c>
      <c r="AA499" s="3" t="s">
        <v>2403</v>
      </c>
      <c r="AB499" s="3" t="s">
        <v>33</v>
      </c>
      <c r="AC499" s="6" t="str">
        <f>PROPER(TRIM(SUBSTITUTE(AB499,"  "," ")))</f>
        <v>Second Class</v>
      </c>
      <c r="AD499" s="3">
        <v>7</v>
      </c>
      <c r="AE499" s="3">
        <v>2296.6999999999998</v>
      </c>
      <c r="AF499" s="3">
        <v>0.05</v>
      </c>
      <c r="AG499" s="17">
        <v>0.05</v>
      </c>
      <c r="AH499" s="6" t="str">
        <f t="shared" si="59"/>
        <v>Valid</v>
      </c>
      <c r="AI499" s="3">
        <v>15273.05</v>
      </c>
      <c r="AJ499" s="3">
        <v>11088.76</v>
      </c>
      <c r="AK499" s="3">
        <v>4184.29</v>
      </c>
      <c r="AL499" s="3" t="s">
        <v>34</v>
      </c>
      <c r="AM499" s="6" t="str">
        <f>PROPER(TRIM(SUBSTITUTE(AL499,".","")))</f>
        <v>Paid</v>
      </c>
      <c r="AN499" s="3" t="s">
        <v>2404</v>
      </c>
      <c r="AO499" s="8" t="str">
        <f>PROPER(TRIM(SUBSTITUTE(AN499,".","")))</f>
        <v>Completed</v>
      </c>
      <c r="AP499" t="str">
        <f>IF(COUNTIF($A$2:$A$933, A499) &gt; 1, "Duplicate ID", "Unique")</f>
        <v>Unique</v>
      </c>
      <c r="AR499">
        <f t="shared" si="60"/>
        <v>15273.054999999997</v>
      </c>
      <c r="AS499">
        <f t="shared" si="61"/>
        <v>4184.2949999999964</v>
      </c>
      <c r="AT499" s="15">
        <f t="shared" si="62"/>
        <v>0.27396581757873573</v>
      </c>
      <c r="AU499" t="str">
        <f t="shared" si="63"/>
        <v>Clean</v>
      </c>
      <c r="AV499" s="8" t="str">
        <f t="shared" si="64"/>
        <v>Active</v>
      </c>
    </row>
    <row r="500" spans="1:48">
      <c r="A500" s="3" t="s">
        <v>3171</v>
      </c>
      <c r="B500" s="3" t="s">
        <v>2401</v>
      </c>
      <c r="C500" s="9">
        <f>IFERROR(DATEVALUE(TEXT(B500,"DD/MM/YYYY")), IF(ISNUMBER(B500), B500, ""))</f>
        <v>45701</v>
      </c>
      <c r="D500" s="9" t="str">
        <f>IF(B500="","Missing", IF(AND(ISNUMBER(B500)=FALSE, C500=""),"Invalid - Could Not Parse", IF(AND(ISNUMBER(B500)=FALSE, C500&lt;&gt;""),"Text - Converted to Date", IF(ISNUMBER(B500),"Valid","Check"))))</f>
        <v>Text - Converted to Date</v>
      </c>
      <c r="E500" s="5">
        <f t="shared" si="57"/>
        <v>2</v>
      </c>
      <c r="F500" s="5">
        <f t="shared" si="58"/>
        <v>2025</v>
      </c>
      <c r="G500" s="3" t="s">
        <v>3172</v>
      </c>
      <c r="H500" s="9">
        <f>IFERROR(DATEVALUE(TEXT(G500,"DD/MM/YYYY")), IF(ISNUMBER(G500), G500, ""))</f>
        <v>45704</v>
      </c>
      <c r="I500" s="9" t="str">
        <f>IF(G500="","Missing", IF(AND(ISNUMBER(G500)=FALSE, H500=""),"Invalid - Could Not Parse", IF(AND(ISNUMBER(G500)=FALSE, H500&lt;&gt;""),"Text - Converted to Date", IF(ISNUMBER(G500),"Valid","Check"))))</f>
        <v>Text - Converted to Date</v>
      </c>
      <c r="J500" s="9" t="str">
        <f>IF(OR(C500="", H500=""), "Cannot Check - Date Missing", IF(H500&lt;C500, "Invalid - Ship Before Order", "Valid"))</f>
        <v>Valid</v>
      </c>
      <c r="K500" s="5">
        <f>IF(OR(C500="", H500=""), "", IF(H500&lt;C500, "", H500-C500))</f>
        <v>3</v>
      </c>
      <c r="L500" s="3" t="s">
        <v>3173</v>
      </c>
      <c r="M500" s="3" t="s">
        <v>61</v>
      </c>
      <c r="N500" s="4" t="str">
        <f>TRIM(SUBSTITUTE(M500,"_"," "))</f>
        <v>Arjun Bose</v>
      </c>
      <c r="O500" s="3" t="s">
        <v>41</v>
      </c>
      <c r="P500" s="6" t="str">
        <f>PROPER(TRIM(SUBSTITUTE(O500,".","")))</f>
        <v>Small Business</v>
      </c>
      <c r="Q500" s="3" t="s">
        <v>73</v>
      </c>
      <c r="R500" s="7" t="str">
        <f>PROPER(TRIM(SUBSTITUTE(Q500,"  "," ")))</f>
        <v>West</v>
      </c>
      <c r="S500" s="3" t="s">
        <v>28</v>
      </c>
      <c r="T500" s="6" t="str">
        <f>PROPER(TRIM(SUBSTITUTE(S500,"  "," ")))</f>
        <v>Rajasthan</v>
      </c>
      <c r="U500" s="3" t="s">
        <v>135</v>
      </c>
      <c r="V500" s="6" t="str">
        <f>PROPER(TRIM(SUBSTITUTE(U500,"  "," ")))</f>
        <v>Udaipur</v>
      </c>
      <c r="W500" s="3" t="s">
        <v>45</v>
      </c>
      <c r="X500" s="6" t="str">
        <f>PROPER(TRIM(SUBSTITUTE(W500,"  "," ")))</f>
        <v>Furniture</v>
      </c>
      <c r="Y500" s="3" t="s">
        <v>204</v>
      </c>
      <c r="Z500" s="6" t="str">
        <f>PROPER(TRIM(SUBSTITUTE(Y500,"  "," ")))</f>
        <v>Bookcases</v>
      </c>
      <c r="AA500" s="3" t="s">
        <v>3174</v>
      </c>
      <c r="AB500" s="3" t="s">
        <v>33</v>
      </c>
      <c r="AC500" s="6" t="str">
        <f>PROPER(TRIM(SUBSTITUTE(AB500,"  "," ")))</f>
        <v>Second Class</v>
      </c>
      <c r="AD500" s="3">
        <v>4</v>
      </c>
      <c r="AE500" s="3">
        <v>4072.9</v>
      </c>
      <c r="AF500" s="3">
        <v>0.15</v>
      </c>
      <c r="AG500" s="17">
        <v>0.15</v>
      </c>
      <c r="AH500" s="6" t="str">
        <f t="shared" si="59"/>
        <v>Valid</v>
      </c>
      <c r="AI500" s="3">
        <v>13847.86</v>
      </c>
      <c r="AJ500" s="3">
        <v>8471.7800000000007</v>
      </c>
      <c r="AK500" s="3">
        <v>5376.08</v>
      </c>
      <c r="AL500" s="3" t="s">
        <v>34</v>
      </c>
      <c r="AM500" s="6" t="str">
        <f>PROPER(TRIM(SUBSTITUTE(AL500,".","")))</f>
        <v>Paid</v>
      </c>
      <c r="AN500" s="3" t="s">
        <v>35</v>
      </c>
      <c r="AO500" s="8" t="str">
        <f>PROPER(TRIM(SUBSTITUTE(AN500,".","")))</f>
        <v>Completed</v>
      </c>
      <c r="AP500" t="str">
        <f>IF(COUNTIF($A$2:$A$933, A500) &gt; 1, "Duplicate ID", "Unique")</f>
        <v>Unique</v>
      </c>
      <c r="AR500">
        <f t="shared" si="60"/>
        <v>13847.86</v>
      </c>
      <c r="AS500">
        <f t="shared" si="61"/>
        <v>5376.08</v>
      </c>
      <c r="AT500" s="15">
        <f t="shared" si="62"/>
        <v>0.38822460654570451</v>
      </c>
      <c r="AU500" t="str">
        <f t="shared" si="63"/>
        <v>Clean</v>
      </c>
      <c r="AV500" s="8" t="str">
        <f t="shared" si="64"/>
        <v>Active</v>
      </c>
    </row>
    <row r="501" spans="1:48">
      <c r="A501" s="3" t="s">
        <v>1939</v>
      </c>
      <c r="B501" s="3" t="s">
        <v>1920</v>
      </c>
      <c r="C501" s="9">
        <f>IFERROR(DATEVALUE(TEXT(B501,"DD/MM/YYYY")), IF(ISNUMBER(B501), B501, ""))</f>
        <v>45702</v>
      </c>
      <c r="D501" s="9" t="str">
        <f>IF(B501="","Missing", IF(AND(ISNUMBER(B501)=FALSE, C501=""),"Invalid - Could Not Parse", IF(AND(ISNUMBER(B501)=FALSE, C501&lt;&gt;""),"Text - Converted to Date", IF(ISNUMBER(B501),"Valid","Check"))))</f>
        <v>Text - Converted to Date</v>
      </c>
      <c r="E501" s="5">
        <f t="shared" si="57"/>
        <v>2</v>
      </c>
      <c r="F501" s="5">
        <f t="shared" si="58"/>
        <v>2025</v>
      </c>
      <c r="G501" s="3" t="s">
        <v>1940</v>
      </c>
      <c r="H501" s="9">
        <f>IFERROR(DATEVALUE(TEXT(G501,"DD/MM/YYYY")), IF(ISNUMBER(G501), G501, ""))</f>
        <v>45702</v>
      </c>
      <c r="I501" s="9" t="str">
        <f>IF(G501="","Missing", IF(AND(ISNUMBER(G501)=FALSE, H501=""),"Invalid - Could Not Parse", IF(AND(ISNUMBER(G501)=FALSE, H501&lt;&gt;""),"Text - Converted to Date", IF(ISNUMBER(G501),"Valid","Check"))))</f>
        <v>Text - Converted to Date</v>
      </c>
      <c r="J501" s="9" t="str">
        <f>IF(OR(C501="", H501=""), "Cannot Check - Date Missing", IF(H501&lt;C501, "Invalid - Ship Before Order", "Valid"))</f>
        <v>Valid</v>
      </c>
      <c r="K501" s="5">
        <f>IF(OR(C501="", H501=""), "", IF(H501&lt;C501, "", H501-C501))</f>
        <v>0</v>
      </c>
      <c r="L501" s="3" t="s">
        <v>1941</v>
      </c>
      <c r="M501" s="3" t="s">
        <v>210</v>
      </c>
      <c r="N501" s="4" t="str">
        <f>TRIM(SUBSTITUTE(M501,"_"," "))</f>
        <v>Diya Patel</v>
      </c>
      <c r="O501" s="3" t="s">
        <v>26</v>
      </c>
      <c r="P501" s="6" t="str">
        <f>PROPER(TRIM(SUBSTITUTE(O501,".","")))</f>
        <v>Consumer</v>
      </c>
      <c r="Q501" s="3" t="s">
        <v>62</v>
      </c>
      <c r="R501" s="7" t="str">
        <f>PROPER(TRIM(SUBSTITUTE(Q501,"  "," ")))</f>
        <v>South</v>
      </c>
      <c r="S501" s="3" t="s">
        <v>229</v>
      </c>
      <c r="T501" s="6" t="str">
        <f>PROPER(TRIM(SUBSTITUTE(S501,"  "," ")))</f>
        <v>Karnataka</v>
      </c>
      <c r="U501" s="3" t="s">
        <v>230</v>
      </c>
      <c r="V501" s="6" t="str">
        <f>PROPER(TRIM(SUBSTITUTE(U501,"  "," ")))</f>
        <v>Bengaluru</v>
      </c>
      <c r="W501" s="3" t="s">
        <v>30</v>
      </c>
      <c r="X501" s="6" t="str">
        <f>PROPER(TRIM(SUBSTITUTE(W501,"  "," ")))</f>
        <v>Office Supplies</v>
      </c>
      <c r="Y501" s="3" t="s">
        <v>156</v>
      </c>
      <c r="Z501" s="6" t="str">
        <f>PROPER(TRIM(SUBSTITUTE(Y501,"  "," ")))</f>
        <v>Storage</v>
      </c>
      <c r="AA501" s="3" t="s">
        <v>1942</v>
      </c>
      <c r="AB501" s="3" t="s">
        <v>56</v>
      </c>
      <c r="AC501" s="6" t="str">
        <f>PROPER(TRIM(SUBSTITUTE(AB501,"  "," ")))</f>
        <v>First Class</v>
      </c>
      <c r="AD501" s="3">
        <v>1</v>
      </c>
      <c r="AE501" s="3">
        <v>714.43</v>
      </c>
      <c r="AF501" s="3">
        <v>0</v>
      </c>
      <c r="AG501" s="17">
        <v>0</v>
      </c>
      <c r="AH501" s="6" t="str">
        <f t="shared" si="59"/>
        <v>Valid</v>
      </c>
      <c r="AI501" s="3">
        <v>714.43</v>
      </c>
      <c r="AJ501" s="3">
        <v>565.44000000000005</v>
      </c>
      <c r="AK501" s="3">
        <v>148.99</v>
      </c>
      <c r="AL501" s="3" t="s">
        <v>34</v>
      </c>
      <c r="AM501" s="6" t="str">
        <f>PROPER(TRIM(SUBSTITUTE(AL501,".","")))</f>
        <v>Paid</v>
      </c>
      <c r="AN501" s="3" t="s">
        <v>35</v>
      </c>
      <c r="AO501" s="8" t="str">
        <f>PROPER(TRIM(SUBSTITUTE(AN501,".","")))</f>
        <v>Completed</v>
      </c>
      <c r="AP501" t="str">
        <f>IF(COUNTIF($A$2:$A$933, A501) &gt; 1, "Duplicate ID", "Unique")</f>
        <v>Unique</v>
      </c>
      <c r="AR501">
        <f t="shared" si="60"/>
        <v>714.43</v>
      </c>
      <c r="AS501">
        <f t="shared" si="61"/>
        <v>148.9899999999999</v>
      </c>
      <c r="AT501" s="15">
        <f t="shared" si="62"/>
        <v>0.20854387413742412</v>
      </c>
      <c r="AU501" t="str">
        <f t="shared" si="63"/>
        <v>Clean</v>
      </c>
      <c r="AV501" s="8" t="str">
        <f t="shared" si="64"/>
        <v>Active</v>
      </c>
    </row>
    <row r="502" spans="1:48">
      <c r="A502" s="3" t="s">
        <v>671</v>
      </c>
      <c r="B502" s="3" t="s">
        <v>672</v>
      </c>
      <c r="C502" s="9">
        <f>IFERROR(DATEVALUE(TEXT(B502,"DD/MM/YYYY")), IF(ISNUMBER(B502), B502, ""))</f>
        <v>45703</v>
      </c>
      <c r="D502" s="9" t="str">
        <f>IF(B502="","Missing", IF(AND(ISNUMBER(B502)=FALSE, C502=""),"Invalid - Could Not Parse", IF(AND(ISNUMBER(B502)=FALSE, C502&lt;&gt;""),"Text - Converted to Date", IF(ISNUMBER(B502),"Valid","Check"))))</f>
        <v>Text - Converted to Date</v>
      </c>
      <c r="E502" s="5">
        <f t="shared" si="57"/>
        <v>2</v>
      </c>
      <c r="F502" s="5">
        <f t="shared" si="58"/>
        <v>2025</v>
      </c>
      <c r="G502" s="3" t="s">
        <v>673</v>
      </c>
      <c r="H502" s="9">
        <f>IFERROR(DATEVALUE(TEXT(G502,"DD/MM/YYYY")), IF(ISNUMBER(G502), G502, ""))</f>
        <v>45707</v>
      </c>
      <c r="I502" s="9" t="str">
        <f>IF(G502="","Missing", IF(AND(ISNUMBER(G502)=FALSE, H502=""),"Invalid - Could Not Parse", IF(AND(ISNUMBER(G502)=FALSE, H502&lt;&gt;""),"Text - Converted to Date", IF(ISNUMBER(G502),"Valid","Check"))))</f>
        <v>Text - Converted to Date</v>
      </c>
      <c r="J502" s="9" t="str">
        <f>IF(OR(C502="", H502=""), "Cannot Check - Date Missing", IF(H502&lt;C502, "Invalid - Ship Before Order", "Valid"))</f>
        <v>Valid</v>
      </c>
      <c r="K502" s="5">
        <f>IF(OR(C502="", H502=""), "", IF(H502&lt;C502, "", H502-C502))</f>
        <v>4</v>
      </c>
      <c r="L502" s="3" t="s">
        <v>674</v>
      </c>
      <c r="M502" s="3" t="s">
        <v>72</v>
      </c>
      <c r="N502" s="4" t="str">
        <f>TRIM(SUBSTITUTE(M502,"_"," "))</f>
        <v>Ananya Rao</v>
      </c>
      <c r="O502" s="3" t="s">
        <v>41</v>
      </c>
      <c r="P502" s="6" t="str">
        <f>PROPER(TRIM(SUBSTITUTE(O502,".","")))</f>
        <v>Small Business</v>
      </c>
      <c r="Q502" s="3"/>
      <c r="R502" s="6" t="str">
        <f>IF(ISBLANK(Q502), "Unknown", Q502)</f>
        <v>Unknown</v>
      </c>
      <c r="S502" s="3" t="s">
        <v>84</v>
      </c>
      <c r="T502" s="6" t="str">
        <f>PROPER(TRIM(SUBSTITUTE(S502,"  "," ")))</f>
        <v>Madhya Pradesh</v>
      </c>
      <c r="U502" s="3" t="s">
        <v>85</v>
      </c>
      <c r="V502" s="6" t="str">
        <f>PROPER(TRIM(SUBSTITUTE(U502,"  "," ")))</f>
        <v>Indore</v>
      </c>
      <c r="W502" s="3" t="s">
        <v>30</v>
      </c>
      <c r="X502" s="6" t="str">
        <f>PROPER(TRIM(SUBSTITUTE(W502,"  "," ")))</f>
        <v>Office Supplies</v>
      </c>
      <c r="Y502" s="3" t="s">
        <v>198</v>
      </c>
      <c r="Z502" s="6" t="str">
        <f>PROPER(TRIM(SUBSTITUTE(Y502,"  "," ")))</f>
        <v>Binders</v>
      </c>
      <c r="AA502" s="3" t="s">
        <v>675</v>
      </c>
      <c r="AB502" s="3" t="s">
        <v>56</v>
      </c>
      <c r="AC502" s="6" t="str">
        <f>PROPER(TRIM(SUBSTITUTE(AB502,"  "," ")))</f>
        <v>First Class</v>
      </c>
      <c r="AD502" s="3">
        <v>9</v>
      </c>
      <c r="AE502" s="3">
        <v>531.99</v>
      </c>
      <c r="AF502" s="3">
        <v>0.25</v>
      </c>
      <c r="AG502" s="17">
        <v>0.25</v>
      </c>
      <c r="AH502" s="6" t="str">
        <f t="shared" si="59"/>
        <v>Valid</v>
      </c>
      <c r="AI502" s="3">
        <v>3590.93</v>
      </c>
      <c r="AJ502" s="3">
        <v>3061.39</v>
      </c>
      <c r="AK502" s="3">
        <v>529.54</v>
      </c>
      <c r="AL502" s="3" t="s">
        <v>200</v>
      </c>
      <c r="AM502" s="6" t="str">
        <f>PROPER(TRIM(SUBSTITUTE(AL502,".","")))</f>
        <v>Failed</v>
      </c>
      <c r="AN502" s="3" t="s">
        <v>78</v>
      </c>
      <c r="AO502" s="8" t="str">
        <f>PROPER(TRIM(SUBSTITUTE(AN502,".","")))</f>
        <v>Cancelled</v>
      </c>
      <c r="AP502" t="str">
        <f>IF(COUNTIF($A$2:$A$933, A502) &gt; 1, "Duplicate ID", "Unique")</f>
        <v>Unique</v>
      </c>
      <c r="AR502">
        <f t="shared" si="60"/>
        <v>3590.9324999999999</v>
      </c>
      <c r="AS502">
        <f t="shared" si="61"/>
        <v>529.54250000000002</v>
      </c>
      <c r="AT502" s="15">
        <f t="shared" si="62"/>
        <v>0.14746657031286442</v>
      </c>
      <c r="AU502" t="str">
        <f t="shared" si="63"/>
        <v>Clean</v>
      </c>
      <c r="AV502" s="8" t="str">
        <f t="shared" si="64"/>
        <v>Cancelled</v>
      </c>
    </row>
    <row r="503" spans="1:48">
      <c r="A503" s="3" t="s">
        <v>2895</v>
      </c>
      <c r="B503" s="3" t="s">
        <v>2846</v>
      </c>
      <c r="C503" s="9">
        <f>IFERROR(DATEVALUE(TEXT(B503,"DD/MM/YYYY")), IF(ISNUMBER(B503), B503, ""))</f>
        <v>45704</v>
      </c>
      <c r="D503" s="9" t="str">
        <f>IF(B503="","Missing", IF(AND(ISNUMBER(B503)=FALSE, C503=""),"Invalid - Could Not Parse", IF(AND(ISNUMBER(B503)=FALSE, C503&lt;&gt;""),"Text - Converted to Date", IF(ISNUMBER(B503),"Valid","Check"))))</f>
        <v>Text - Converted to Date</v>
      </c>
      <c r="E503" s="5">
        <f t="shared" si="57"/>
        <v>2</v>
      </c>
      <c r="F503" s="5">
        <f t="shared" si="58"/>
        <v>2025</v>
      </c>
      <c r="G503" s="3" t="s">
        <v>2892</v>
      </c>
      <c r="H503" s="9">
        <f>IFERROR(DATEVALUE(TEXT(G503,"DD/MM/YYYY")), IF(ISNUMBER(G503), G503, ""))</f>
        <v>45710</v>
      </c>
      <c r="I503" s="9" t="str">
        <f>IF(G503="","Missing", IF(AND(ISNUMBER(G503)=FALSE, H503=""),"Invalid - Could Not Parse", IF(AND(ISNUMBER(G503)=FALSE, H503&lt;&gt;""),"Text - Converted to Date", IF(ISNUMBER(G503),"Valid","Check"))))</f>
        <v>Text - Converted to Date</v>
      </c>
      <c r="J503" s="9" t="str">
        <f>IF(OR(C503="", H503=""), "Cannot Check - Date Missing", IF(H503&lt;C503, "Invalid - Ship Before Order", "Valid"))</f>
        <v>Valid</v>
      </c>
      <c r="K503" s="5">
        <f>IF(OR(C503="", H503=""), "", IF(H503&lt;C503, "", H503-C503))</f>
        <v>6</v>
      </c>
      <c r="L503" s="3" t="s">
        <v>2896</v>
      </c>
      <c r="M503" s="3" t="s">
        <v>168</v>
      </c>
      <c r="N503" s="4" t="str">
        <f>TRIM(SUBSTITUTE(M503,"_"," "))</f>
        <v>Sneha Kapoor</v>
      </c>
      <c r="O503" s="3" t="s">
        <v>115</v>
      </c>
      <c r="P503" s="6" t="str">
        <f>PROPER(TRIM(SUBSTITUTE(O503,".","")))</f>
        <v>Home Office</v>
      </c>
      <c r="Q503" s="3" t="s">
        <v>42</v>
      </c>
      <c r="R503" s="7" t="str">
        <f>PROPER(TRIM(SUBSTITUTE(Q503,"  "," ")))</f>
        <v>East</v>
      </c>
      <c r="S503" s="3" t="s">
        <v>186</v>
      </c>
      <c r="T503" s="6" t="str">
        <f>PROPER(TRIM(SUBSTITUTE(S503,"  "," ")))</f>
        <v>Bihar</v>
      </c>
      <c r="U503" s="3" t="s">
        <v>187</v>
      </c>
      <c r="V503" s="6" t="str">
        <f>PROPER(TRIM(SUBSTITUTE(U503,"  "," ")))</f>
        <v>Patna</v>
      </c>
      <c r="W503" s="3" t="s">
        <v>30</v>
      </c>
      <c r="X503" s="6" t="str">
        <f>PROPER(TRIM(SUBSTITUTE(W503,"  "," ")))</f>
        <v>Office Supplies</v>
      </c>
      <c r="Y503" s="3" t="s">
        <v>156</v>
      </c>
      <c r="Z503" s="6" t="str">
        <f>PROPER(TRIM(SUBSTITUTE(Y503,"  "," ")))</f>
        <v>Storage</v>
      </c>
      <c r="AA503" s="3" t="s">
        <v>2897</v>
      </c>
      <c r="AB503" s="3" t="s">
        <v>48</v>
      </c>
      <c r="AC503" s="6" t="str">
        <f>PROPER(TRIM(SUBSTITUTE(AB503,"  "," ")))</f>
        <v>Same Day</v>
      </c>
      <c r="AD503" s="3">
        <v>5</v>
      </c>
      <c r="AE503" s="3">
        <v>954.67</v>
      </c>
      <c r="AF503" s="3">
        <v>0.15</v>
      </c>
      <c r="AG503" s="17">
        <v>0.15</v>
      </c>
      <c r="AH503" s="6" t="str">
        <f t="shared" si="59"/>
        <v>Valid</v>
      </c>
      <c r="AI503" s="3">
        <v>4057.35</v>
      </c>
      <c r="AJ503" s="3">
        <v>2862.03</v>
      </c>
      <c r="AK503" s="3">
        <v>1195.32</v>
      </c>
      <c r="AL503" s="3" t="s">
        <v>34</v>
      </c>
      <c r="AM503" s="6" t="str">
        <f>PROPER(TRIM(SUBSTITUTE(AL503,".","")))</f>
        <v>Paid</v>
      </c>
      <c r="AN503" s="3" t="s">
        <v>35</v>
      </c>
      <c r="AO503" s="8" t="str">
        <f>PROPER(TRIM(SUBSTITUTE(AN503,".","")))</f>
        <v>Completed</v>
      </c>
      <c r="AP503" t="str">
        <f>IF(COUNTIF($A$2:$A$933, A503) &gt; 1, "Duplicate ID", "Unique")</f>
        <v>Unique</v>
      </c>
      <c r="AR503">
        <f t="shared" si="60"/>
        <v>4057.3474999999994</v>
      </c>
      <c r="AS503">
        <f t="shared" si="61"/>
        <v>1195.3174999999992</v>
      </c>
      <c r="AT503" s="15">
        <f t="shared" si="62"/>
        <v>0.29460565061286947</v>
      </c>
      <c r="AU503" t="str">
        <f t="shared" si="63"/>
        <v>Warning</v>
      </c>
      <c r="AV503" s="8" t="str">
        <f t="shared" si="64"/>
        <v>Active</v>
      </c>
    </row>
    <row r="504" spans="1:48">
      <c r="A504" s="3" t="s">
        <v>3692</v>
      </c>
      <c r="B504" s="3" t="s">
        <v>3172</v>
      </c>
      <c r="C504" s="9">
        <f>IFERROR(DATEVALUE(TEXT(B504,"DD/MM/YYYY")), IF(ISNUMBER(B504), B504, ""))</f>
        <v>45704</v>
      </c>
      <c r="D504" s="9" t="str">
        <f>IF(B504="","Missing", IF(AND(ISNUMBER(B504)=FALSE, C504=""),"Invalid - Could Not Parse", IF(AND(ISNUMBER(B504)=FALSE, C504&lt;&gt;""),"Text - Converted to Date", IF(ISNUMBER(B504),"Valid","Check"))))</f>
        <v>Text - Converted to Date</v>
      </c>
      <c r="E504" s="5">
        <f t="shared" si="57"/>
        <v>2</v>
      </c>
      <c r="F504" s="5">
        <f t="shared" si="58"/>
        <v>2025</v>
      </c>
      <c r="G504" s="3" t="s">
        <v>3693</v>
      </c>
      <c r="H504" s="9">
        <f>IFERROR(DATEVALUE(TEXT(G504,"DD/MM/YYYY")), IF(ISNUMBER(G504), G504, ""))</f>
        <v>45704</v>
      </c>
      <c r="I504" s="9" t="str">
        <f>IF(G504="","Missing", IF(AND(ISNUMBER(G504)=FALSE, H504=""),"Invalid - Could Not Parse", IF(AND(ISNUMBER(G504)=FALSE, H504&lt;&gt;""),"Text - Converted to Date", IF(ISNUMBER(G504),"Valid","Check"))))</f>
        <v>Text - Converted to Date</v>
      </c>
      <c r="J504" s="9" t="str">
        <f>IF(OR(C504="", H504=""), "Cannot Check - Date Missing", IF(H504&lt;C504, "Invalid - Ship Before Order", "Valid"))</f>
        <v>Valid</v>
      </c>
      <c r="K504" s="5">
        <f>IF(OR(C504="", H504=""), "", IF(H504&lt;C504, "", H504-C504))</f>
        <v>0</v>
      </c>
      <c r="L504" s="3" t="s">
        <v>3694</v>
      </c>
      <c r="M504" s="3" t="s">
        <v>180</v>
      </c>
      <c r="N504" s="4" t="str">
        <f>TRIM(SUBSTITUTE(M504,"_"," "))</f>
        <v>Rohan Mehta</v>
      </c>
      <c r="O504" s="3" t="s">
        <v>41</v>
      </c>
      <c r="P504" s="6" t="str">
        <f>PROPER(TRIM(SUBSTITUTE(O504,".","")))</f>
        <v>Small Business</v>
      </c>
      <c r="Q504" s="3" t="s">
        <v>42</v>
      </c>
      <c r="R504" s="7" t="str">
        <f>PROPER(TRIM(SUBSTITUTE(Q504,"  "," ")))</f>
        <v>East</v>
      </c>
      <c r="S504" s="3" t="s">
        <v>216</v>
      </c>
      <c r="T504" s="6" t="str">
        <f>PROPER(TRIM(SUBSTITUTE(S504,"  "," ")))</f>
        <v>Assam</v>
      </c>
      <c r="U504" s="3" t="s">
        <v>217</v>
      </c>
      <c r="V504" s="6" t="str">
        <f>PROPER(TRIM(SUBSTITUTE(U504,"  "," ")))</f>
        <v>Guwahati</v>
      </c>
      <c r="W504" s="3" t="s">
        <v>45</v>
      </c>
      <c r="X504" s="6" t="str">
        <f>PROPER(TRIM(SUBSTITUTE(W504,"  "," ")))</f>
        <v>Furniture</v>
      </c>
      <c r="Y504" s="3" t="s">
        <v>65</v>
      </c>
      <c r="Z504" s="6" t="str">
        <f>PROPER(TRIM(SUBSTITUTE(Y504,"  "," ")))</f>
        <v>Furnishings</v>
      </c>
      <c r="AA504" s="3" t="s">
        <v>3695</v>
      </c>
      <c r="AB504" s="3" t="s">
        <v>33</v>
      </c>
      <c r="AC504" s="6" t="str">
        <f>PROPER(TRIM(SUBSTITUTE(AB504,"  "," ")))</f>
        <v>Second Class</v>
      </c>
      <c r="AD504" s="3">
        <v>6</v>
      </c>
      <c r="AE504" s="3">
        <v>1441.91</v>
      </c>
      <c r="AF504" s="3">
        <v>0</v>
      </c>
      <c r="AG504" s="17">
        <v>0</v>
      </c>
      <c r="AH504" s="6" t="str">
        <f t="shared" si="59"/>
        <v>Valid</v>
      </c>
      <c r="AI504" s="3">
        <v>8651.4599999999991</v>
      </c>
      <c r="AJ504" s="3">
        <v>5254.62</v>
      </c>
      <c r="AK504" s="3">
        <v>3396.84</v>
      </c>
      <c r="AL504" s="3" t="s">
        <v>3696</v>
      </c>
      <c r="AM504" s="6" t="str">
        <f>PROPER(TRIM(SUBSTITUTE(AL504,".","")))</f>
        <v>Failed</v>
      </c>
      <c r="AN504" s="3" t="s">
        <v>125</v>
      </c>
      <c r="AO504" s="8" t="str">
        <f>PROPER(TRIM(SUBSTITUTE(AN504,".","")))</f>
        <v>Returned</v>
      </c>
      <c r="AP504" t="str">
        <f>IF(COUNTIF($A$2:$A$933, A504) &gt; 1, "Duplicate ID", "Unique")</f>
        <v>Unique</v>
      </c>
      <c r="AR504">
        <f t="shared" si="60"/>
        <v>8651.4600000000009</v>
      </c>
      <c r="AS504">
        <f t="shared" si="61"/>
        <v>3396.8400000000011</v>
      </c>
      <c r="AT504" s="15">
        <f t="shared" si="62"/>
        <v>0.39263199506210522</v>
      </c>
      <c r="AU504" t="str">
        <f t="shared" si="63"/>
        <v>Clean</v>
      </c>
      <c r="AV504" s="8" t="str">
        <f t="shared" si="64"/>
        <v>Active</v>
      </c>
    </row>
    <row r="505" spans="1:48">
      <c r="A505" s="3" t="s">
        <v>1184</v>
      </c>
      <c r="B505" s="3" t="s">
        <v>1185</v>
      </c>
      <c r="C505" s="9">
        <f>IFERROR(DATEVALUE(TEXT(B505,"DD/MM/YYYY")), IF(ISNUMBER(B505), B505, ""))</f>
        <v>45707</v>
      </c>
      <c r="D505" s="9" t="str">
        <f>IF(B505="","Missing", IF(AND(ISNUMBER(B505)=FALSE, C505=""),"Invalid - Could Not Parse", IF(AND(ISNUMBER(B505)=FALSE, C505&lt;&gt;""),"Text - Converted to Date", IF(ISNUMBER(B505),"Valid","Check"))))</f>
        <v>Text - Converted to Date</v>
      </c>
      <c r="E505" s="5">
        <f t="shared" si="57"/>
        <v>2</v>
      </c>
      <c r="F505" s="5">
        <f t="shared" si="58"/>
        <v>2025</v>
      </c>
      <c r="G505" s="3" t="s">
        <v>1186</v>
      </c>
      <c r="H505" s="9">
        <f>IFERROR(DATEVALUE(MID(G505,4,2) &amp; "/" &amp; LEFT(G505,2) &amp; "/" &amp; RIGHT(G505,4)), IF(ISNUMBER(G505), G505, IFERROR(DATEVALUE(G505), "")))</f>
        <v>45714</v>
      </c>
      <c r="I505" s="9" t="str">
        <f>IF(G505="","Missing", IF(AND(ISNUMBER(G505)=FALSE, H505=""),"Invalid - Could Not Parse", IF(AND(ISNUMBER(G505)=FALSE, H505&lt;&gt;""),"Text - Converted to Date", IF(ISNUMBER(G505),"Valid","Check"))))</f>
        <v>Text - Converted to Date</v>
      </c>
      <c r="J505" s="9" t="str">
        <f>IF(OR(C505="", H505=""), "Cannot Check - Date Missing", IF(H505&lt;C505, "Invalid - Ship Before Order", "Valid"))</f>
        <v>Valid</v>
      </c>
      <c r="K505" s="5">
        <f>IF(OR(C505="", H505=""), "", IF(H505&lt;C505, "", H505-C505))</f>
        <v>7</v>
      </c>
      <c r="L505" s="3" t="s">
        <v>1187</v>
      </c>
      <c r="M505" s="3" t="s">
        <v>40</v>
      </c>
      <c r="N505" s="4" t="str">
        <f>TRIM(SUBSTITUTE(M505,"_"," "))</f>
        <v>Mira Das</v>
      </c>
      <c r="O505" s="3" t="s">
        <v>108</v>
      </c>
      <c r="P505" s="6" t="str">
        <f>PROPER(TRIM(SUBSTITUTE(O505,".","")))</f>
        <v>Corporate</v>
      </c>
      <c r="Q505" s="3" t="s">
        <v>73</v>
      </c>
      <c r="R505" s="7" t="str">
        <f>PROPER(TRIM(SUBSTITUTE(Q505,"  "," ")))</f>
        <v>West</v>
      </c>
      <c r="S505" s="3" t="s">
        <v>74</v>
      </c>
      <c r="T505" s="6" t="str">
        <f>PROPER(TRIM(SUBSTITUTE(S505,"  "," ")))</f>
        <v>Maharashtra</v>
      </c>
      <c r="U505" s="3" t="s">
        <v>75</v>
      </c>
      <c r="V505" s="6" t="str">
        <f>PROPER(TRIM(SUBSTITUTE(U505,"  "," ")))</f>
        <v>Mumbai</v>
      </c>
      <c r="W505" s="3" t="s">
        <v>45</v>
      </c>
      <c r="X505" s="6" t="str">
        <f>PROPER(TRIM(SUBSTITUTE(W505,"  "," ")))</f>
        <v>Furniture</v>
      </c>
      <c r="Y505" s="3" t="s">
        <v>65</v>
      </c>
      <c r="Z505" s="6" t="str">
        <f>PROPER(TRIM(SUBSTITUTE(Y505,"  "," ")))</f>
        <v>Furnishings</v>
      </c>
      <c r="AA505" s="3" t="s">
        <v>1188</v>
      </c>
      <c r="AB505" s="3" t="s">
        <v>56</v>
      </c>
      <c r="AC505" s="6" t="str">
        <f>PROPER(TRIM(SUBSTITUTE(AB505,"  "," ")))</f>
        <v>First Class</v>
      </c>
      <c r="AD505" s="3">
        <v>3</v>
      </c>
      <c r="AE505" s="3">
        <v>490.3</v>
      </c>
      <c r="AF505" s="3">
        <v>0.2</v>
      </c>
      <c r="AG505" s="17">
        <v>0.2</v>
      </c>
      <c r="AH505" s="6" t="str">
        <f t="shared" si="59"/>
        <v>Valid</v>
      </c>
      <c r="AI505" s="3">
        <v>1176.72</v>
      </c>
      <c r="AJ505" s="3">
        <v>654.33000000000004</v>
      </c>
      <c r="AK505" s="3">
        <v>522.39</v>
      </c>
      <c r="AL505" s="3" t="s">
        <v>137</v>
      </c>
      <c r="AM505" s="6" t="str">
        <f>PROPER(TRIM(SUBSTITUTE(AL505,".","")))</f>
        <v>Pending</v>
      </c>
      <c r="AN505" s="3" t="s">
        <v>125</v>
      </c>
      <c r="AO505" s="8" t="str">
        <f>PROPER(TRIM(SUBSTITUTE(AN505,".","")))</f>
        <v>Returned</v>
      </c>
      <c r="AP505" t="str">
        <f>IF(COUNTIF($A$2:$A$933, A505) &gt; 1, "Duplicate ID", "Unique")</f>
        <v>Unique</v>
      </c>
      <c r="AR505">
        <f t="shared" si="60"/>
        <v>1176.72</v>
      </c>
      <c r="AS505">
        <f t="shared" si="61"/>
        <v>522.39</v>
      </c>
      <c r="AT505" s="15">
        <f t="shared" si="62"/>
        <v>0.44393738527432181</v>
      </c>
      <c r="AU505" t="str">
        <f t="shared" si="63"/>
        <v>Clean</v>
      </c>
      <c r="AV505" s="8" t="str">
        <f t="shared" si="64"/>
        <v>Active</v>
      </c>
    </row>
    <row r="506" spans="1:48">
      <c r="A506" s="3" t="s">
        <v>915</v>
      </c>
      <c r="B506" s="3" t="s">
        <v>916</v>
      </c>
      <c r="C506" s="9">
        <f>IFERROR(DATEVALUE(TEXT(B506,"DD/MM/YYYY")), IF(ISNUMBER(B506), B506, ""))</f>
        <v>45708</v>
      </c>
      <c r="D506" s="9" t="str">
        <f>IF(B506="","Missing", IF(AND(ISNUMBER(B506)=FALSE, C506=""),"Invalid - Could Not Parse", IF(AND(ISNUMBER(B506)=FALSE, C506&lt;&gt;""),"Text - Converted to Date", IF(ISNUMBER(B506),"Valid","Check"))))</f>
        <v>Text - Converted to Date</v>
      </c>
      <c r="E506" s="5">
        <f t="shared" si="57"/>
        <v>2</v>
      </c>
      <c r="F506" s="5">
        <f t="shared" si="58"/>
        <v>2025</v>
      </c>
      <c r="G506" s="3" t="s">
        <v>98</v>
      </c>
      <c r="H506" s="9">
        <f>IFERROR(DATEVALUE(TEXT(G506,"DD/MM/YYYY")), IF(ISNUMBER(G506), G506, ""))</f>
        <v>45714</v>
      </c>
      <c r="I506" s="9" t="str">
        <f>IF(G506="","Missing", IF(AND(ISNUMBER(G506)=FALSE, H506=""),"Invalid - Could Not Parse", IF(AND(ISNUMBER(G506)=FALSE, H506&lt;&gt;""),"Text - Converted to Date", IF(ISNUMBER(G506),"Valid","Check"))))</f>
        <v>Text - Converted to Date</v>
      </c>
      <c r="J506" s="9" t="str">
        <f>IF(OR(C506="", H506=""), "Cannot Check - Date Missing", IF(H506&lt;C506, "Invalid - Ship Before Order", "Valid"))</f>
        <v>Valid</v>
      </c>
      <c r="K506" s="5">
        <f>IF(OR(C506="", H506=""), "", IF(H506&lt;C506, "", H506-C506))</f>
        <v>6</v>
      </c>
      <c r="L506" s="3" t="s">
        <v>917</v>
      </c>
      <c r="M506" s="3" t="s">
        <v>25</v>
      </c>
      <c r="N506" s="4" t="str">
        <f>TRIM(SUBSTITUTE(M506,"_"," "))</f>
        <v>Karan Malhotra</v>
      </c>
      <c r="O506" s="3" t="s">
        <v>41</v>
      </c>
      <c r="P506" s="6" t="str">
        <f>PROPER(TRIM(SUBSTITUTE(O506,".","")))</f>
        <v>Small Business</v>
      </c>
      <c r="Q506" s="3" t="s">
        <v>73</v>
      </c>
      <c r="R506" s="7" t="str">
        <f>PROPER(TRIM(SUBSTITUTE(Q506,"  "," ")))</f>
        <v>West</v>
      </c>
      <c r="S506" s="3" t="s">
        <v>235</v>
      </c>
      <c r="T506" s="6" t="str">
        <f>PROPER(TRIM(SUBSTITUTE(S506,"  "," ")))</f>
        <v>Gujarat</v>
      </c>
      <c r="U506" s="3" t="s">
        <v>236</v>
      </c>
      <c r="V506" s="6" t="str">
        <f>PROPER(TRIM(SUBSTITUTE(U506,"  "," ")))</f>
        <v>Ahmedabad</v>
      </c>
      <c r="W506" s="3" t="s">
        <v>918</v>
      </c>
      <c r="X506" s="6" t="str">
        <f>PROPER(TRIM(SUBSTITUTE(W506,"  "," ")))</f>
        <v>Office Supplies</v>
      </c>
      <c r="Y506" s="3" t="s">
        <v>109</v>
      </c>
      <c r="Z506" s="6" t="str">
        <f>PROPER(TRIM(SUBSTITUTE(Y506,"  "," ")))</f>
        <v>Labels</v>
      </c>
      <c r="AA506" s="3" t="s">
        <v>919</v>
      </c>
      <c r="AB506" s="3" t="s">
        <v>56</v>
      </c>
      <c r="AC506" s="6" t="str">
        <f>PROPER(TRIM(SUBSTITUTE(AB506,"  "," ")))</f>
        <v>First Class</v>
      </c>
      <c r="AD506" s="3">
        <v>1</v>
      </c>
      <c r="AE506" s="3">
        <v>2557.85</v>
      </c>
      <c r="AF506" s="3">
        <v>0.2</v>
      </c>
      <c r="AG506" s="17">
        <v>0.2</v>
      </c>
      <c r="AH506" s="6" t="str">
        <f t="shared" si="59"/>
        <v>Valid</v>
      </c>
      <c r="AI506" s="3">
        <v>2046.28</v>
      </c>
      <c r="AJ506" s="3">
        <v>1449.54</v>
      </c>
      <c r="AK506" s="3">
        <v>596.74</v>
      </c>
      <c r="AL506" s="3" t="s">
        <v>34</v>
      </c>
      <c r="AM506" s="6" t="str">
        <f>PROPER(TRIM(SUBSTITUTE(AL506,".","")))</f>
        <v>Paid</v>
      </c>
      <c r="AN506" s="3" t="s">
        <v>35</v>
      </c>
      <c r="AO506" s="8" t="str">
        <f>PROPER(TRIM(SUBSTITUTE(AN506,".","")))</f>
        <v>Completed</v>
      </c>
      <c r="AP506" t="str">
        <f>IF(COUNTIF($A$2:$A$933, A506) &gt; 1, "Duplicate ID", "Unique")</f>
        <v>Unique</v>
      </c>
      <c r="AR506">
        <f t="shared" si="60"/>
        <v>2046.28</v>
      </c>
      <c r="AS506">
        <f t="shared" si="61"/>
        <v>596.74</v>
      </c>
      <c r="AT506" s="15">
        <f t="shared" si="62"/>
        <v>0.29162186992982386</v>
      </c>
      <c r="AU506" t="str">
        <f t="shared" si="63"/>
        <v>Clean</v>
      </c>
      <c r="AV506" s="8" t="str">
        <f t="shared" si="64"/>
        <v>Active</v>
      </c>
    </row>
    <row r="507" spans="1:48">
      <c r="A507" s="3" t="s">
        <v>1565</v>
      </c>
      <c r="B507" s="3" t="s">
        <v>1566</v>
      </c>
      <c r="C507" s="9">
        <f>IFERROR(DATEVALUE(TEXT(B507,"DD/MM/YYYY")), IF(ISNUMBER(B507), B507, ""))</f>
        <v>45708</v>
      </c>
      <c r="D507" s="9" t="str">
        <f>IF(B507="","Missing", IF(AND(ISNUMBER(B507)=FALSE, C507=""),"Invalid - Could Not Parse", IF(AND(ISNUMBER(B507)=FALSE, C507&lt;&gt;""),"Text - Converted to Date", IF(ISNUMBER(B507),"Valid","Check"))))</f>
        <v>Text - Converted to Date</v>
      </c>
      <c r="E507" s="5">
        <f t="shared" si="57"/>
        <v>2</v>
      </c>
      <c r="F507" s="5">
        <f t="shared" si="58"/>
        <v>2025</v>
      </c>
      <c r="G507" s="3" t="s">
        <v>97</v>
      </c>
      <c r="H507" s="9">
        <f>IFERROR(DATEVALUE(TEXT(G507,"DD/MM/YYYY")), IF(ISNUMBER(G507), G507, ""))</f>
        <v>45711</v>
      </c>
      <c r="I507" s="9" t="str">
        <f>IF(G507="","Missing", IF(AND(ISNUMBER(G507)=FALSE, H507=""),"Invalid - Could Not Parse", IF(AND(ISNUMBER(G507)=FALSE, H507&lt;&gt;""),"Text - Converted to Date", IF(ISNUMBER(G507),"Valid","Check"))))</f>
        <v>Text - Converted to Date</v>
      </c>
      <c r="J507" s="9" t="str">
        <f>IF(OR(C507="", H507=""), "Cannot Check - Date Missing", IF(H507&lt;C507, "Invalid - Ship Before Order", "Valid"))</f>
        <v>Valid</v>
      </c>
      <c r="K507" s="5">
        <f>IF(OR(C507="", H507=""), "", IF(H507&lt;C507, "", H507-C507))</f>
        <v>3</v>
      </c>
      <c r="L507" s="3" t="s">
        <v>1567</v>
      </c>
      <c r="M507" s="3" t="s">
        <v>162</v>
      </c>
      <c r="N507" s="4" t="str">
        <f>TRIM(SUBSTITUTE(M507,"_"," "))</f>
        <v>Aarav Sharma</v>
      </c>
      <c r="O507" s="3" t="s">
        <v>26</v>
      </c>
      <c r="P507" s="6" t="str">
        <f>PROPER(TRIM(SUBSTITUTE(O507,".","")))</f>
        <v>Consumer</v>
      </c>
      <c r="Q507" s="3" t="s">
        <v>27</v>
      </c>
      <c r="R507" s="7" t="str">
        <f>PROPER(TRIM(SUBSTITUTE(Q507,"  "," ")))</f>
        <v>North</v>
      </c>
      <c r="S507" s="3" t="s">
        <v>28</v>
      </c>
      <c r="T507" s="6" t="str">
        <f>PROPER(TRIM(SUBSTITUTE(S507,"  "," ")))</f>
        <v>Rajasthan</v>
      </c>
      <c r="U507" s="3" t="s">
        <v>29</v>
      </c>
      <c r="V507" s="6" t="str">
        <f>PROPER(TRIM(SUBSTITUTE(U507,"  "," ")))</f>
        <v>Jaipur</v>
      </c>
      <c r="W507" s="3" t="s">
        <v>86</v>
      </c>
      <c r="X507" s="6" t="str">
        <f>PROPER(TRIM(SUBSTITUTE(W507,"  "," ")))</f>
        <v>Technology</v>
      </c>
      <c r="Y507" s="3" t="s">
        <v>223</v>
      </c>
      <c r="Z507" s="6" t="str">
        <f>PROPER(TRIM(SUBSTITUTE(Y507,"  "," ")))</f>
        <v>Phones</v>
      </c>
      <c r="AA507" s="3" t="s">
        <v>1568</v>
      </c>
      <c r="AB507" s="3" t="s">
        <v>33</v>
      </c>
      <c r="AC507" s="6" t="str">
        <f>PROPER(TRIM(SUBSTITUTE(AB507,"  "," ")))</f>
        <v>Second Class</v>
      </c>
      <c r="AD507" s="3">
        <v>4</v>
      </c>
      <c r="AE507" s="3">
        <v>3673.11</v>
      </c>
      <c r="AF507" s="3">
        <v>0</v>
      </c>
      <c r="AG507" s="17">
        <v>0</v>
      </c>
      <c r="AH507" s="6" t="str">
        <f t="shared" si="59"/>
        <v>Valid</v>
      </c>
      <c r="AI507" s="3">
        <v>14692.44</v>
      </c>
      <c r="AJ507" s="3">
        <v>10082.19</v>
      </c>
      <c r="AK507" s="3">
        <v>4610.25</v>
      </c>
      <c r="AL507" s="3" t="s">
        <v>34</v>
      </c>
      <c r="AM507" s="6" t="str">
        <f>PROPER(TRIM(SUBSTITUTE(AL507,".","")))</f>
        <v>Paid</v>
      </c>
      <c r="AN507" s="3" t="s">
        <v>35</v>
      </c>
      <c r="AO507" s="8" t="str">
        <f>PROPER(TRIM(SUBSTITUTE(AN507,".","")))</f>
        <v>Completed</v>
      </c>
      <c r="AP507" t="str">
        <f>IF(COUNTIF($A$2:$A$933, A507) &gt; 1, "Duplicate ID", "Unique")</f>
        <v>Unique</v>
      </c>
      <c r="AR507">
        <f t="shared" si="60"/>
        <v>14692.44</v>
      </c>
      <c r="AS507">
        <f t="shared" si="61"/>
        <v>4610.25</v>
      </c>
      <c r="AT507" s="15">
        <f t="shared" si="62"/>
        <v>0.31378382351740075</v>
      </c>
      <c r="AU507" t="str">
        <f t="shared" si="63"/>
        <v>Clean</v>
      </c>
      <c r="AV507" s="8" t="str">
        <f t="shared" si="64"/>
        <v>Active</v>
      </c>
    </row>
    <row r="508" spans="1:48">
      <c r="A508" s="3" t="s">
        <v>1714</v>
      </c>
      <c r="B508" s="3" t="s">
        <v>916</v>
      </c>
      <c r="C508" s="9">
        <f>IFERROR(DATEVALUE(TEXT(B508,"DD/MM/YYYY")), IF(ISNUMBER(B508), B508, ""))</f>
        <v>45708</v>
      </c>
      <c r="D508" s="9" t="str">
        <f>IF(B508="","Missing", IF(AND(ISNUMBER(B508)=FALSE, C508=""),"Invalid - Could Not Parse", IF(AND(ISNUMBER(B508)=FALSE, C508&lt;&gt;""),"Text - Converted to Date", IF(ISNUMBER(B508),"Valid","Check"))))</f>
        <v>Text - Converted to Date</v>
      </c>
      <c r="E508" s="5">
        <f t="shared" si="57"/>
        <v>2</v>
      </c>
      <c r="F508" s="5">
        <f t="shared" si="58"/>
        <v>2025</v>
      </c>
      <c r="G508" s="3" t="s">
        <v>1715</v>
      </c>
      <c r="H508" s="9">
        <f>IFERROR(DATEVALUE(TEXT(G508,"DD/MM/YYYY")), IF(ISNUMBER(G508), G508, ""))</f>
        <v>45710</v>
      </c>
      <c r="I508" s="9" t="str">
        <f>IF(G508="","Missing", IF(AND(ISNUMBER(G508)=FALSE, H508=""),"Invalid - Could Not Parse", IF(AND(ISNUMBER(G508)=FALSE, H508&lt;&gt;""),"Text - Converted to Date", IF(ISNUMBER(G508),"Valid","Check"))))</f>
        <v>Text - Converted to Date</v>
      </c>
      <c r="J508" s="9" t="str">
        <f>IF(OR(C508="", H508=""), "Cannot Check - Date Missing", IF(H508&lt;C508, "Invalid - Ship Before Order", "Valid"))</f>
        <v>Valid</v>
      </c>
      <c r="K508" s="5">
        <f>IF(OR(C508="", H508=""), "", IF(H508&lt;C508, "", H508-C508))</f>
        <v>2</v>
      </c>
      <c r="L508" s="3" t="s">
        <v>1716</v>
      </c>
      <c r="M508" s="3" t="s">
        <v>93</v>
      </c>
      <c r="N508" s="4" t="str">
        <f>TRIM(SUBSTITUTE(M508,"_"," "))</f>
        <v>Neha Gupta</v>
      </c>
      <c r="O508" s="3" t="s">
        <v>108</v>
      </c>
      <c r="P508" s="6" t="str">
        <f>PROPER(TRIM(SUBSTITUTE(O508,".","")))</f>
        <v>Corporate</v>
      </c>
      <c r="Q508" s="3" t="s">
        <v>42</v>
      </c>
      <c r="R508" s="7" t="str">
        <f>PROPER(TRIM(SUBSTITUTE(Q508,"  "," ")))</f>
        <v>East</v>
      </c>
      <c r="S508" s="3" t="s">
        <v>311</v>
      </c>
      <c r="T508" s="6" t="str">
        <f>PROPER(TRIM(SUBSTITUTE(S508,"  "," ")))</f>
        <v>Jharkhand</v>
      </c>
      <c r="U508" s="3" t="s">
        <v>312</v>
      </c>
      <c r="V508" s="6" t="str">
        <f>PROPER(TRIM(SUBSTITUTE(U508,"  "," ")))</f>
        <v>Ranchi</v>
      </c>
      <c r="W508" s="3" t="s">
        <v>45</v>
      </c>
      <c r="X508" s="6" t="str">
        <f>PROPER(TRIM(SUBSTITUTE(W508,"  "," ")))</f>
        <v>Furniture</v>
      </c>
      <c r="Y508" s="3" t="s">
        <v>204</v>
      </c>
      <c r="Z508" s="6" t="str">
        <f>PROPER(TRIM(SUBSTITUTE(Y508,"  "," ")))</f>
        <v>Bookcases</v>
      </c>
      <c r="AA508" s="3" t="s">
        <v>1717</v>
      </c>
      <c r="AB508" s="3" t="s">
        <v>67</v>
      </c>
      <c r="AC508" s="6" t="str">
        <f>PROPER(TRIM(SUBSTITUTE(AB508,"  "," ")))</f>
        <v>Standard Class</v>
      </c>
      <c r="AD508" s="3">
        <v>8</v>
      </c>
      <c r="AE508" s="3">
        <v>3265.76</v>
      </c>
      <c r="AF508" s="3">
        <v>0.2</v>
      </c>
      <c r="AG508" s="17">
        <v>0.2</v>
      </c>
      <c r="AH508" s="6" t="str">
        <f t="shared" si="59"/>
        <v>Valid</v>
      </c>
      <c r="AI508" s="3">
        <v>20900.86</v>
      </c>
      <c r="AJ508" s="3">
        <v>12513.14</v>
      </c>
      <c r="AK508" s="3">
        <v>8387.7199999999993</v>
      </c>
      <c r="AL508" s="3" t="s">
        <v>34</v>
      </c>
      <c r="AM508" s="6" t="str">
        <f>PROPER(TRIM(SUBSTITUTE(AL508,".","")))</f>
        <v>Paid</v>
      </c>
      <c r="AN508" s="3" t="s">
        <v>35</v>
      </c>
      <c r="AO508" s="8" t="str">
        <f>PROPER(TRIM(SUBSTITUTE(AN508,".","")))</f>
        <v>Completed</v>
      </c>
      <c r="AP508" t="str">
        <f>IF(COUNTIF($A$2:$A$933, A508) &gt; 1, "Duplicate ID", "Unique")</f>
        <v>Unique</v>
      </c>
      <c r="AR508">
        <f t="shared" si="60"/>
        <v>20900.864000000001</v>
      </c>
      <c r="AS508">
        <f t="shared" si="61"/>
        <v>8387.724000000002</v>
      </c>
      <c r="AT508" s="15">
        <f t="shared" si="62"/>
        <v>0.40130991714026759</v>
      </c>
      <c r="AU508" t="str">
        <f t="shared" si="63"/>
        <v>Clean</v>
      </c>
      <c r="AV508" s="8" t="str">
        <f t="shared" si="64"/>
        <v>Active</v>
      </c>
    </row>
    <row r="509" spans="1:48">
      <c r="A509" s="3" t="s">
        <v>3430</v>
      </c>
      <c r="B509" s="3" t="s">
        <v>1566</v>
      </c>
      <c r="C509" s="9">
        <f>IFERROR(DATEVALUE(TEXT(B509,"DD/MM/YYYY")), IF(ISNUMBER(B509), B509, ""))</f>
        <v>45708</v>
      </c>
      <c r="D509" s="9" t="str">
        <f>IF(B509="","Missing", IF(AND(ISNUMBER(B509)=FALSE, C509=""),"Invalid - Could Not Parse", IF(AND(ISNUMBER(B509)=FALSE, C509&lt;&gt;""),"Text - Converted to Date", IF(ISNUMBER(B509),"Valid","Check"))))</f>
        <v>Text - Converted to Date</v>
      </c>
      <c r="E509" s="5">
        <f t="shared" si="57"/>
        <v>2</v>
      </c>
      <c r="F509" s="5">
        <f t="shared" si="58"/>
        <v>2025</v>
      </c>
      <c r="G509" s="3" t="s">
        <v>3431</v>
      </c>
      <c r="H509" s="9">
        <f>IFERROR(DATEVALUE(MID(G509,4,2) &amp; "/" &amp; LEFT(G509,2) &amp; "/" &amp; RIGHT(G509,4)), IF(ISNUMBER(G509), G509, IFERROR(DATEVALUE(G509), "")))</f>
        <v>45710</v>
      </c>
      <c r="I509" s="9" t="str">
        <f>IF(G509="","Missing", IF(AND(ISNUMBER(G509)=FALSE, H509=""),"Invalid - Could Not Parse", IF(AND(ISNUMBER(G509)=FALSE, H509&lt;&gt;""),"Text - Converted to Date", IF(ISNUMBER(G509),"Valid","Check"))))</f>
        <v>Text - Converted to Date</v>
      </c>
      <c r="J509" s="9" t="str">
        <f>IF(OR(C509="", H509=""), "Cannot Check - Date Missing", IF(H509&lt;C509, "Invalid - Ship Before Order", "Valid"))</f>
        <v>Valid</v>
      </c>
      <c r="K509" s="5">
        <f>IF(OR(C509="", H509=""), "", IF(H509&lt;C509, "", H509-C509))</f>
        <v>2</v>
      </c>
      <c r="L509" s="3" t="s">
        <v>3432</v>
      </c>
      <c r="M509" s="3" t="s">
        <v>142</v>
      </c>
      <c r="N509" s="4" t="str">
        <f>TRIM(SUBSTITUTE(M509,"_"," "))</f>
        <v>Priya Menon</v>
      </c>
      <c r="O509" s="3" t="s">
        <v>108</v>
      </c>
      <c r="P509" s="6" t="str">
        <f>PROPER(TRIM(SUBSTITUTE(O509,".","")))</f>
        <v>Corporate</v>
      </c>
      <c r="Q509" s="3" t="s">
        <v>62</v>
      </c>
      <c r="R509" s="7" t="str">
        <f>PROPER(TRIM(SUBSTITUTE(Q509,"  "," ")))</f>
        <v>South</v>
      </c>
      <c r="S509" s="3" t="s">
        <v>242</v>
      </c>
      <c r="T509" s="6" t="str">
        <f>PROPER(TRIM(SUBSTITUTE(S509,"  "," ")))</f>
        <v>Kerala</v>
      </c>
      <c r="U509" s="3" t="s">
        <v>243</v>
      </c>
      <c r="V509" s="6" t="str">
        <f>PROPER(TRIM(SUBSTITUTE(U509,"  "," ")))</f>
        <v>Kochi</v>
      </c>
      <c r="W509" s="3" t="s">
        <v>30</v>
      </c>
      <c r="X509" s="6" t="str">
        <f>PROPER(TRIM(SUBSTITUTE(W509,"  "," ")))</f>
        <v>Office Supplies</v>
      </c>
      <c r="Y509" s="3" t="s">
        <v>31</v>
      </c>
      <c r="Z509" s="6" t="str">
        <f>PROPER(TRIM(SUBSTITUTE(Y509,"  "," ")))</f>
        <v>Paper</v>
      </c>
      <c r="AA509" s="3" t="s">
        <v>3433</v>
      </c>
      <c r="AB509" s="3" t="s">
        <v>56</v>
      </c>
      <c r="AC509" s="6" t="str">
        <f>PROPER(TRIM(SUBSTITUTE(AB509,"  "," ")))</f>
        <v>First Class</v>
      </c>
      <c r="AD509" s="3">
        <v>1</v>
      </c>
      <c r="AE509" s="3">
        <v>2188.19</v>
      </c>
      <c r="AF509" s="3">
        <v>0</v>
      </c>
      <c r="AG509" s="17">
        <v>0</v>
      </c>
      <c r="AH509" s="6" t="str">
        <f t="shared" si="59"/>
        <v>Valid</v>
      </c>
      <c r="AI509" s="3">
        <v>2188.19</v>
      </c>
      <c r="AJ509" s="3">
        <v>1298.8399999999999</v>
      </c>
      <c r="AK509" s="3">
        <v>889.35</v>
      </c>
      <c r="AL509" s="3" t="s">
        <v>34</v>
      </c>
      <c r="AM509" s="6" t="str">
        <f>PROPER(TRIM(SUBSTITUTE(AL509,".","")))</f>
        <v>Paid</v>
      </c>
      <c r="AN509" s="3" t="s">
        <v>35</v>
      </c>
      <c r="AO509" s="8" t="str">
        <f>PROPER(TRIM(SUBSTITUTE(AN509,".","")))</f>
        <v>Completed</v>
      </c>
      <c r="AP509" t="str">
        <f>IF(COUNTIF($A$2:$A$933, A509) &gt; 1, "Duplicate ID", "Unique")</f>
        <v>Unique</v>
      </c>
      <c r="AR509">
        <f t="shared" si="60"/>
        <v>2188.19</v>
      </c>
      <c r="AS509">
        <f t="shared" si="61"/>
        <v>889.35000000000014</v>
      </c>
      <c r="AT509" s="15">
        <f t="shared" si="62"/>
        <v>0.40643179979800664</v>
      </c>
      <c r="AU509" t="str">
        <f t="shared" si="63"/>
        <v>Clean</v>
      </c>
      <c r="AV509" s="8" t="str">
        <f t="shared" si="64"/>
        <v>Active</v>
      </c>
    </row>
    <row r="510" spans="1:48">
      <c r="A510" s="3" t="s">
        <v>1774</v>
      </c>
      <c r="B510" s="3" t="s">
        <v>1775</v>
      </c>
      <c r="C510" s="9">
        <f>IFERROR(DATEVALUE(TEXT(B510,"DD/MM/YYYY")), IF(ISNUMBER(B510), B510, ""))</f>
        <v>45709</v>
      </c>
      <c r="D510" s="9" t="str">
        <f>IF(B510="","Missing", IF(AND(ISNUMBER(B510)=FALSE, C510=""),"Invalid - Could Not Parse", IF(AND(ISNUMBER(B510)=FALSE, C510&lt;&gt;""),"Text - Converted to Date", IF(ISNUMBER(B510),"Valid","Check"))))</f>
        <v>Text - Converted to Date</v>
      </c>
      <c r="E510" s="5">
        <f t="shared" si="57"/>
        <v>2</v>
      </c>
      <c r="F510" s="5">
        <f t="shared" si="58"/>
        <v>2025</v>
      </c>
      <c r="G510" s="3" t="s">
        <v>1163</v>
      </c>
      <c r="H510" s="9">
        <f>IFERROR(DATEVALUE(TEXT(G510,"DD/MM/YYYY")), IF(ISNUMBER(G510), G510, ""))</f>
        <v>45715</v>
      </c>
      <c r="I510" s="9" t="str">
        <f>IF(G510="","Missing", IF(AND(ISNUMBER(G510)=FALSE, H510=""),"Invalid - Could Not Parse", IF(AND(ISNUMBER(G510)=FALSE, H510&lt;&gt;""),"Text - Converted to Date", IF(ISNUMBER(G510),"Valid","Check"))))</f>
        <v>Text - Converted to Date</v>
      </c>
      <c r="J510" s="9" t="str">
        <f>IF(OR(C510="", H510=""), "Cannot Check - Date Missing", IF(H510&lt;C510, "Invalid - Ship Before Order", "Valid"))</f>
        <v>Valid</v>
      </c>
      <c r="K510" s="5">
        <f>IF(OR(C510="", H510=""), "", IF(H510&lt;C510, "", H510-C510))</f>
        <v>6</v>
      </c>
      <c r="L510" s="3" t="s">
        <v>1776</v>
      </c>
      <c r="M510" s="3" t="s">
        <v>72</v>
      </c>
      <c r="N510" s="4" t="str">
        <f>TRIM(SUBSTITUTE(M510,"_"," "))</f>
        <v>Ananya Rao</v>
      </c>
      <c r="O510" s="3" t="s">
        <v>26</v>
      </c>
      <c r="P510" s="6" t="str">
        <f>PROPER(TRIM(SUBSTITUTE(O510,".","")))</f>
        <v>Consumer</v>
      </c>
      <c r="Q510" s="3" t="s">
        <v>27</v>
      </c>
      <c r="R510" s="7" t="str">
        <f>PROPER(TRIM(SUBSTITUTE(Q510,"  "," ")))</f>
        <v>North</v>
      </c>
      <c r="S510" s="3" t="s">
        <v>28</v>
      </c>
      <c r="T510" s="6" t="str">
        <f>PROPER(TRIM(SUBSTITUTE(S510,"  "," ")))</f>
        <v>Rajasthan</v>
      </c>
      <c r="U510" s="3" t="s">
        <v>29</v>
      </c>
      <c r="V510" s="6" t="str">
        <f>PROPER(TRIM(SUBSTITUTE(U510,"  "," ")))</f>
        <v>Jaipur</v>
      </c>
      <c r="W510" s="3" t="s">
        <v>30</v>
      </c>
      <c r="X510" s="6" t="str">
        <f>PROPER(TRIM(SUBSTITUTE(W510,"  "," ")))</f>
        <v>Office Supplies</v>
      </c>
      <c r="Y510" s="3" t="s">
        <v>54</v>
      </c>
      <c r="Z510" s="6" t="str">
        <f>PROPER(TRIM(SUBSTITUTE(Y510,"  "," ")))</f>
        <v>Art</v>
      </c>
      <c r="AA510" s="3" t="s">
        <v>1777</v>
      </c>
      <c r="AB510" s="3" t="s">
        <v>48</v>
      </c>
      <c r="AC510" s="6" t="str">
        <f>PROPER(TRIM(SUBSTITUTE(AB510,"  "," ")))</f>
        <v>Same Day</v>
      </c>
      <c r="AD510" s="3">
        <v>9</v>
      </c>
      <c r="AE510" s="3">
        <v>1431.67</v>
      </c>
      <c r="AF510" s="3">
        <v>0.2</v>
      </c>
      <c r="AG510" s="17">
        <v>0.2</v>
      </c>
      <c r="AH510" s="6" t="str">
        <f t="shared" si="59"/>
        <v>Valid</v>
      </c>
      <c r="AI510" s="3">
        <v>10308.02</v>
      </c>
      <c r="AJ510" s="3">
        <v>5822.31</v>
      </c>
      <c r="AK510" s="3">
        <v>4485.71</v>
      </c>
      <c r="AL510" s="3" t="s">
        <v>34</v>
      </c>
      <c r="AM510" s="6" t="str">
        <f>PROPER(TRIM(SUBSTITUTE(AL510,".","")))</f>
        <v>Paid</v>
      </c>
      <c r="AN510" s="3" t="s">
        <v>35</v>
      </c>
      <c r="AO510" s="8" t="str">
        <f>PROPER(TRIM(SUBSTITUTE(AN510,".","")))</f>
        <v>Completed</v>
      </c>
      <c r="AP510" t="str">
        <f>IF(COUNTIF($A$2:$A$933, A510) &gt; 1, "Duplicate ID", "Unique")</f>
        <v>Unique</v>
      </c>
      <c r="AR510">
        <f t="shared" si="60"/>
        <v>10308.024000000001</v>
      </c>
      <c r="AS510">
        <f t="shared" si="61"/>
        <v>4485.7140000000009</v>
      </c>
      <c r="AT510" s="15">
        <f t="shared" si="62"/>
        <v>0.4351672056642476</v>
      </c>
      <c r="AU510" t="str">
        <f t="shared" si="63"/>
        <v>Clean</v>
      </c>
      <c r="AV510" s="8" t="str">
        <f t="shared" si="64"/>
        <v>Active</v>
      </c>
    </row>
    <row r="511" spans="1:48">
      <c r="A511" s="3" t="s">
        <v>3572</v>
      </c>
      <c r="B511" s="3" t="s">
        <v>3573</v>
      </c>
      <c r="C511" s="9">
        <f>IFERROR(DATEVALUE(TEXT(B511,"DD/MM/YYYY")), IF(ISNUMBER(B511), B511, ""))</f>
        <v>45709</v>
      </c>
      <c r="D511" s="9" t="str">
        <f>IF(B511="","Missing", IF(AND(ISNUMBER(B511)=FALSE, C511=""),"Invalid - Could Not Parse", IF(AND(ISNUMBER(B511)=FALSE, C511&lt;&gt;""),"Text - Converted to Date", IF(ISNUMBER(B511),"Valid","Check"))))</f>
        <v>Text - Converted to Date</v>
      </c>
      <c r="E511" s="5">
        <f t="shared" si="57"/>
        <v>2</v>
      </c>
      <c r="F511" s="5">
        <f t="shared" si="58"/>
        <v>2025</v>
      </c>
      <c r="G511" s="3" t="s">
        <v>3574</v>
      </c>
      <c r="H511" s="9">
        <f>IFERROR(DATEVALUE(TEXT(G511,"DD/MM/YYYY")), IF(ISNUMBER(G511), G511, ""))</f>
        <v>45709</v>
      </c>
      <c r="I511" s="9" t="str">
        <f>IF(G511="","Missing", IF(AND(ISNUMBER(G511)=FALSE, H511=""),"Invalid - Could Not Parse", IF(AND(ISNUMBER(G511)=FALSE, H511&lt;&gt;""),"Text - Converted to Date", IF(ISNUMBER(G511),"Valid","Check"))))</f>
        <v>Text - Converted to Date</v>
      </c>
      <c r="J511" s="9" t="str">
        <f>IF(OR(C511="", H511=""), "Cannot Check - Date Missing", IF(H511&lt;C511, "Invalid - Ship Before Order", "Valid"))</f>
        <v>Valid</v>
      </c>
      <c r="K511" s="5">
        <f>IF(OR(C511="", H511=""), "", IF(H511&lt;C511, "", H511-C511))</f>
        <v>0</v>
      </c>
      <c r="L511" s="3" t="s">
        <v>3575</v>
      </c>
      <c r="M511" s="3" t="s">
        <v>25</v>
      </c>
      <c r="N511" s="4" t="str">
        <f>TRIM(SUBSTITUTE(M511,"_"," "))</f>
        <v>Karan Malhotra</v>
      </c>
      <c r="O511" s="3" t="s">
        <v>115</v>
      </c>
      <c r="P511" s="6" t="str">
        <f>PROPER(TRIM(SUBSTITUTE(O511,".","")))</f>
        <v>Home Office</v>
      </c>
      <c r="Q511" s="3" t="s">
        <v>73</v>
      </c>
      <c r="R511" s="7" t="str">
        <f>PROPER(TRIM(SUBSTITUTE(Q511,"  "," ")))</f>
        <v>West</v>
      </c>
      <c r="S511" s="3" t="s">
        <v>235</v>
      </c>
      <c r="T511" s="6" t="str">
        <f>PROPER(TRIM(SUBSTITUTE(S511,"  "," ")))</f>
        <v>Gujarat</v>
      </c>
      <c r="U511" s="3" t="s">
        <v>236</v>
      </c>
      <c r="V511" s="6" t="str">
        <f>PROPER(TRIM(SUBSTITUTE(U511,"  "," ")))</f>
        <v>Ahmedabad</v>
      </c>
      <c r="W511" s="3" t="s">
        <v>86</v>
      </c>
      <c r="X511" s="6" t="str">
        <f>PROPER(TRIM(SUBSTITUTE(W511,"  "," ")))</f>
        <v>Technology</v>
      </c>
      <c r="Y511" s="3" t="s">
        <v>223</v>
      </c>
      <c r="Z511" s="6" t="str">
        <f>PROPER(TRIM(SUBSTITUTE(Y511,"  "," ")))</f>
        <v>Phones</v>
      </c>
      <c r="AA511" s="3" t="s">
        <v>3576</v>
      </c>
      <c r="AB511" s="3"/>
      <c r="AC511" s="11" t="str">
        <f>IF(ISBLANK(AB511), "Unknown", AB511)</f>
        <v>Unknown</v>
      </c>
      <c r="AD511" s="3">
        <v>4</v>
      </c>
      <c r="AE511" s="3">
        <v>2945.07</v>
      </c>
      <c r="AF511" s="3">
        <v>0.2</v>
      </c>
      <c r="AG511" s="17">
        <v>0.2</v>
      </c>
      <c r="AH511" s="6" t="str">
        <f t="shared" si="59"/>
        <v>Valid</v>
      </c>
      <c r="AI511" s="3">
        <v>9424.2199999999993</v>
      </c>
      <c r="AJ511" s="3">
        <v>6178.92</v>
      </c>
      <c r="AK511" s="3">
        <v>3245.3</v>
      </c>
      <c r="AL511" s="3" t="s">
        <v>34</v>
      </c>
      <c r="AM511" s="6" t="str">
        <f>PROPER(TRIM(SUBSTITUTE(AL511,".","")))</f>
        <v>Paid</v>
      </c>
      <c r="AN511" s="3" t="s">
        <v>35</v>
      </c>
      <c r="AO511" s="8" t="str">
        <f>PROPER(TRIM(SUBSTITUTE(AN511,".","")))</f>
        <v>Completed</v>
      </c>
      <c r="AP511" t="str">
        <f>IF(COUNTIF($A$2:$A$933, A511) &gt; 1, "Duplicate ID", "Unique")</f>
        <v>Unique</v>
      </c>
      <c r="AR511">
        <f t="shared" si="60"/>
        <v>9424.2240000000002</v>
      </c>
      <c r="AS511">
        <f t="shared" si="61"/>
        <v>3245.3040000000001</v>
      </c>
      <c r="AT511" s="15">
        <f t="shared" si="62"/>
        <v>0.3443576892909167</v>
      </c>
      <c r="AU511" t="str">
        <f t="shared" si="63"/>
        <v>Clean</v>
      </c>
      <c r="AV511" s="8" t="str">
        <f t="shared" si="64"/>
        <v>Active</v>
      </c>
    </row>
    <row r="512" spans="1:48">
      <c r="A512" s="3" t="s">
        <v>2891</v>
      </c>
      <c r="B512" s="3" t="s">
        <v>2892</v>
      </c>
      <c r="C512" s="9">
        <f>IFERROR(DATEVALUE(TEXT(B512,"DD/MM/YYYY")), IF(ISNUMBER(B512), B512, ""))</f>
        <v>45710</v>
      </c>
      <c r="D512" s="9" t="str">
        <f>IF(B512="","Missing", IF(AND(ISNUMBER(B512)=FALSE, C512=""),"Invalid - Could Not Parse", IF(AND(ISNUMBER(B512)=FALSE, C512&lt;&gt;""),"Text - Converted to Date", IF(ISNUMBER(B512),"Valid","Check"))))</f>
        <v>Text - Converted to Date</v>
      </c>
      <c r="E512" s="5">
        <f t="shared" si="57"/>
        <v>2</v>
      </c>
      <c r="F512" s="5">
        <f t="shared" si="58"/>
        <v>2025</v>
      </c>
      <c r="G512" s="3" t="s">
        <v>2528</v>
      </c>
      <c r="H512" s="9">
        <f>IFERROR(DATEVALUE(MID(G512,4,2) &amp; "/" &amp; LEFT(G512,2) &amp; "/" &amp; RIGHT(G512,4)), IF(ISNUMBER(G512), G512, IFERROR(DATEVALUE(G512), "")))</f>
        <v>45716</v>
      </c>
      <c r="I512" s="9" t="str">
        <f>IF(G512="","Missing", IF(AND(ISNUMBER(G512)=FALSE, H512=""),"Invalid - Could Not Parse", IF(AND(ISNUMBER(G512)=FALSE, H512&lt;&gt;""),"Text - Converted to Date", IF(ISNUMBER(G512),"Valid","Check"))))</f>
        <v>Text - Converted to Date</v>
      </c>
      <c r="J512" s="9" t="str">
        <f>IF(OR(C512="", H512=""), "Cannot Check - Date Missing", IF(H512&lt;C512, "Invalid - Ship Before Order", "Valid"))</f>
        <v>Valid</v>
      </c>
      <c r="K512" s="5">
        <f>IF(OR(C512="", H512=""), "", IF(H512&lt;C512, "", H512-C512))</f>
        <v>6</v>
      </c>
      <c r="L512" s="3" t="s">
        <v>2893</v>
      </c>
      <c r="M512" s="3" t="s">
        <v>148</v>
      </c>
      <c r="N512" s="4" t="str">
        <f>TRIM(SUBSTITUTE(M512,"_"," "))</f>
        <v>Rahul Verma</v>
      </c>
      <c r="O512" s="3" t="s">
        <v>115</v>
      </c>
      <c r="P512" s="6" t="str">
        <f>PROPER(TRIM(SUBSTITUTE(O512,".","")))</f>
        <v>Home Office</v>
      </c>
      <c r="Q512" s="3" t="s">
        <v>73</v>
      </c>
      <c r="R512" s="7" t="str">
        <f>PROPER(TRIM(SUBSTITUTE(Q512,"  "," ")))</f>
        <v>West</v>
      </c>
      <c r="S512" s="3" t="s">
        <v>84</v>
      </c>
      <c r="T512" s="6" t="str">
        <f>PROPER(TRIM(SUBSTITUTE(S512,"  "," ")))</f>
        <v>Madhya Pradesh</v>
      </c>
      <c r="U512" s="3" t="s">
        <v>85</v>
      </c>
      <c r="V512" s="6" t="str">
        <f>PROPER(TRIM(SUBSTITUTE(U512,"  "," ")))</f>
        <v>Indore</v>
      </c>
      <c r="W512" s="3" t="s">
        <v>86</v>
      </c>
      <c r="X512" s="6" t="str">
        <f>PROPER(TRIM(SUBSTITUTE(W512,"  "," ")))</f>
        <v>Technology</v>
      </c>
      <c r="Y512" s="3" t="s">
        <v>94</v>
      </c>
      <c r="Z512" s="6" t="str">
        <f>PROPER(TRIM(SUBSTITUTE(Y512,"  "," ")))</f>
        <v>Copiers</v>
      </c>
      <c r="AA512" s="3" t="s">
        <v>2894</v>
      </c>
      <c r="AB512" s="3" t="s">
        <v>48</v>
      </c>
      <c r="AC512" s="6" t="str">
        <f>PROPER(TRIM(SUBSTITUTE(AB512,"  "," ")))</f>
        <v>Same Day</v>
      </c>
      <c r="AD512" s="3">
        <v>3</v>
      </c>
      <c r="AE512" s="3">
        <v>3890.81</v>
      </c>
      <c r="AF512" s="3">
        <v>0.25</v>
      </c>
      <c r="AG512" s="17">
        <v>0.25</v>
      </c>
      <c r="AH512" s="6" t="str">
        <f t="shared" si="59"/>
        <v>Valid</v>
      </c>
      <c r="AI512" s="3">
        <v>8754.32</v>
      </c>
      <c r="AJ512" s="3">
        <v>6238.9</v>
      </c>
      <c r="AK512" s="3">
        <v>2515.42</v>
      </c>
      <c r="AL512" s="3" t="s">
        <v>34</v>
      </c>
      <c r="AM512" s="6" t="str">
        <f>PROPER(TRIM(SUBSTITUTE(AL512,".","")))</f>
        <v>Paid</v>
      </c>
      <c r="AN512" s="3" t="s">
        <v>35</v>
      </c>
      <c r="AO512" s="8" t="str">
        <f>PROPER(TRIM(SUBSTITUTE(AN512,".","")))</f>
        <v>Completed</v>
      </c>
      <c r="AP512" t="str">
        <f>IF(COUNTIF($A$2:$A$933, A512) &gt; 1, "Duplicate ID", "Unique")</f>
        <v>Unique</v>
      </c>
      <c r="AR512">
        <f t="shared" si="60"/>
        <v>8754.3225000000002</v>
      </c>
      <c r="AS512">
        <f t="shared" si="61"/>
        <v>2515.4225000000006</v>
      </c>
      <c r="AT512" s="15">
        <f t="shared" si="62"/>
        <v>0.28733491369549163</v>
      </c>
      <c r="AU512" t="str">
        <f t="shared" si="63"/>
        <v>Warning</v>
      </c>
      <c r="AV512" s="8" t="str">
        <f t="shared" si="64"/>
        <v>Active</v>
      </c>
    </row>
    <row r="513" spans="1:48">
      <c r="A513" s="3" t="s">
        <v>96</v>
      </c>
      <c r="B513" s="3" t="s">
        <v>97</v>
      </c>
      <c r="C513" s="9">
        <f>IFERROR(DATEVALUE(TEXT(B513,"DD/MM/YYYY")), IF(ISNUMBER(B513), B513, ""))</f>
        <v>45711</v>
      </c>
      <c r="D513" s="9" t="str">
        <f>IF(B513="","Missing", IF(AND(ISNUMBER(B513)=FALSE, C513=""),"Invalid - Could Not Parse", IF(AND(ISNUMBER(B513)=FALSE, C513&lt;&gt;""),"Text - Converted to Date", IF(ISNUMBER(B513),"Valid","Check"))))</f>
        <v>Text - Converted to Date</v>
      </c>
      <c r="E513" s="5">
        <f t="shared" si="57"/>
        <v>2</v>
      </c>
      <c r="F513" s="5">
        <f t="shared" si="58"/>
        <v>2025</v>
      </c>
      <c r="G513" s="3" t="s">
        <v>98</v>
      </c>
      <c r="H513" s="9">
        <f>IFERROR(DATEVALUE(TEXT(G513,"DD/MM/YYYY")), IF(ISNUMBER(G513), G513, ""))</f>
        <v>45714</v>
      </c>
      <c r="I513" s="9" t="str">
        <f>IF(G513="","Missing", IF(AND(ISNUMBER(G513)=FALSE, H513=""),"Invalid - Could Not Parse", IF(AND(ISNUMBER(G513)=FALSE, H513&lt;&gt;""),"Text - Converted to Date", IF(ISNUMBER(G513),"Valid","Check"))))</f>
        <v>Text - Converted to Date</v>
      </c>
      <c r="J513" s="9" t="str">
        <f>IF(OR(C513="", H513=""), "Cannot Check - Date Missing", IF(H513&lt;C513, "Invalid - Ship Before Order", "Valid"))</f>
        <v>Valid</v>
      </c>
      <c r="K513" s="5">
        <f>IF(OR(C513="", H513=""), "", IF(H513&lt;C513, "", H513-C513))</f>
        <v>3</v>
      </c>
      <c r="L513" s="3" t="s">
        <v>99</v>
      </c>
      <c r="M513" s="3" t="s">
        <v>53</v>
      </c>
      <c r="N513" s="4" t="str">
        <f>TRIM(SUBSTITUTE(M513,"_"," "))</f>
        <v>Isha Nair</v>
      </c>
      <c r="O513" s="3" t="s">
        <v>41</v>
      </c>
      <c r="P513" s="6" t="str">
        <f>PROPER(TRIM(SUBSTITUTE(O513,".","")))</f>
        <v>Small Business</v>
      </c>
      <c r="Q513" s="3" t="s">
        <v>62</v>
      </c>
      <c r="R513" s="7" t="str">
        <f>PROPER(TRIM(SUBSTITUTE(Q513,"  "," ")))</f>
        <v>South</v>
      </c>
      <c r="S513" s="3" t="s">
        <v>100</v>
      </c>
      <c r="T513" s="6" t="str">
        <f>PROPER(TRIM(SUBSTITUTE(S513,"  "," ")))</f>
        <v>Andhra Pradesh</v>
      </c>
      <c r="U513" s="3" t="s">
        <v>101</v>
      </c>
      <c r="V513" s="6" t="str">
        <f>PROPER(TRIM(SUBSTITUTE(U513,"  "," ")))</f>
        <v>Vijayawada</v>
      </c>
      <c r="W513" s="3" t="s">
        <v>30</v>
      </c>
      <c r="X513" s="6" t="str">
        <f>PROPER(TRIM(SUBSTITUTE(W513,"  "," ")))</f>
        <v>Office Supplies</v>
      </c>
      <c r="Y513" s="3" t="s">
        <v>54</v>
      </c>
      <c r="Z513" s="6" t="str">
        <f>PROPER(TRIM(SUBSTITUTE(Y513,"  "," ")))</f>
        <v>Art</v>
      </c>
      <c r="AA513" s="3" t="s">
        <v>102</v>
      </c>
      <c r="AB513" s="3" t="s">
        <v>56</v>
      </c>
      <c r="AC513" s="6" t="str">
        <f>PROPER(TRIM(SUBSTITUTE(AB513,"  "," ")))</f>
        <v>First Class</v>
      </c>
      <c r="AD513" s="3">
        <v>1</v>
      </c>
      <c r="AE513" s="3">
        <v>2980.71</v>
      </c>
      <c r="AF513" s="3">
        <v>0</v>
      </c>
      <c r="AG513" s="17">
        <v>0</v>
      </c>
      <c r="AH513" s="6" t="str">
        <f t="shared" si="59"/>
        <v>Valid</v>
      </c>
      <c r="AI513" s="3">
        <v>2980.71</v>
      </c>
      <c r="AJ513" s="3">
        <v>2357.2199999999998</v>
      </c>
      <c r="AK513" s="3">
        <v>623.49</v>
      </c>
      <c r="AL513" s="3" t="s">
        <v>34</v>
      </c>
      <c r="AM513" s="6" t="str">
        <f>PROPER(TRIM(SUBSTITUTE(AL513,".","")))</f>
        <v>Paid</v>
      </c>
      <c r="AN513" s="3" t="s">
        <v>35</v>
      </c>
      <c r="AO513" s="8" t="str">
        <f>PROPER(TRIM(SUBSTITUTE(AN513,".","")))</f>
        <v>Completed</v>
      </c>
      <c r="AP513" t="str">
        <f>IF(COUNTIF($A$2:$A$933, A513) &gt; 1, "Duplicate ID", "Unique")</f>
        <v>Unique</v>
      </c>
      <c r="AR513">
        <f t="shared" si="60"/>
        <v>2980.71</v>
      </c>
      <c r="AS513">
        <f t="shared" si="61"/>
        <v>623.49000000000024</v>
      </c>
      <c r="AT513" s="15">
        <f t="shared" si="62"/>
        <v>0.20917499521925992</v>
      </c>
      <c r="AU513" t="str">
        <f t="shared" si="63"/>
        <v>Clean</v>
      </c>
      <c r="AV513" s="8" t="str">
        <f t="shared" si="64"/>
        <v>Active</v>
      </c>
    </row>
    <row r="514" spans="1:48">
      <c r="A514" s="3" t="s">
        <v>938</v>
      </c>
      <c r="B514" s="3" t="s">
        <v>97</v>
      </c>
      <c r="C514" s="9">
        <f>IFERROR(DATEVALUE(TEXT(B514,"DD/MM/YYYY")), IF(ISNUMBER(B514), B514, ""))</f>
        <v>45711</v>
      </c>
      <c r="D514" s="9" t="str">
        <f>IF(B514="","Missing", IF(AND(ISNUMBER(B514)=FALSE, C514=""),"Invalid - Could Not Parse", IF(AND(ISNUMBER(B514)=FALSE, C514&lt;&gt;""),"Text - Converted to Date", IF(ISNUMBER(B514),"Valid","Check"))))</f>
        <v>Text - Converted to Date</v>
      </c>
      <c r="E514" s="5">
        <f t="shared" si="57"/>
        <v>2</v>
      </c>
      <c r="F514" s="5">
        <f t="shared" si="58"/>
        <v>2025</v>
      </c>
      <c r="G514" s="3" t="s">
        <v>939</v>
      </c>
      <c r="H514" s="9">
        <f>IFERROR(DATEVALUE(MID(G514,4,2) &amp; "/" &amp; LEFT(G514,2) &amp; "/" &amp; RIGHT(G514,4)), IF(ISNUMBER(G514), G514, IFERROR(DATEVALUE(G514), "")))</f>
        <v>45713</v>
      </c>
      <c r="I514" s="9" t="str">
        <f>IF(G514="","Missing", IF(AND(ISNUMBER(G514)=FALSE, H514=""),"Invalid - Could Not Parse", IF(AND(ISNUMBER(G514)=FALSE, H514&lt;&gt;""),"Text - Converted to Date", IF(ISNUMBER(G514),"Valid","Check"))))</f>
        <v>Text - Converted to Date</v>
      </c>
      <c r="J514" s="9" t="str">
        <f>IF(OR(C514="", H514=""), "Cannot Check - Date Missing", IF(H514&lt;C514, "Invalid - Ship Before Order", "Valid"))</f>
        <v>Valid</v>
      </c>
      <c r="K514" s="5">
        <f>IF(OR(C514="", H514=""), "", IF(H514&lt;C514, "", H514-C514))</f>
        <v>2</v>
      </c>
      <c r="L514" s="3" t="s">
        <v>940</v>
      </c>
      <c r="M514" s="3" t="s">
        <v>25</v>
      </c>
      <c r="N514" s="4" t="str">
        <f>TRIM(SUBSTITUTE(M514,"_"," "))</f>
        <v>Karan Malhotra</v>
      </c>
      <c r="O514" s="3" t="s">
        <v>108</v>
      </c>
      <c r="P514" s="6" t="str">
        <f>PROPER(TRIM(SUBSTITUTE(O514,".","")))</f>
        <v>Corporate</v>
      </c>
      <c r="Q514" s="3" t="s">
        <v>42</v>
      </c>
      <c r="R514" s="7" t="str">
        <f>PROPER(TRIM(SUBSTITUTE(Q514,"  "," ")))</f>
        <v>East</v>
      </c>
      <c r="S514" s="3" t="s">
        <v>186</v>
      </c>
      <c r="T514" s="6" t="str">
        <f>PROPER(TRIM(SUBSTITUTE(S514,"  "," ")))</f>
        <v>Bihar</v>
      </c>
      <c r="U514" s="3" t="s">
        <v>187</v>
      </c>
      <c r="V514" s="6" t="str">
        <f>PROPER(TRIM(SUBSTITUTE(U514,"  "," ")))</f>
        <v>Patna</v>
      </c>
      <c r="W514" s="3" t="s">
        <v>30</v>
      </c>
      <c r="X514" s="6" t="str">
        <f>PROPER(TRIM(SUBSTITUTE(W514,"  "," ")))</f>
        <v>Office Supplies</v>
      </c>
      <c r="Y514" s="3" t="s">
        <v>109</v>
      </c>
      <c r="Z514" s="6" t="str">
        <f>PROPER(TRIM(SUBSTITUTE(Y514,"  "," ")))</f>
        <v>Labels</v>
      </c>
      <c r="AA514" s="3" t="s">
        <v>941</v>
      </c>
      <c r="AB514" s="3" t="s">
        <v>48</v>
      </c>
      <c r="AC514" s="6" t="str">
        <f>PROPER(TRIM(SUBSTITUTE(AB514,"  "," ")))</f>
        <v>Same Day</v>
      </c>
      <c r="AD514" s="3">
        <v>5</v>
      </c>
      <c r="AE514" s="3">
        <v>4246.2700000000004</v>
      </c>
      <c r="AF514" s="3">
        <v>0.25</v>
      </c>
      <c r="AG514" s="17">
        <v>0.25</v>
      </c>
      <c r="AH514" s="6" t="str">
        <f t="shared" si="59"/>
        <v>Valid</v>
      </c>
      <c r="AI514" s="3">
        <v>15923.51</v>
      </c>
      <c r="AJ514" s="3">
        <v>11291.8</v>
      </c>
      <c r="AK514" s="3">
        <v>4631.71</v>
      </c>
      <c r="AL514" s="3" t="s">
        <v>34</v>
      </c>
      <c r="AM514" s="6" t="str">
        <f>PROPER(TRIM(SUBSTITUTE(AL514,".","")))</f>
        <v>Paid</v>
      </c>
      <c r="AN514" s="3" t="s">
        <v>35</v>
      </c>
      <c r="AO514" s="8" t="str">
        <f>PROPER(TRIM(SUBSTITUTE(AN514,".","")))</f>
        <v>Completed</v>
      </c>
      <c r="AP514" t="str">
        <f>IF(COUNTIF($A$2:$A$933, A514) &gt; 1, "Duplicate ID", "Unique")</f>
        <v>Unique</v>
      </c>
      <c r="AR514">
        <f t="shared" si="60"/>
        <v>15923.512500000001</v>
      </c>
      <c r="AS514">
        <f t="shared" si="61"/>
        <v>4631.7125000000015</v>
      </c>
      <c r="AT514" s="15">
        <f t="shared" si="62"/>
        <v>0.29087253832971849</v>
      </c>
      <c r="AU514" t="str">
        <f t="shared" si="63"/>
        <v>Clean</v>
      </c>
      <c r="AV514" s="8" t="str">
        <f t="shared" si="64"/>
        <v>Active</v>
      </c>
    </row>
    <row r="515" spans="1:48">
      <c r="A515" s="3" t="s">
        <v>2012</v>
      </c>
      <c r="B515" s="3" t="s">
        <v>2013</v>
      </c>
      <c r="C515" s="9">
        <f>IFERROR(DATEVALUE(TEXT(B515,"DD/MM/YYYY")), IF(ISNUMBER(B515), B515, ""))</f>
        <v>45713</v>
      </c>
      <c r="D515" s="9" t="str">
        <f>IF(B515="","Missing", IF(AND(ISNUMBER(B515)=FALSE, C515=""),"Invalid - Could Not Parse", IF(AND(ISNUMBER(B515)=FALSE, C515&lt;&gt;""),"Text - Converted to Date", IF(ISNUMBER(B515),"Valid","Check"))))</f>
        <v>Text - Converted to Date</v>
      </c>
      <c r="E515" s="5">
        <f t="shared" ref="E515:E578" si="65">IFERROR(MONTH(C515), "")</f>
        <v>2</v>
      </c>
      <c r="F515" s="5">
        <f t="shared" ref="F515:F578" si="66">IFERROR(YEAR(C515), "")</f>
        <v>2025</v>
      </c>
      <c r="G515" s="3" t="s">
        <v>2013</v>
      </c>
      <c r="H515" s="9">
        <f>IFERROR(DATEVALUE(TEXT(G515,"DD/MM/YYYY")), IF(ISNUMBER(G515), G515, ""))</f>
        <v>45713</v>
      </c>
      <c r="I515" s="9" t="str">
        <f>IF(G515="","Missing", IF(AND(ISNUMBER(G515)=FALSE, H515=""),"Invalid - Could Not Parse", IF(AND(ISNUMBER(G515)=FALSE, H515&lt;&gt;""),"Text - Converted to Date", IF(ISNUMBER(G515),"Valid","Check"))))</f>
        <v>Text - Converted to Date</v>
      </c>
      <c r="J515" s="9" t="str">
        <f>IF(OR(C515="", H515=""), "Cannot Check - Date Missing", IF(H515&lt;C515, "Invalid - Ship Before Order", "Valid"))</f>
        <v>Valid</v>
      </c>
      <c r="K515" s="5">
        <f>IF(OR(C515="", H515=""), "", IF(H515&lt;C515, "", H515-C515))</f>
        <v>0</v>
      </c>
      <c r="L515" s="3" t="s">
        <v>2014</v>
      </c>
      <c r="M515" s="3" t="s">
        <v>366</v>
      </c>
      <c r="N515" s="4" t="str">
        <f>TRIM(SUBSTITUTE(M515,"_"," "))</f>
        <v>Kabir Singh</v>
      </c>
      <c r="O515" s="3" t="s">
        <v>41</v>
      </c>
      <c r="P515" s="6" t="str">
        <f>PROPER(TRIM(SUBSTITUTE(O515,".","")))</f>
        <v>Small Business</v>
      </c>
      <c r="Q515" s="3" t="s">
        <v>73</v>
      </c>
      <c r="R515" s="7" t="str">
        <f>PROPER(TRIM(SUBSTITUTE(Q515,"  "," ")))</f>
        <v>West</v>
      </c>
      <c r="S515" s="3" t="s">
        <v>249</v>
      </c>
      <c r="T515" s="6" t="str">
        <f>PROPER(TRIM(SUBSTITUTE(S515,"  "," ")))</f>
        <v>Goa</v>
      </c>
      <c r="U515" s="3" t="s">
        <v>250</v>
      </c>
      <c r="V515" s="6" t="str">
        <f>PROPER(TRIM(SUBSTITUTE(U515,"  "," ")))</f>
        <v>Panaji</v>
      </c>
      <c r="W515" s="3" t="s">
        <v>45</v>
      </c>
      <c r="X515" s="6" t="str">
        <f>PROPER(TRIM(SUBSTITUTE(W515,"  "," ")))</f>
        <v>Furniture</v>
      </c>
      <c r="Y515" s="3" t="s">
        <v>65</v>
      </c>
      <c r="Z515" s="6" t="str">
        <f>PROPER(TRIM(SUBSTITUTE(Y515,"  "," ")))</f>
        <v>Furnishings</v>
      </c>
      <c r="AA515" s="3" t="s">
        <v>2015</v>
      </c>
      <c r="AB515" s="3" t="s">
        <v>67</v>
      </c>
      <c r="AC515" s="6" t="str">
        <f>PROPER(TRIM(SUBSTITUTE(AB515,"  "," ")))</f>
        <v>Standard Class</v>
      </c>
      <c r="AD515" s="3">
        <v>2</v>
      </c>
      <c r="AE515" s="3">
        <v>3924.2</v>
      </c>
      <c r="AF515" s="3">
        <v>0.25</v>
      </c>
      <c r="AG515" s="17">
        <v>0.25</v>
      </c>
      <c r="AH515" s="6" t="str">
        <f t="shared" ref="AH515:AH578" si="67">IF(ISBLANK(AF515), "Missing", IF(AF515 &lt; 0, "Invalid - Negative", IF(AF515 &gt; 0.5, "Invalid - Above Range", "Valid")))</f>
        <v>Valid</v>
      </c>
      <c r="AI515" s="3">
        <v>5886.3</v>
      </c>
      <c r="AJ515" s="3">
        <v>3621.76</v>
      </c>
      <c r="AK515" s="3">
        <v>2264.54</v>
      </c>
      <c r="AL515" s="3" t="s">
        <v>137</v>
      </c>
      <c r="AM515" s="6" t="str">
        <f>PROPER(TRIM(SUBSTITUTE(AL515,".","")))</f>
        <v>Pending</v>
      </c>
      <c r="AN515" s="3" t="s">
        <v>125</v>
      </c>
      <c r="AO515" s="8" t="str">
        <f>PROPER(TRIM(SUBSTITUTE(AN515,".","")))</f>
        <v>Returned</v>
      </c>
      <c r="AP515" t="str">
        <f>IF(COUNTIF($A$2:$A$933, A515) &gt; 1, "Duplicate ID", "Unique")</f>
        <v>Unique</v>
      </c>
      <c r="AR515">
        <f t="shared" ref="AR515:AR578" si="68">AD515 * AE515 * (1 - AG515)</f>
        <v>5886.2999999999993</v>
      </c>
      <c r="AS515">
        <f t="shared" ref="AS515:AS578" si="69">AR515-AJ515</f>
        <v>2264.5399999999991</v>
      </c>
      <c r="AT515" s="15">
        <f t="shared" ref="AT515:AT578" si="70">IFERROR(AS515 / AR515, "")</f>
        <v>0.38471365713606159</v>
      </c>
      <c r="AU515" t="str">
        <f t="shared" ref="AU515:AU578" si="71">IF(OR(AH515="Invalid - Negative",AH515="Invalid - Above Range", J515="Invalid - Ship Before Order", AQ515="Conflicting Duplicate - Flagged"), "Invalid", IF(OR(R514="Unknown", AC514="Unknown", AH515="Missing"), "Warning", "Clean"))</f>
        <v>Clean</v>
      </c>
      <c r="AV515" s="8" t="str">
        <f t="shared" ref="AV515:AV578" si="72">IF(AM515 = "Refunded", "Refund", IF(AO515 = "Cancelled", "Cancelled", "Active"))</f>
        <v>Active</v>
      </c>
    </row>
    <row r="516" spans="1:48">
      <c r="A516" s="3" t="s">
        <v>1161</v>
      </c>
      <c r="B516" s="3" t="s">
        <v>1162</v>
      </c>
      <c r="C516" s="9">
        <f>IFERROR(DATEVALUE(TEXT(B516,"DD/MM/YYYY")), IF(ISNUMBER(B516), B516, ""))</f>
        <v>45714</v>
      </c>
      <c r="D516" s="9" t="str">
        <f>IF(B516="","Missing", IF(AND(ISNUMBER(B516)=FALSE, C516=""),"Invalid - Could Not Parse", IF(AND(ISNUMBER(B516)=FALSE, C516&lt;&gt;""),"Text - Converted to Date", IF(ISNUMBER(B516),"Valid","Check"))))</f>
        <v>Text - Converted to Date</v>
      </c>
      <c r="E516" s="5">
        <f t="shared" si="65"/>
        <v>2</v>
      </c>
      <c r="F516" s="5">
        <f t="shared" si="66"/>
        <v>2025</v>
      </c>
      <c r="G516" s="3" t="s">
        <v>1163</v>
      </c>
      <c r="H516" s="9">
        <f>IFERROR(DATEVALUE(TEXT(G516,"DD/MM/YYYY")), IF(ISNUMBER(G516), G516, ""))</f>
        <v>45715</v>
      </c>
      <c r="I516" s="9" t="str">
        <f>IF(G516="","Missing", IF(AND(ISNUMBER(G516)=FALSE, H516=""),"Invalid - Could Not Parse", IF(AND(ISNUMBER(G516)=FALSE, H516&lt;&gt;""),"Text - Converted to Date", IF(ISNUMBER(G516),"Valid","Check"))))</f>
        <v>Text - Converted to Date</v>
      </c>
      <c r="J516" s="9" t="str">
        <f>IF(OR(C516="", H516=""), "Cannot Check - Date Missing", IF(H516&lt;C516, "Invalid - Ship Before Order", "Valid"))</f>
        <v>Valid</v>
      </c>
      <c r="K516" s="5">
        <f>IF(OR(C516="", H516=""), "", IF(H516&lt;C516, "", H516-C516))</f>
        <v>1</v>
      </c>
      <c r="L516" s="3" t="s">
        <v>1164</v>
      </c>
      <c r="M516" s="3" t="s">
        <v>142</v>
      </c>
      <c r="N516" s="4" t="str">
        <f>TRIM(SUBSTITUTE(M516,"_"," "))</f>
        <v>Priya Menon</v>
      </c>
      <c r="O516" s="3" t="s">
        <v>108</v>
      </c>
      <c r="P516" s="6" t="str">
        <f>PROPER(TRIM(SUBSTITUTE(O516,".","")))</f>
        <v>Corporate</v>
      </c>
      <c r="Q516" s="3" t="s">
        <v>73</v>
      </c>
      <c r="R516" s="7" t="str">
        <f>PROPER(TRIM(SUBSTITUTE(Q516,"  "," ")))</f>
        <v>West</v>
      </c>
      <c r="S516" s="3" t="s">
        <v>235</v>
      </c>
      <c r="T516" s="6" t="str">
        <f>PROPER(TRIM(SUBSTITUTE(S516,"  "," ")))</f>
        <v>Gujarat</v>
      </c>
      <c r="U516" s="3" t="s">
        <v>236</v>
      </c>
      <c r="V516" s="6" t="str">
        <f>PROPER(TRIM(SUBSTITUTE(U516,"  "," ")))</f>
        <v>Ahmedabad</v>
      </c>
      <c r="W516" s="3" t="s">
        <v>45</v>
      </c>
      <c r="X516" s="6" t="str">
        <f>PROPER(TRIM(SUBSTITUTE(W516,"  "," ")))</f>
        <v>Furniture</v>
      </c>
      <c r="Y516" s="3" t="s">
        <v>204</v>
      </c>
      <c r="Z516" s="6" t="str">
        <f>PROPER(TRIM(SUBSTITUTE(Y516,"  "," ")))</f>
        <v>Bookcases</v>
      </c>
      <c r="AA516" s="3" t="s">
        <v>1165</v>
      </c>
      <c r="AB516" s="3" t="s">
        <v>67</v>
      </c>
      <c r="AC516" s="6" t="str">
        <f>PROPER(TRIM(SUBSTITUTE(AB516,"  "," ")))</f>
        <v>Standard Class</v>
      </c>
      <c r="AD516" s="3">
        <v>5</v>
      </c>
      <c r="AE516" s="3">
        <v>258.27999999999997</v>
      </c>
      <c r="AF516" s="3">
        <v>0</v>
      </c>
      <c r="AG516" s="17">
        <v>0</v>
      </c>
      <c r="AH516" s="6" t="str">
        <f t="shared" si="67"/>
        <v>Valid</v>
      </c>
      <c r="AI516" s="3">
        <v>1291.4000000000001</v>
      </c>
      <c r="AJ516" s="3">
        <v>756.93</v>
      </c>
      <c r="AK516" s="3">
        <v>534.47</v>
      </c>
      <c r="AL516" s="3" t="s">
        <v>34</v>
      </c>
      <c r="AM516" s="6" t="str">
        <f>PROPER(TRIM(SUBSTITUTE(AL516,".","")))</f>
        <v>Paid</v>
      </c>
      <c r="AN516" s="3" t="s">
        <v>35</v>
      </c>
      <c r="AO516" s="8" t="str">
        <f>PROPER(TRIM(SUBSTITUTE(AN516,".","")))</f>
        <v>Completed</v>
      </c>
      <c r="AP516" t="str">
        <f>IF(COUNTIF($A$2:$A$933, A516) &gt; 1, "Duplicate ID", "Unique")</f>
        <v>Unique</v>
      </c>
      <c r="AR516">
        <f t="shared" si="68"/>
        <v>1291.3999999999999</v>
      </c>
      <c r="AS516">
        <f t="shared" si="69"/>
        <v>534.46999999999991</v>
      </c>
      <c r="AT516" s="15">
        <f t="shared" si="70"/>
        <v>0.41386866966083319</v>
      </c>
      <c r="AU516" t="str">
        <f t="shared" si="71"/>
        <v>Clean</v>
      </c>
      <c r="AV516" s="8" t="str">
        <f t="shared" si="72"/>
        <v>Active</v>
      </c>
    </row>
    <row r="517" spans="1:48">
      <c r="A517" s="3" t="s">
        <v>3233</v>
      </c>
      <c r="B517" s="3" t="s">
        <v>1162</v>
      </c>
      <c r="C517" s="9">
        <f>IFERROR(DATEVALUE(TEXT(B517,"DD/MM/YYYY")), IF(ISNUMBER(B517), B517, ""))</f>
        <v>45714</v>
      </c>
      <c r="D517" s="9" t="str">
        <f>IF(B517="","Missing", IF(AND(ISNUMBER(B517)=FALSE, C517=""),"Invalid - Could Not Parse", IF(AND(ISNUMBER(B517)=FALSE, C517&lt;&gt;""),"Text - Converted to Date", IF(ISNUMBER(B517),"Valid","Check"))))</f>
        <v>Text - Converted to Date</v>
      </c>
      <c r="E517" s="5">
        <f t="shared" si="65"/>
        <v>2</v>
      </c>
      <c r="F517" s="5">
        <f t="shared" si="66"/>
        <v>2025</v>
      </c>
      <c r="G517" s="3" t="s">
        <v>3234</v>
      </c>
      <c r="H517" s="9">
        <f>IFERROR(DATEVALUE(TEXT(G517,"DD/MM/YYYY")), IF(ISNUMBER(G517), G517, ""))</f>
        <v>45715</v>
      </c>
      <c r="I517" s="9" t="str">
        <f>IF(G517="","Missing", IF(AND(ISNUMBER(G517)=FALSE, H517=""),"Invalid - Could Not Parse", IF(AND(ISNUMBER(G517)=FALSE, H517&lt;&gt;""),"Text - Converted to Date", IF(ISNUMBER(G517),"Valid","Check"))))</f>
        <v>Text - Converted to Date</v>
      </c>
      <c r="J517" s="9" t="str">
        <f>IF(OR(C517="", H517=""), "Cannot Check - Date Missing", IF(H517&lt;C517, "Invalid - Ship Before Order", "Valid"))</f>
        <v>Valid</v>
      </c>
      <c r="K517" s="5">
        <f>IF(OR(C517="", H517=""), "", IF(H517&lt;C517, "", H517-C517))</f>
        <v>1</v>
      </c>
      <c r="L517" s="3" t="s">
        <v>3235</v>
      </c>
      <c r="M517" s="3" t="s">
        <v>93</v>
      </c>
      <c r="N517" s="4" t="str">
        <f>TRIM(SUBSTITUTE(M517,"_"," "))</f>
        <v>Neha Gupta</v>
      </c>
      <c r="O517" s="3" t="s">
        <v>115</v>
      </c>
      <c r="P517" s="6" t="str">
        <f>PROPER(TRIM(SUBSTITUTE(O517,".","")))</f>
        <v>Home Office</v>
      </c>
      <c r="Q517" s="3" t="s">
        <v>27</v>
      </c>
      <c r="R517" s="7" t="str">
        <f>PROPER(TRIM(SUBSTITUTE(Q517,"  "," ")))</f>
        <v>North</v>
      </c>
      <c r="S517" s="3" t="s">
        <v>323</v>
      </c>
      <c r="T517" s="6" t="str">
        <f>PROPER(TRIM(SUBSTITUTE(S517,"  "," ")))</f>
        <v>Haryana</v>
      </c>
      <c r="U517" s="3" t="s">
        <v>324</v>
      </c>
      <c r="V517" s="6" t="str">
        <f>PROPER(TRIM(SUBSTITUTE(U517,"  "," ")))</f>
        <v>Gurugram</v>
      </c>
      <c r="W517" s="3" t="s">
        <v>30</v>
      </c>
      <c r="X517" s="6" t="str">
        <f>PROPER(TRIM(SUBSTITUTE(W517,"  "," ")))</f>
        <v>Office Supplies</v>
      </c>
      <c r="Y517" s="3" t="s">
        <v>54</v>
      </c>
      <c r="Z517" s="6" t="str">
        <f>PROPER(TRIM(SUBSTITUTE(Y517,"  "," ")))</f>
        <v>Art</v>
      </c>
      <c r="AA517" s="3" t="s">
        <v>3236</v>
      </c>
      <c r="AB517" s="3" t="s">
        <v>33</v>
      </c>
      <c r="AC517" s="6" t="str">
        <f>PROPER(TRIM(SUBSTITUTE(AB517,"  "," ")))</f>
        <v>Second Class</v>
      </c>
      <c r="AD517" s="3">
        <v>6</v>
      </c>
      <c r="AE517" s="3">
        <v>3037.66</v>
      </c>
      <c r="AF517" s="3">
        <v>0.15</v>
      </c>
      <c r="AG517" s="17">
        <v>0.15</v>
      </c>
      <c r="AH517" s="6" t="str">
        <f t="shared" si="67"/>
        <v>Valid</v>
      </c>
      <c r="AI517" s="3">
        <v>15492.07</v>
      </c>
      <c r="AJ517" s="3">
        <v>12581.23</v>
      </c>
      <c r="AK517" s="3">
        <v>2910.84</v>
      </c>
      <c r="AL517" s="3" t="s">
        <v>34</v>
      </c>
      <c r="AM517" s="6" t="str">
        <f>PROPER(TRIM(SUBSTITUTE(AL517,".","")))</f>
        <v>Paid</v>
      </c>
      <c r="AN517" s="3" t="s">
        <v>35</v>
      </c>
      <c r="AO517" s="8" t="str">
        <f>PROPER(TRIM(SUBSTITUTE(AN517,".","")))</f>
        <v>Completed</v>
      </c>
      <c r="AP517" t="str">
        <f>IF(COUNTIF($A$2:$A$933, A517) &gt; 1, "Duplicate ID", "Unique")</f>
        <v>Unique</v>
      </c>
      <c r="AR517">
        <f t="shared" si="68"/>
        <v>15492.065999999999</v>
      </c>
      <c r="AS517">
        <f t="shared" si="69"/>
        <v>2910.8359999999993</v>
      </c>
      <c r="AT517" s="15">
        <f t="shared" si="70"/>
        <v>0.18789204745190213</v>
      </c>
      <c r="AU517" t="str">
        <f t="shared" si="71"/>
        <v>Clean</v>
      </c>
      <c r="AV517" s="8" t="str">
        <f t="shared" si="72"/>
        <v>Active</v>
      </c>
    </row>
    <row r="518" spans="1:48">
      <c r="A518" s="3" t="s">
        <v>472</v>
      </c>
      <c r="B518" s="3" t="s">
        <v>473</v>
      </c>
      <c r="C518" s="9">
        <v>45715</v>
      </c>
      <c r="D518" s="9" t="str">
        <f>IF(B518="","Missing", IF(AND(ISNUMBER(B518)=FALSE, C518=""),"Invalid - Could Not Parse", IF(AND(ISNUMBER(B518)=FALSE, C518&lt;&gt;""),"Text - Converted to Date", IF(ISNUMBER(B518),"Valid","Check"))))</f>
        <v>Text - Converted to Date</v>
      </c>
      <c r="E518" s="5">
        <f t="shared" si="65"/>
        <v>2</v>
      </c>
      <c r="F518" s="5">
        <f t="shared" si="66"/>
        <v>2025</v>
      </c>
      <c r="G518" s="3" t="s">
        <v>474</v>
      </c>
      <c r="H518" s="9">
        <f>IFERROR(DATEVALUE(TEXT(G518,"DD/MM/YYYY")), IF(ISNUMBER(G518), G518, ""))</f>
        <v>45717</v>
      </c>
      <c r="I518" s="9" t="str">
        <f>IF(G518="","Missing", IF(AND(ISNUMBER(G518)=FALSE, H518=""),"Invalid - Could Not Parse", IF(AND(ISNUMBER(G518)=FALSE, H518&lt;&gt;""),"Text - Converted to Date", IF(ISNUMBER(G518),"Valid","Check"))))</f>
        <v>Text - Converted to Date</v>
      </c>
      <c r="J518" s="9" t="str">
        <f>IF(OR(C518="", H518=""), "Cannot Check - Date Missing", IF(H518&lt;C518, "Invalid - Ship Before Order", "Valid"))</f>
        <v>Valid</v>
      </c>
      <c r="K518" s="5">
        <f>IF(OR(C518="", H518=""), "", IF(H518&lt;C518, "", H518-C518))</f>
        <v>2</v>
      </c>
      <c r="L518" s="3" t="s">
        <v>475</v>
      </c>
      <c r="M518" s="3" t="s">
        <v>83</v>
      </c>
      <c r="N518" s="4" t="str">
        <f>TRIM(SUBSTITUTE(M518,"_"," "))</f>
        <v>Vikram Iyer</v>
      </c>
      <c r="O518" s="3" t="s">
        <v>41</v>
      </c>
      <c r="P518" s="6" t="str">
        <f>PROPER(TRIM(SUBSTITUTE(O518,".","")))</f>
        <v>Small Business</v>
      </c>
      <c r="Q518" s="3" t="s">
        <v>42</v>
      </c>
      <c r="R518" s="7" t="str">
        <f>PROPER(TRIM(SUBSTITUTE(Q518,"  "," ")))</f>
        <v>East</v>
      </c>
      <c r="S518" s="3" t="s">
        <v>121</v>
      </c>
      <c r="T518" s="6" t="str">
        <f>PROPER(TRIM(SUBSTITUTE(S518,"  "," ")))</f>
        <v>West Bengal</v>
      </c>
      <c r="U518" s="3" t="s">
        <v>122</v>
      </c>
      <c r="V518" s="6" t="str">
        <f>PROPER(TRIM(SUBSTITUTE(U518,"  "," ")))</f>
        <v>Kolkata</v>
      </c>
      <c r="W518" s="3" t="s">
        <v>45</v>
      </c>
      <c r="X518" s="6" t="str">
        <f>PROPER(TRIM(SUBSTITUTE(W518,"  "," ")))</f>
        <v>Furniture</v>
      </c>
      <c r="Y518" s="3" t="s">
        <v>76</v>
      </c>
      <c r="Z518" s="6" t="str">
        <f>PROPER(TRIM(SUBSTITUTE(Y518,"  "," ")))</f>
        <v>Chairs</v>
      </c>
      <c r="AA518" s="3" t="s">
        <v>476</v>
      </c>
      <c r="AB518" s="3" t="s">
        <v>67</v>
      </c>
      <c r="AC518" s="6" t="str">
        <f>PROPER(TRIM(SUBSTITUTE(AB518,"  "," ")))</f>
        <v>Standard Class</v>
      </c>
      <c r="AD518" s="3">
        <v>6</v>
      </c>
      <c r="AE518" s="3">
        <v>551.64</v>
      </c>
      <c r="AF518" s="3">
        <v>0</v>
      </c>
      <c r="AG518" s="17">
        <v>0</v>
      </c>
      <c r="AH518" s="6" t="str">
        <f t="shared" si="67"/>
        <v>Valid</v>
      </c>
      <c r="AI518" s="3">
        <v>3309.84</v>
      </c>
      <c r="AJ518" s="3">
        <v>2671.08</v>
      </c>
      <c r="AK518" s="3">
        <v>638.76</v>
      </c>
      <c r="AL518" s="3" t="s">
        <v>34</v>
      </c>
      <c r="AM518" s="6" t="str">
        <f>PROPER(TRIM(SUBSTITUTE(AL518,".","")))</f>
        <v>Paid</v>
      </c>
      <c r="AN518" s="3" t="s">
        <v>35</v>
      </c>
      <c r="AO518" s="8" t="str">
        <f>PROPER(TRIM(SUBSTITUTE(AN518,".","")))</f>
        <v>Completed</v>
      </c>
      <c r="AP518" t="str">
        <f>IF(COUNTIF($A$2:$A$933, A518) &gt; 1, "Duplicate ID", "Unique")</f>
        <v>Unique</v>
      </c>
      <c r="AR518">
        <f t="shared" si="68"/>
        <v>3309.84</v>
      </c>
      <c r="AS518">
        <f t="shared" si="69"/>
        <v>638.76000000000022</v>
      </c>
      <c r="AT518" s="15">
        <f t="shared" si="70"/>
        <v>0.19298818069755644</v>
      </c>
      <c r="AU518" t="str">
        <f t="shared" si="71"/>
        <v>Clean</v>
      </c>
      <c r="AV518" s="8" t="str">
        <f t="shared" si="72"/>
        <v>Active</v>
      </c>
    </row>
    <row r="519" spans="1:48">
      <c r="A519" s="3" t="s">
        <v>1865</v>
      </c>
      <c r="B519" s="3" t="s">
        <v>1866</v>
      </c>
      <c r="C519" s="9">
        <f>IFERROR(DATEVALUE(TEXT(B519,"DD/MM/YYYY")), IF(ISNUMBER(B519), B519, ""))</f>
        <v>45715</v>
      </c>
      <c r="D519" s="9" t="str">
        <f>IF(B519="","Missing", IF(AND(ISNUMBER(B519)=FALSE, C519=""),"Invalid - Could Not Parse", IF(AND(ISNUMBER(B519)=FALSE, C519&lt;&gt;""),"Text - Converted to Date", IF(ISNUMBER(B519),"Valid","Check"))))</f>
        <v>Text - Converted to Date</v>
      </c>
      <c r="E519" s="5">
        <f t="shared" si="65"/>
        <v>2</v>
      </c>
      <c r="F519" s="5">
        <f t="shared" si="66"/>
        <v>2025</v>
      </c>
      <c r="G519" s="3" t="s">
        <v>1867</v>
      </c>
      <c r="H519" s="9">
        <f>IFERROR(DATEVALUE(TEXT(G519,"DD/MM/YYYY")), IF(ISNUMBER(G519), G519, ""))</f>
        <v>45716</v>
      </c>
      <c r="I519" s="9" t="str">
        <f>IF(G519="","Missing", IF(AND(ISNUMBER(G519)=FALSE, H519=""),"Invalid - Could Not Parse", IF(AND(ISNUMBER(G519)=FALSE, H519&lt;&gt;""),"Text - Converted to Date", IF(ISNUMBER(G519),"Valid","Check"))))</f>
        <v>Text - Converted to Date</v>
      </c>
      <c r="J519" s="9" t="str">
        <f>IF(OR(C519="", H519=""), "Cannot Check - Date Missing", IF(H519&lt;C519, "Invalid - Ship Before Order", "Valid"))</f>
        <v>Valid</v>
      </c>
      <c r="K519" s="5">
        <f>IF(OR(C519="", H519=""), "", IF(H519&lt;C519, "", H519-C519))</f>
        <v>1</v>
      </c>
      <c r="L519" s="3" t="s">
        <v>1868</v>
      </c>
      <c r="M519" s="3" t="s">
        <v>107</v>
      </c>
      <c r="N519" s="4" t="str">
        <f>TRIM(SUBSTITUTE(M519,"_"," "))</f>
        <v>Aditi Sen</v>
      </c>
      <c r="O519" s="3" t="s">
        <v>41</v>
      </c>
      <c r="P519" s="6" t="str">
        <f>PROPER(TRIM(SUBSTITUTE(O519,".","")))</f>
        <v>Small Business</v>
      </c>
      <c r="Q519" s="3" t="s">
        <v>27</v>
      </c>
      <c r="R519" s="7" t="str">
        <f>PROPER(TRIM(SUBSTITUTE(Q519,"  "," ")))</f>
        <v>North</v>
      </c>
      <c r="S519" s="3" t="s">
        <v>174</v>
      </c>
      <c r="T519" s="6" t="str">
        <f>PROPER(TRIM(SUBSTITUTE(S519,"  "," ")))</f>
        <v>Uttar Pradesh</v>
      </c>
      <c r="U519" s="3" t="s">
        <v>175</v>
      </c>
      <c r="V519" s="6" t="str">
        <f>PROPER(TRIM(SUBSTITUTE(U519,"  "," ")))</f>
        <v>Noida</v>
      </c>
      <c r="W519" s="3" t="s">
        <v>30</v>
      </c>
      <c r="X519" s="6" t="str">
        <f>PROPER(TRIM(SUBSTITUTE(W519,"  "," ")))</f>
        <v>Office Supplies</v>
      </c>
      <c r="Y519" s="3" t="s">
        <v>109</v>
      </c>
      <c r="Z519" s="6" t="str">
        <f>PROPER(TRIM(SUBSTITUTE(Y519,"  "," ")))</f>
        <v>Labels</v>
      </c>
      <c r="AA519" s="3" t="s">
        <v>1869</v>
      </c>
      <c r="AB519" s="3" t="s">
        <v>67</v>
      </c>
      <c r="AC519" s="6" t="str">
        <f>PROPER(TRIM(SUBSTITUTE(AB519,"  "," ")))</f>
        <v>Standard Class</v>
      </c>
      <c r="AD519" s="3">
        <v>6</v>
      </c>
      <c r="AE519" s="3">
        <v>2393.25</v>
      </c>
      <c r="AF519" s="3">
        <v>0</v>
      </c>
      <c r="AG519" s="17">
        <v>0</v>
      </c>
      <c r="AH519" s="6" t="str">
        <f t="shared" si="67"/>
        <v>Valid</v>
      </c>
      <c r="AI519" s="3">
        <v>14359.5</v>
      </c>
      <c r="AJ519" s="3">
        <v>8117.71</v>
      </c>
      <c r="AK519" s="3">
        <v>6241.79</v>
      </c>
      <c r="AL519" s="3" t="s">
        <v>34</v>
      </c>
      <c r="AM519" s="6" t="str">
        <f>PROPER(TRIM(SUBSTITUTE(AL519,".","")))</f>
        <v>Paid</v>
      </c>
      <c r="AN519" s="3" t="s">
        <v>35</v>
      </c>
      <c r="AO519" s="8" t="str">
        <f>PROPER(TRIM(SUBSTITUTE(AN519,".","")))</f>
        <v>Completed</v>
      </c>
      <c r="AP519" t="str">
        <f>IF(COUNTIF($A$2:$A$933, A519) &gt; 1, "Duplicate ID", "Unique")</f>
        <v>Unique</v>
      </c>
      <c r="AR519">
        <f t="shared" si="68"/>
        <v>14359.5</v>
      </c>
      <c r="AS519">
        <f t="shared" si="69"/>
        <v>6241.79</v>
      </c>
      <c r="AT519" s="15">
        <f t="shared" si="70"/>
        <v>0.43468017688638183</v>
      </c>
      <c r="AU519" t="str">
        <f t="shared" si="71"/>
        <v>Clean</v>
      </c>
      <c r="AV519" s="8" t="str">
        <f t="shared" si="72"/>
        <v>Active</v>
      </c>
    </row>
    <row r="520" spans="1:48">
      <c r="A520" s="3" t="s">
        <v>1500</v>
      </c>
      <c r="B520" s="3" t="s">
        <v>1501</v>
      </c>
      <c r="C520" s="9">
        <f>IFERROR(DATEVALUE(TEXT(B520,"DD/MM/YYYY")), IF(ISNUMBER(B520), B520, ""))</f>
        <v>45716</v>
      </c>
      <c r="D520" s="9" t="str">
        <f>IF(B520="","Missing", IF(AND(ISNUMBER(B520)=FALSE, C520=""),"Invalid - Could Not Parse", IF(AND(ISNUMBER(B520)=FALSE, C520&lt;&gt;""),"Text - Converted to Date", IF(ISNUMBER(B520),"Valid","Check"))))</f>
        <v>Text - Converted to Date</v>
      </c>
      <c r="E520" s="5">
        <f t="shared" si="65"/>
        <v>2</v>
      </c>
      <c r="F520" s="5">
        <f t="shared" si="66"/>
        <v>2025</v>
      </c>
      <c r="G520" s="3" t="s">
        <v>1502</v>
      </c>
      <c r="H520" s="9">
        <f>IFERROR(DATEVALUE(TEXT(G520,"DD/MM/YYYY")), IF(ISNUMBER(G520), G520, ""))</f>
        <v>45719</v>
      </c>
      <c r="I520" s="9" t="str">
        <f>IF(G520="","Missing", IF(AND(ISNUMBER(G520)=FALSE, H520=""),"Invalid - Could Not Parse", IF(AND(ISNUMBER(G520)=FALSE, H520&lt;&gt;""),"Text - Converted to Date", IF(ISNUMBER(G520),"Valid","Check"))))</f>
        <v>Text - Converted to Date</v>
      </c>
      <c r="J520" s="9" t="str">
        <f>IF(OR(C520="", H520=""), "Cannot Check - Date Missing", IF(H520&lt;C520, "Invalid - Ship Before Order", "Valid"))</f>
        <v>Valid</v>
      </c>
      <c r="K520" s="5">
        <f>IF(OR(C520="", H520=""), "", IF(H520&lt;C520, "", H520-C520))</f>
        <v>3</v>
      </c>
      <c r="L520" s="3" t="s">
        <v>1503</v>
      </c>
      <c r="M520" s="3" t="s">
        <v>366</v>
      </c>
      <c r="N520" s="4" t="str">
        <f>TRIM(SUBSTITUTE(M520,"_"," "))</f>
        <v>Kabir Singh</v>
      </c>
      <c r="O520" s="3" t="s">
        <v>115</v>
      </c>
      <c r="P520" s="6" t="str">
        <f>PROPER(TRIM(SUBSTITUTE(O520,".","")))</f>
        <v>Home Office</v>
      </c>
      <c r="Q520" s="3" t="s">
        <v>27</v>
      </c>
      <c r="R520" s="7" t="str">
        <f>PROPER(TRIM(SUBSTITUTE(Q520,"  "," ")))</f>
        <v>North</v>
      </c>
      <c r="S520" s="3" t="s">
        <v>323</v>
      </c>
      <c r="T520" s="6" t="str">
        <f>PROPER(TRIM(SUBSTITUTE(S520,"  "," ")))</f>
        <v>Haryana</v>
      </c>
      <c r="U520" s="3" t="s">
        <v>324</v>
      </c>
      <c r="V520" s="6" t="str">
        <f>PROPER(TRIM(SUBSTITUTE(U520,"  "," ")))</f>
        <v>Gurugram</v>
      </c>
      <c r="W520" s="3" t="s">
        <v>30</v>
      </c>
      <c r="X520" s="6" t="str">
        <f>PROPER(TRIM(SUBSTITUTE(W520,"  "," ")))</f>
        <v>Office Supplies</v>
      </c>
      <c r="Y520" s="3" t="s">
        <v>54</v>
      </c>
      <c r="Z520" s="6" t="str">
        <f>PROPER(TRIM(SUBSTITUTE(Y520,"  "," ")))</f>
        <v>Art</v>
      </c>
      <c r="AA520" s="3" t="s">
        <v>1504</v>
      </c>
      <c r="AB520" s="3" t="s">
        <v>48</v>
      </c>
      <c r="AC520" s="6" t="str">
        <f>PROPER(TRIM(SUBSTITUTE(AB520,"  "," ")))</f>
        <v>Same Day</v>
      </c>
      <c r="AD520" s="3">
        <v>9</v>
      </c>
      <c r="AE520" s="3">
        <v>3748.95</v>
      </c>
      <c r="AF520" s="3">
        <v>0</v>
      </c>
      <c r="AG520" s="17">
        <v>0</v>
      </c>
      <c r="AH520" s="6" t="str">
        <f t="shared" si="67"/>
        <v>Valid</v>
      </c>
      <c r="AI520" s="3">
        <v>33740.550000000003</v>
      </c>
      <c r="AJ520" s="3">
        <v>24621.89</v>
      </c>
      <c r="AK520" s="3">
        <v>9118.66</v>
      </c>
      <c r="AL520" s="3" t="s">
        <v>137</v>
      </c>
      <c r="AM520" s="6" t="str">
        <f>PROPER(TRIM(SUBSTITUTE(AL520,".","")))</f>
        <v>Pending</v>
      </c>
      <c r="AN520" s="3" t="s">
        <v>78</v>
      </c>
      <c r="AO520" s="8" t="str">
        <f>PROPER(TRIM(SUBSTITUTE(AN520,".","")))</f>
        <v>Cancelled</v>
      </c>
      <c r="AP520" t="str">
        <f>IF(COUNTIF($A$2:$A$933, A520) &gt; 1, "Duplicate ID", "Unique")</f>
        <v>Unique</v>
      </c>
      <c r="AR520">
        <f t="shared" si="68"/>
        <v>33740.549999999996</v>
      </c>
      <c r="AS520">
        <f t="shared" si="69"/>
        <v>9118.6599999999962</v>
      </c>
      <c r="AT520" s="15">
        <f t="shared" si="70"/>
        <v>0.2702581908119458</v>
      </c>
      <c r="AU520" t="str">
        <f t="shared" si="71"/>
        <v>Clean</v>
      </c>
      <c r="AV520" s="8" t="str">
        <f t="shared" si="72"/>
        <v>Cancelled</v>
      </c>
    </row>
    <row r="521" spans="1:48">
      <c r="A521" s="3" t="s">
        <v>2118</v>
      </c>
      <c r="B521" s="3" t="s">
        <v>2119</v>
      </c>
      <c r="C521" s="9">
        <f>IFERROR(DATEVALUE(TEXT(B521,"DD/MM/YYYY")), IF(ISNUMBER(B521), B521, ""))</f>
        <v>45717</v>
      </c>
      <c r="D521" s="9" t="str">
        <f>IF(B521="","Missing", IF(AND(ISNUMBER(B521)=FALSE, C521=""),"Invalid - Could Not Parse", IF(AND(ISNUMBER(B521)=FALSE, C521&lt;&gt;""),"Text - Converted to Date", IF(ISNUMBER(B521),"Valid","Check"))))</f>
        <v>Text - Converted to Date</v>
      </c>
      <c r="E521" s="5">
        <f t="shared" si="65"/>
        <v>3</v>
      </c>
      <c r="F521" s="5">
        <f t="shared" si="66"/>
        <v>2025</v>
      </c>
      <c r="G521" s="3" t="s">
        <v>2120</v>
      </c>
      <c r="H521" s="9">
        <f>IFERROR(DATEVALUE(TEXT(G521,"DD/MM/YYYY")), IF(ISNUMBER(G521), G521, ""))</f>
        <v>45724</v>
      </c>
      <c r="I521" s="9" t="str">
        <f>IF(G521="","Missing", IF(AND(ISNUMBER(G521)=FALSE, H521=""),"Invalid - Could Not Parse", IF(AND(ISNUMBER(G521)=FALSE, H521&lt;&gt;""),"Text - Converted to Date", IF(ISNUMBER(G521),"Valid","Check"))))</f>
        <v>Text - Converted to Date</v>
      </c>
      <c r="J521" s="9" t="str">
        <f>IF(OR(C521="", H521=""), "Cannot Check - Date Missing", IF(H521&lt;C521, "Invalid - Ship Before Order", "Valid"))</f>
        <v>Valid</v>
      </c>
      <c r="K521" s="5">
        <f>IF(OR(C521="", H521=""), "", IF(H521&lt;C521, "", H521-C521))</f>
        <v>7</v>
      </c>
      <c r="L521" s="3" t="s">
        <v>2121</v>
      </c>
      <c r="M521" s="3" t="s">
        <v>93</v>
      </c>
      <c r="N521" s="4" t="str">
        <f>TRIM(SUBSTITUTE(M521,"_"," "))</f>
        <v>Neha Gupta</v>
      </c>
      <c r="O521" s="3" t="s">
        <v>115</v>
      </c>
      <c r="P521" s="6" t="str">
        <f>PROPER(TRIM(SUBSTITUTE(O521,".","")))</f>
        <v>Home Office</v>
      </c>
      <c r="Q521" s="3" t="s">
        <v>27</v>
      </c>
      <c r="R521" s="7" t="str">
        <f>PROPER(TRIM(SUBSTITUTE(Q521,"  "," ")))</f>
        <v>North</v>
      </c>
      <c r="S521" s="3" t="s">
        <v>28</v>
      </c>
      <c r="T521" s="6" t="str">
        <f>PROPER(TRIM(SUBSTITUTE(S521,"  "," ")))</f>
        <v>Rajasthan</v>
      </c>
      <c r="U521" s="3" t="s">
        <v>29</v>
      </c>
      <c r="V521" s="6" t="str">
        <f>PROPER(TRIM(SUBSTITUTE(U521,"  "," ")))</f>
        <v>Jaipur</v>
      </c>
      <c r="W521" s="3" t="s">
        <v>86</v>
      </c>
      <c r="X521" s="6" t="str">
        <f>PROPER(TRIM(SUBSTITUTE(W521,"  "," ")))</f>
        <v>Technology</v>
      </c>
      <c r="Y521" s="3" t="s">
        <v>94</v>
      </c>
      <c r="Z521" s="6" t="str">
        <f>PROPER(TRIM(SUBSTITUTE(Y521,"  "," ")))</f>
        <v>Copiers</v>
      </c>
      <c r="AA521" s="3" t="s">
        <v>2122</v>
      </c>
      <c r="AB521" s="3" t="s">
        <v>48</v>
      </c>
      <c r="AC521" s="6" t="str">
        <f>PROPER(TRIM(SUBSTITUTE(AB521,"  "," ")))</f>
        <v>Same Day</v>
      </c>
      <c r="AD521" s="3">
        <v>8</v>
      </c>
      <c r="AE521" s="3">
        <v>2943.1</v>
      </c>
      <c r="AF521" s="3">
        <v>0.25</v>
      </c>
      <c r="AG521" s="17">
        <v>0.25</v>
      </c>
      <c r="AH521" s="6" t="str">
        <f t="shared" si="67"/>
        <v>Valid</v>
      </c>
      <c r="AI521" s="3">
        <v>17658.599999999999</v>
      </c>
      <c r="AJ521" s="3">
        <v>13842.48</v>
      </c>
      <c r="AK521" s="3">
        <v>3816.12</v>
      </c>
      <c r="AL521" s="3" t="s">
        <v>34</v>
      </c>
      <c r="AM521" s="6" t="str">
        <f>PROPER(TRIM(SUBSTITUTE(AL521,".","")))</f>
        <v>Paid</v>
      </c>
      <c r="AN521" s="3" t="s">
        <v>35</v>
      </c>
      <c r="AO521" s="8" t="str">
        <f>PROPER(TRIM(SUBSTITUTE(AN521,".","")))</f>
        <v>Completed</v>
      </c>
      <c r="AP521" t="str">
        <f>IF(COUNTIF($A$2:$A$933, A521) &gt; 1, "Duplicate ID", "Unique")</f>
        <v>Unique</v>
      </c>
      <c r="AR521">
        <f t="shared" si="68"/>
        <v>17658.599999999999</v>
      </c>
      <c r="AS521">
        <f t="shared" si="69"/>
        <v>3816.119999999999</v>
      </c>
      <c r="AT521" s="15">
        <f t="shared" si="70"/>
        <v>0.2161054670245659</v>
      </c>
      <c r="AU521" t="str">
        <f t="shared" si="71"/>
        <v>Clean</v>
      </c>
      <c r="AV521" s="8" t="str">
        <f t="shared" si="72"/>
        <v>Active</v>
      </c>
    </row>
    <row r="522" spans="1:48">
      <c r="A522" s="3" t="s">
        <v>2879</v>
      </c>
      <c r="B522" s="3" t="s">
        <v>2880</v>
      </c>
      <c r="C522" s="9">
        <f>IFERROR(DATEVALUE(TEXT(B522,"DD/MM/YYYY")), IF(ISNUMBER(B522), B522, ""))</f>
        <v>45717</v>
      </c>
      <c r="D522" s="9" t="str">
        <f>IF(B522="","Missing", IF(AND(ISNUMBER(B522)=FALSE, C522=""),"Invalid - Could Not Parse", IF(AND(ISNUMBER(B522)=FALSE, C522&lt;&gt;""),"Text - Converted to Date", IF(ISNUMBER(B522),"Valid","Check"))))</f>
        <v>Text - Converted to Date</v>
      </c>
      <c r="E522" s="5">
        <f t="shared" si="65"/>
        <v>3</v>
      </c>
      <c r="F522" s="5">
        <f t="shared" si="66"/>
        <v>2025</v>
      </c>
      <c r="G522" s="3" t="s">
        <v>592</v>
      </c>
      <c r="H522" s="9">
        <f>IFERROR(DATEVALUE(TEXT(G522,"DD/MM/YYYY")), IF(ISNUMBER(G522), G522, ""))</f>
        <v>45668</v>
      </c>
      <c r="I522" s="9" t="str">
        <f>IF(G522="","Missing", IF(AND(ISNUMBER(G522)=FALSE, H522=""),"Invalid - Could Not Parse", IF(AND(ISNUMBER(G522)=FALSE, H522&lt;&gt;""),"Text - Converted to Date", IF(ISNUMBER(G522),"Valid","Check"))))</f>
        <v>Text - Converted to Date</v>
      </c>
      <c r="J522" s="9" t="str">
        <f>IF(OR(C522="", H522=""), "Cannot Check - Date Missing", IF(H522&lt;C522, "Invalid - Ship Before Order", "Valid"))</f>
        <v>Invalid - Ship Before Order</v>
      </c>
      <c r="K522" s="5" t="str">
        <f>IF(OR(C522="", H522=""), "", IF(H522&lt;C522, "", H522-C522))</f>
        <v/>
      </c>
      <c r="L522" s="3" t="s">
        <v>480</v>
      </c>
      <c r="M522" s="3" t="s">
        <v>83</v>
      </c>
      <c r="N522" s="4" t="str">
        <f>TRIM(SUBSTITUTE(M522,"_"," "))</f>
        <v>Vikram Iyer</v>
      </c>
      <c r="O522" s="3" t="s">
        <v>108</v>
      </c>
      <c r="P522" s="6" t="str">
        <f>PROPER(TRIM(SUBSTITUTE(O522,".","")))</f>
        <v>Corporate</v>
      </c>
      <c r="Q522" s="3" t="s">
        <v>42</v>
      </c>
      <c r="R522" s="7" t="str">
        <f>PROPER(TRIM(SUBSTITUTE(Q522,"  "," ")))</f>
        <v>East</v>
      </c>
      <c r="S522" s="3" t="s">
        <v>186</v>
      </c>
      <c r="T522" s="6" t="str">
        <f>PROPER(TRIM(SUBSTITUTE(S522,"  "," ")))</f>
        <v>Bihar</v>
      </c>
      <c r="U522" s="3" t="s">
        <v>187</v>
      </c>
      <c r="V522" s="6" t="str">
        <f>PROPER(TRIM(SUBSTITUTE(U522,"  "," ")))</f>
        <v>Patna</v>
      </c>
      <c r="W522" s="3" t="s">
        <v>86</v>
      </c>
      <c r="X522" s="6" t="str">
        <f>PROPER(TRIM(SUBSTITUTE(W522,"  "," ")))</f>
        <v>Technology</v>
      </c>
      <c r="Y522" s="3" t="s">
        <v>87</v>
      </c>
      <c r="Z522" s="6" t="str">
        <f>PROPER(TRIM(SUBSTITUTE(Y522,"  "," ")))</f>
        <v>Accessories</v>
      </c>
      <c r="AA522" s="3" t="s">
        <v>2881</v>
      </c>
      <c r="AB522" s="3" t="s">
        <v>56</v>
      </c>
      <c r="AC522" s="6" t="str">
        <f>PROPER(TRIM(SUBSTITUTE(AB522,"  "," ")))</f>
        <v>First Class</v>
      </c>
      <c r="AD522" s="3">
        <v>8</v>
      </c>
      <c r="AE522" s="3">
        <v>2574.29</v>
      </c>
      <c r="AF522" s="3">
        <v>0.05</v>
      </c>
      <c r="AG522" s="17">
        <v>0.05</v>
      </c>
      <c r="AH522" s="6" t="str">
        <f t="shared" si="67"/>
        <v>Valid</v>
      </c>
      <c r="AI522" s="3">
        <v>19564.599999999999</v>
      </c>
      <c r="AJ522" s="3">
        <v>11154.59</v>
      </c>
      <c r="AK522" s="3">
        <v>8410.01</v>
      </c>
      <c r="AL522" s="3" t="s">
        <v>137</v>
      </c>
      <c r="AM522" s="6" t="str">
        <f>PROPER(TRIM(SUBSTITUTE(AL522,".","")))</f>
        <v>Pending</v>
      </c>
      <c r="AN522" s="3" t="s">
        <v>78</v>
      </c>
      <c r="AO522" s="8" t="str">
        <f>PROPER(TRIM(SUBSTITUTE(AN522,".","")))</f>
        <v>Cancelled</v>
      </c>
      <c r="AP522" t="str">
        <f>IF(COUNTIF($A$2:$A$933, A522) &gt; 1, "Duplicate ID", "Unique")</f>
        <v>Unique</v>
      </c>
      <c r="AR522">
        <f t="shared" si="68"/>
        <v>19564.603999999999</v>
      </c>
      <c r="AS522">
        <f t="shared" si="69"/>
        <v>8410.0139999999992</v>
      </c>
      <c r="AT522" s="15">
        <f t="shared" si="70"/>
        <v>0.42985863654587642</v>
      </c>
      <c r="AU522" t="str">
        <f t="shared" si="71"/>
        <v>Invalid</v>
      </c>
      <c r="AV522" s="8" t="str">
        <f t="shared" si="72"/>
        <v>Cancelled</v>
      </c>
    </row>
    <row r="523" spans="1:48">
      <c r="A523" s="3" t="s">
        <v>553</v>
      </c>
      <c r="B523" s="3" t="s">
        <v>554</v>
      </c>
      <c r="C523" s="9">
        <f>IFERROR(DATEVALUE(TEXT(B523,"DD/MM/YYYY")), IF(ISNUMBER(B523), B523, ""))</f>
        <v>45718</v>
      </c>
      <c r="D523" s="9" t="str">
        <f>IF(B523="","Missing", IF(AND(ISNUMBER(B523)=FALSE, C523=""),"Invalid - Could Not Parse", IF(AND(ISNUMBER(B523)=FALSE, C523&lt;&gt;""),"Text - Converted to Date", IF(ISNUMBER(B523),"Valid","Check"))))</f>
        <v>Text - Converted to Date</v>
      </c>
      <c r="E523" s="5">
        <f t="shared" si="65"/>
        <v>3</v>
      </c>
      <c r="F523" s="5">
        <f t="shared" si="66"/>
        <v>2025</v>
      </c>
      <c r="G523" s="3" t="s">
        <v>555</v>
      </c>
      <c r="H523" s="9">
        <f>IFERROR(DATEVALUE(TEXT(G523,"DD/MM/YYYY")), IF(ISNUMBER(G523), G523, ""))</f>
        <v>45872</v>
      </c>
      <c r="I523" s="9" t="str">
        <f>IF(G523="","Missing", IF(AND(ISNUMBER(G523)=FALSE, H523=""),"Invalid - Could Not Parse", IF(AND(ISNUMBER(G523)=FALSE, H523&lt;&gt;""),"Text - Converted to Date", IF(ISNUMBER(G523),"Valid","Check"))))</f>
        <v>Text - Converted to Date</v>
      </c>
      <c r="J523" s="9" t="str">
        <f>IF(OR(C523="", H523=""), "Cannot Check - Date Missing", IF(H523&lt;C523, "Invalid - Ship Before Order", "Valid"))</f>
        <v>Valid</v>
      </c>
      <c r="K523" s="5">
        <f>IF(OR(C523="", H523=""), "", IF(H523&lt;C523, "", H523-C523))</f>
        <v>154</v>
      </c>
      <c r="L523" s="3" t="s">
        <v>556</v>
      </c>
      <c r="M523" s="3" t="s">
        <v>168</v>
      </c>
      <c r="N523" s="4" t="str">
        <f>TRIM(SUBSTITUTE(M523,"_"," "))</f>
        <v>Sneha Kapoor</v>
      </c>
      <c r="O523" s="3" t="s">
        <v>108</v>
      </c>
      <c r="P523" s="6" t="str">
        <f>PROPER(TRIM(SUBSTITUTE(O523,".","")))</f>
        <v>Corporate</v>
      </c>
      <c r="Q523" s="3" t="s">
        <v>73</v>
      </c>
      <c r="R523" s="7" t="str">
        <f>PROPER(TRIM(SUBSTITUTE(Q523,"  "," ")))</f>
        <v>West</v>
      </c>
      <c r="S523" s="3" t="s">
        <v>84</v>
      </c>
      <c r="T523" s="6" t="str">
        <f>PROPER(TRIM(SUBSTITUTE(S523,"  "," ")))</f>
        <v>Madhya Pradesh</v>
      </c>
      <c r="U523" s="3" t="s">
        <v>85</v>
      </c>
      <c r="V523" s="6" t="str">
        <f>PROPER(TRIM(SUBSTITUTE(U523,"  "," ")))</f>
        <v>Indore</v>
      </c>
      <c r="W523" s="3" t="s">
        <v>86</v>
      </c>
      <c r="X523" s="6" t="str">
        <f>PROPER(TRIM(SUBSTITUTE(W523,"  "," ")))</f>
        <v>Technology</v>
      </c>
      <c r="Y523" s="3" t="s">
        <v>94</v>
      </c>
      <c r="Z523" s="6" t="str">
        <f>PROPER(TRIM(SUBSTITUTE(Y523,"  "," ")))</f>
        <v>Copiers</v>
      </c>
      <c r="AA523" s="3" t="s">
        <v>557</v>
      </c>
      <c r="AB523" s="3" t="s">
        <v>33</v>
      </c>
      <c r="AC523" s="6" t="str">
        <f>PROPER(TRIM(SUBSTITUTE(AB523,"  "," ")))</f>
        <v>Second Class</v>
      </c>
      <c r="AD523" s="3">
        <v>9</v>
      </c>
      <c r="AE523" s="3">
        <v>269.68</v>
      </c>
      <c r="AF523" s="3">
        <v>0</v>
      </c>
      <c r="AG523" s="17">
        <v>0</v>
      </c>
      <c r="AH523" s="6" t="str">
        <f t="shared" si="67"/>
        <v>Valid</v>
      </c>
      <c r="AI523" s="3">
        <v>2427.12</v>
      </c>
      <c r="AJ523" s="3">
        <v>1538.35</v>
      </c>
      <c r="AK523" s="3">
        <v>804.53</v>
      </c>
      <c r="AL523" s="3" t="s">
        <v>34</v>
      </c>
      <c r="AM523" s="6" t="str">
        <f>PROPER(TRIM(SUBSTITUTE(AL523,".","")))</f>
        <v>Paid</v>
      </c>
      <c r="AN523" s="3" t="s">
        <v>35</v>
      </c>
      <c r="AO523" s="8" t="str">
        <f>PROPER(TRIM(SUBSTITUTE(AN523,".","")))</f>
        <v>Completed</v>
      </c>
      <c r="AP523" t="str">
        <f>IF(COUNTIF($A$2:$A$933, A523) &gt; 1, "Duplicate ID", "Unique")</f>
        <v>Unique</v>
      </c>
      <c r="AR523">
        <f t="shared" si="68"/>
        <v>2427.12</v>
      </c>
      <c r="AS523">
        <f t="shared" si="69"/>
        <v>888.77</v>
      </c>
      <c r="AT523" s="15">
        <f t="shared" si="70"/>
        <v>0.36618296581957216</v>
      </c>
      <c r="AU523" t="str">
        <f t="shared" si="71"/>
        <v>Clean</v>
      </c>
      <c r="AV523" s="8" t="str">
        <f t="shared" si="72"/>
        <v>Active</v>
      </c>
    </row>
    <row r="524" spans="1:48">
      <c r="A524" s="3" t="s">
        <v>1903</v>
      </c>
      <c r="B524" s="3" t="s">
        <v>1904</v>
      </c>
      <c r="C524" s="9">
        <f>IFERROR(DATEVALUE(TEXT(B524,"DD/MM/YYYY")), IF(ISNUMBER(B524), B524, ""))</f>
        <v>45720</v>
      </c>
      <c r="D524" s="9" t="str">
        <f>IF(B524="","Missing", IF(AND(ISNUMBER(B524)=FALSE, C524=""),"Invalid - Could Not Parse", IF(AND(ISNUMBER(B524)=FALSE, C524&lt;&gt;""),"Text - Converted to Date", IF(ISNUMBER(B524),"Valid","Check"))))</f>
        <v>Text - Converted to Date</v>
      </c>
      <c r="E524" s="5">
        <f t="shared" si="65"/>
        <v>3</v>
      </c>
      <c r="F524" s="5">
        <f t="shared" si="66"/>
        <v>2025</v>
      </c>
      <c r="G524" s="3" t="s">
        <v>555</v>
      </c>
      <c r="H524" s="9">
        <f>IFERROR(DATEVALUE(TEXT(G524,"DD/MM/YYYY")), IF(ISNUMBER(G524), G524, ""))</f>
        <v>45872</v>
      </c>
      <c r="I524" s="9" t="str">
        <f>IF(G524="","Missing", IF(AND(ISNUMBER(G524)=FALSE, H524=""),"Invalid - Could Not Parse", IF(AND(ISNUMBER(G524)=FALSE, H524&lt;&gt;""),"Text - Converted to Date", IF(ISNUMBER(G524),"Valid","Check"))))</f>
        <v>Text - Converted to Date</v>
      </c>
      <c r="J524" s="9" t="str">
        <f>IF(OR(C524="", H524=""), "Cannot Check - Date Missing", IF(H524&lt;C524, "Invalid - Ship Before Order", "Valid"))</f>
        <v>Valid</v>
      </c>
      <c r="K524" s="5">
        <f>IF(OR(C524="", H524=""), "", IF(H524&lt;C524, "", H524-C524))</f>
        <v>152</v>
      </c>
      <c r="L524" s="3" t="s">
        <v>203</v>
      </c>
      <c r="M524" s="3" t="s">
        <v>61</v>
      </c>
      <c r="N524" s="4" t="str">
        <f>TRIM(SUBSTITUTE(M524,"_"," "))</f>
        <v>Arjun Bose</v>
      </c>
      <c r="O524" s="3" t="s">
        <v>41</v>
      </c>
      <c r="P524" s="6" t="str">
        <f>PROPER(TRIM(SUBSTITUTE(O524,".","")))</f>
        <v>Small Business</v>
      </c>
      <c r="Q524" s="3" t="s">
        <v>42</v>
      </c>
      <c r="R524" s="7" t="str">
        <f>PROPER(TRIM(SUBSTITUTE(Q524,"  "," ")))</f>
        <v>East</v>
      </c>
      <c r="S524" s="3" t="s">
        <v>186</v>
      </c>
      <c r="T524" s="6" t="str">
        <f>PROPER(TRIM(SUBSTITUTE(S524,"  "," ")))</f>
        <v>Bihar</v>
      </c>
      <c r="U524" s="3" t="s">
        <v>187</v>
      </c>
      <c r="V524" s="6" t="str">
        <f>PROPER(TRIM(SUBSTITUTE(U524,"  "," ")))</f>
        <v>Patna</v>
      </c>
      <c r="W524" s="3" t="s">
        <v>1905</v>
      </c>
      <c r="X524" s="6" t="str">
        <f>PROPER(TRIM(SUBSTITUTE(W524,"  "," ")))</f>
        <v>Technology</v>
      </c>
      <c r="Y524" s="3" t="s">
        <v>223</v>
      </c>
      <c r="Z524" s="6" t="str">
        <f>PROPER(TRIM(SUBSTITUTE(Y524,"  "," ")))</f>
        <v>Phones</v>
      </c>
      <c r="AA524" s="3" t="s">
        <v>1906</v>
      </c>
      <c r="AB524" s="3" t="s">
        <v>56</v>
      </c>
      <c r="AC524" s="6" t="str">
        <f>PROPER(TRIM(SUBSTITUTE(AB524,"  "," ")))</f>
        <v>First Class</v>
      </c>
      <c r="AD524" s="3">
        <v>3</v>
      </c>
      <c r="AE524" s="3">
        <v>4361.8500000000004</v>
      </c>
      <c r="AF524" s="3">
        <v>0.2</v>
      </c>
      <c r="AG524" s="17">
        <v>0.2</v>
      </c>
      <c r="AH524" s="6" t="str">
        <f t="shared" si="67"/>
        <v>Valid</v>
      </c>
      <c r="AI524" s="3">
        <v>10468.44</v>
      </c>
      <c r="AJ524" s="3">
        <v>8399.8700000000008</v>
      </c>
      <c r="AK524" s="3">
        <v>2068.5700000000002</v>
      </c>
      <c r="AL524" s="3" t="s">
        <v>34</v>
      </c>
      <c r="AM524" s="6" t="str">
        <f>PROPER(TRIM(SUBSTITUTE(AL524,".","")))</f>
        <v>Paid</v>
      </c>
      <c r="AN524" s="3" t="s">
        <v>35</v>
      </c>
      <c r="AO524" s="8" t="str">
        <f>PROPER(TRIM(SUBSTITUTE(AN524,".","")))</f>
        <v>Completed</v>
      </c>
      <c r="AP524" t="str">
        <f>IF(COUNTIF($A$2:$A$933, A524) &gt; 1, "Duplicate ID", "Unique")</f>
        <v>Unique</v>
      </c>
      <c r="AR524">
        <f t="shared" si="68"/>
        <v>10468.440000000002</v>
      </c>
      <c r="AS524">
        <f t="shared" si="69"/>
        <v>2068.5700000000015</v>
      </c>
      <c r="AT524" s="15">
        <f t="shared" si="70"/>
        <v>0.19760059760575607</v>
      </c>
      <c r="AU524" t="str">
        <f t="shared" si="71"/>
        <v>Clean</v>
      </c>
      <c r="AV524" s="8" t="str">
        <f t="shared" si="72"/>
        <v>Active</v>
      </c>
    </row>
    <row r="525" spans="1:48">
      <c r="A525" s="3" t="s">
        <v>3813</v>
      </c>
      <c r="B525" s="3" t="s">
        <v>469</v>
      </c>
      <c r="C525" s="9">
        <f>IFERROR(DATEVALUE(TEXT(B525,"DD/MM/YYYY")), IF(ISNUMBER(B525), B525, ""))</f>
        <v>45720</v>
      </c>
      <c r="D525" s="9" t="str">
        <f>IF(B525="","Missing", IF(AND(ISNUMBER(B525)=FALSE, C525=""),"Invalid - Could Not Parse", IF(AND(ISNUMBER(B525)=FALSE, C525&lt;&gt;""),"Text - Converted to Date", IF(ISNUMBER(B525),"Valid","Check"))))</f>
        <v>Text - Converted to Date</v>
      </c>
      <c r="E525" s="5">
        <f t="shared" si="65"/>
        <v>3</v>
      </c>
      <c r="F525" s="5">
        <f t="shared" si="66"/>
        <v>2025</v>
      </c>
      <c r="G525" s="3" t="s">
        <v>3255</v>
      </c>
      <c r="H525" s="9">
        <f>IFERROR(DATEVALUE(TEXT(G525,"DD/MM/YYYY")), IF(ISNUMBER(G525), G525, ""))</f>
        <v>45750</v>
      </c>
      <c r="I525" s="9" t="str">
        <f>IF(G525="","Missing", IF(AND(ISNUMBER(G525)=FALSE, H525=""),"Invalid - Could Not Parse", IF(AND(ISNUMBER(G525)=FALSE, H525&lt;&gt;""),"Text - Converted to Date", IF(ISNUMBER(G525),"Valid","Check"))))</f>
        <v>Text - Converted to Date</v>
      </c>
      <c r="J525" s="9" t="str">
        <f>IF(OR(C525="", H525=""), "Cannot Check - Date Missing", IF(H525&lt;C525, "Invalid - Ship Before Order", "Valid"))</f>
        <v>Valid</v>
      </c>
      <c r="K525" s="5">
        <f>IF(OR(C525="", H525=""), "", IF(H525&lt;C525, "", H525-C525))</f>
        <v>30</v>
      </c>
      <c r="L525" s="3" t="s">
        <v>3814</v>
      </c>
      <c r="M525" s="3" t="s">
        <v>210</v>
      </c>
      <c r="N525" s="4" t="str">
        <f>TRIM(SUBSTITUTE(M525,"_"," "))</f>
        <v>Diya Patel</v>
      </c>
      <c r="O525" s="3" t="s">
        <v>115</v>
      </c>
      <c r="P525" s="6" t="str">
        <f>PROPER(TRIM(SUBSTITUTE(O525,".","")))</f>
        <v>Home Office</v>
      </c>
      <c r="Q525" s="3"/>
      <c r="R525" s="6" t="str">
        <f>IF(ISBLANK(Q525), "Unknown", Q525)</f>
        <v>Unknown</v>
      </c>
      <c r="S525" s="3" t="s">
        <v>323</v>
      </c>
      <c r="T525" s="6" t="str">
        <f>PROPER(TRIM(SUBSTITUTE(S525,"  "," ")))</f>
        <v>Haryana</v>
      </c>
      <c r="U525" s="3" t="s">
        <v>324</v>
      </c>
      <c r="V525" s="6" t="str">
        <f>PROPER(TRIM(SUBSTITUTE(U525,"  "," ")))</f>
        <v>Gurugram</v>
      </c>
      <c r="W525" s="3" t="s">
        <v>45</v>
      </c>
      <c r="X525" s="6" t="str">
        <f>PROPER(TRIM(SUBSTITUTE(W525,"  "," ")))</f>
        <v>Furniture</v>
      </c>
      <c r="Y525" s="3" t="s">
        <v>76</v>
      </c>
      <c r="Z525" s="6" t="str">
        <f>PROPER(TRIM(SUBSTITUTE(Y525,"  "," ")))</f>
        <v>Chairs</v>
      </c>
      <c r="AA525" s="3" t="s">
        <v>3815</v>
      </c>
      <c r="AB525" s="3" t="s">
        <v>56</v>
      </c>
      <c r="AC525" s="6" t="str">
        <f>PROPER(TRIM(SUBSTITUTE(AB525,"  "," ")))</f>
        <v>First Class</v>
      </c>
      <c r="AD525" s="3">
        <v>9</v>
      </c>
      <c r="AE525" s="3">
        <v>3462.7</v>
      </c>
      <c r="AF525" s="3">
        <v>0.15</v>
      </c>
      <c r="AG525" s="17">
        <v>0.15</v>
      </c>
      <c r="AH525" s="6" t="str">
        <f t="shared" si="67"/>
        <v>Valid</v>
      </c>
      <c r="AI525" s="3">
        <v>26489.65</v>
      </c>
      <c r="AJ525" s="3">
        <v>15818.46</v>
      </c>
      <c r="AK525" s="3">
        <v>10671.19</v>
      </c>
      <c r="AL525" s="3" t="s">
        <v>200</v>
      </c>
      <c r="AM525" s="6" t="str">
        <f>PROPER(TRIM(SUBSTITUTE(AL525,".","")))</f>
        <v>Failed</v>
      </c>
      <c r="AN525" s="3" t="s">
        <v>125</v>
      </c>
      <c r="AO525" s="8" t="str">
        <f>PROPER(TRIM(SUBSTITUTE(AN525,".","")))</f>
        <v>Returned</v>
      </c>
      <c r="AP525" t="str">
        <f>IF(COUNTIF($A$2:$A$933, A525) &gt; 1, "Duplicate ID", "Unique")</f>
        <v>Unique</v>
      </c>
      <c r="AR525">
        <f t="shared" si="68"/>
        <v>26489.654999999999</v>
      </c>
      <c r="AS525">
        <f t="shared" si="69"/>
        <v>10671.195</v>
      </c>
      <c r="AT525" s="15">
        <f t="shared" si="70"/>
        <v>0.40284386489744772</v>
      </c>
      <c r="AU525" t="str">
        <f t="shared" si="71"/>
        <v>Clean</v>
      </c>
      <c r="AV525" s="8" t="str">
        <f t="shared" si="72"/>
        <v>Active</v>
      </c>
    </row>
    <row r="526" spans="1:48">
      <c r="A526" s="3" t="s">
        <v>3841</v>
      </c>
      <c r="B526" s="3" t="s">
        <v>469</v>
      </c>
      <c r="C526" s="9">
        <f>IFERROR(DATEVALUE(TEXT(B526,"DD/MM/YYYY")), IF(ISNUMBER(B526), B526, ""))</f>
        <v>45720</v>
      </c>
      <c r="D526" s="9" t="str">
        <f>IF(B526="","Missing", IF(AND(ISNUMBER(B526)=FALSE, C526=""),"Invalid - Could Not Parse", IF(AND(ISNUMBER(B526)=FALSE, C526&lt;&gt;""),"Text - Converted to Date", IF(ISNUMBER(B526),"Valid","Check"))))</f>
        <v>Text - Converted to Date</v>
      </c>
      <c r="E526" s="5">
        <f t="shared" si="65"/>
        <v>3</v>
      </c>
      <c r="F526" s="5">
        <f t="shared" si="66"/>
        <v>2025</v>
      </c>
      <c r="G526" s="3" t="s">
        <v>3842</v>
      </c>
      <c r="H526" s="9">
        <f>IFERROR(DATEVALUE(TEXT(G526,"DD/MM/YYYY")), IF(ISNUMBER(G526), G526, ""))</f>
        <v>45754</v>
      </c>
      <c r="I526" s="9" t="str">
        <f>IF(G526="","Missing", IF(AND(ISNUMBER(G526)=FALSE, H526=""),"Invalid - Could Not Parse", IF(AND(ISNUMBER(G526)=FALSE, H526&lt;&gt;""),"Text - Converted to Date", IF(ISNUMBER(G526),"Valid","Check"))))</f>
        <v>Text - Converted to Date</v>
      </c>
      <c r="J526" s="9" t="str">
        <f>IF(OR(C526="", H526=""), "Cannot Check - Date Missing", IF(H526&lt;C526, "Invalid - Ship Before Order", "Valid"))</f>
        <v>Valid</v>
      </c>
      <c r="K526" s="5">
        <f>IF(OR(C526="", H526=""), "", IF(H526&lt;C526, "", H526-C526))</f>
        <v>34</v>
      </c>
      <c r="L526" s="3" t="s">
        <v>3843</v>
      </c>
      <c r="M526" s="3" t="s">
        <v>72</v>
      </c>
      <c r="N526" s="4" t="str">
        <f>TRIM(SUBSTITUTE(M526,"_"," "))</f>
        <v>Ananya Rao</v>
      </c>
      <c r="O526" s="3" t="s">
        <v>41</v>
      </c>
      <c r="P526" s="6" t="str">
        <f>PROPER(TRIM(SUBSTITUTE(O526,".","")))</f>
        <v>Small Business</v>
      </c>
      <c r="Q526" s="3" t="s">
        <v>73</v>
      </c>
      <c r="R526" s="7" t="str">
        <f>PROPER(TRIM(SUBSTITUTE(Q526,"  "," ")))</f>
        <v>West</v>
      </c>
      <c r="S526" s="3" t="s">
        <v>249</v>
      </c>
      <c r="T526" s="6" t="str">
        <f>PROPER(TRIM(SUBSTITUTE(S526,"  "," ")))</f>
        <v>Goa</v>
      </c>
      <c r="U526" s="3" t="s">
        <v>250</v>
      </c>
      <c r="V526" s="6" t="str">
        <f>PROPER(TRIM(SUBSTITUTE(U526,"  "," ")))</f>
        <v>Panaji</v>
      </c>
      <c r="W526" s="3" t="s">
        <v>30</v>
      </c>
      <c r="X526" s="6" t="str">
        <f>PROPER(TRIM(SUBSTITUTE(W526,"  "," ")))</f>
        <v>Office Supplies</v>
      </c>
      <c r="Y526" s="3" t="s">
        <v>31</v>
      </c>
      <c r="Z526" s="6" t="str">
        <f>PROPER(TRIM(SUBSTITUTE(Y526,"  "," ")))</f>
        <v>Paper</v>
      </c>
      <c r="AA526" s="3" t="s">
        <v>3844</v>
      </c>
      <c r="AB526" s="3" t="s">
        <v>48</v>
      </c>
      <c r="AC526" s="6" t="str">
        <f>PROPER(TRIM(SUBSTITUTE(AB526,"  "," ")))</f>
        <v>Same Day</v>
      </c>
      <c r="AD526" s="3">
        <v>1</v>
      </c>
      <c r="AE526" s="3">
        <v>1470.57</v>
      </c>
      <c r="AF526" s="3">
        <v>0</v>
      </c>
      <c r="AG526" s="17">
        <v>0</v>
      </c>
      <c r="AH526" s="6" t="str">
        <f t="shared" si="67"/>
        <v>Valid</v>
      </c>
      <c r="AI526" s="3">
        <v>1470.57</v>
      </c>
      <c r="AJ526" s="3">
        <v>834.02</v>
      </c>
      <c r="AK526" s="3">
        <v>636.54999999999995</v>
      </c>
      <c r="AL526" s="3" t="s">
        <v>34</v>
      </c>
      <c r="AM526" s="6" t="str">
        <f>PROPER(TRIM(SUBSTITUTE(AL526,".","")))</f>
        <v>Paid</v>
      </c>
      <c r="AN526" s="3" t="s">
        <v>125</v>
      </c>
      <c r="AO526" s="8" t="str">
        <f>PROPER(TRIM(SUBSTITUTE(AN526,".","")))</f>
        <v>Returned</v>
      </c>
      <c r="AP526" t="str">
        <f>IF(COUNTIF($A$2:$A$933, A526) &gt; 1, "Duplicate ID", "Unique")</f>
        <v>Unique</v>
      </c>
      <c r="AR526">
        <f t="shared" si="68"/>
        <v>1470.57</v>
      </c>
      <c r="AS526">
        <f t="shared" si="69"/>
        <v>636.54999999999995</v>
      </c>
      <c r="AT526" s="15">
        <f t="shared" si="70"/>
        <v>0.43285936745615644</v>
      </c>
      <c r="AU526" t="str">
        <f t="shared" si="71"/>
        <v>Warning</v>
      </c>
      <c r="AV526" s="8" t="str">
        <f t="shared" si="72"/>
        <v>Active</v>
      </c>
    </row>
    <row r="527" spans="1:48">
      <c r="A527" s="3" t="s">
        <v>2225</v>
      </c>
      <c r="B527" s="3" t="s">
        <v>2226</v>
      </c>
      <c r="C527" s="9">
        <f>IFERROR(DATEVALUE(TEXT(B527,"DD/MM/YYYY")), IF(ISNUMBER(B527), B527, ""))</f>
        <v>45721</v>
      </c>
      <c r="D527" s="9" t="str">
        <f>IF(B527="","Missing", IF(AND(ISNUMBER(B527)=FALSE, C527=""),"Invalid - Could Not Parse", IF(AND(ISNUMBER(B527)=FALSE, C527&lt;&gt;""),"Text - Converted to Date", IF(ISNUMBER(B527),"Valid","Check"))))</f>
        <v>Text - Converted to Date</v>
      </c>
      <c r="E527" s="5">
        <f t="shared" si="65"/>
        <v>3</v>
      </c>
      <c r="F527" s="5">
        <f t="shared" si="66"/>
        <v>2025</v>
      </c>
      <c r="G527" s="3" t="s">
        <v>2227</v>
      </c>
      <c r="H527" s="9">
        <f>IFERROR(DATEVALUE(TEXT(G527,"DD/MM/YYYY")), IF(ISNUMBER(G527), G527, ""))</f>
        <v>45788</v>
      </c>
      <c r="I527" s="9" t="str">
        <f>IF(G527="","Missing", IF(AND(ISNUMBER(G527)=FALSE, H527=""),"Invalid - Could Not Parse", IF(AND(ISNUMBER(G527)=FALSE, H527&lt;&gt;""),"Text - Converted to Date", IF(ISNUMBER(G527),"Valid","Check"))))</f>
        <v>Text - Converted to Date</v>
      </c>
      <c r="J527" s="9" t="str">
        <f>IF(OR(C527="", H527=""), "Cannot Check - Date Missing", IF(H527&lt;C527, "Invalid - Ship Before Order", "Valid"))</f>
        <v>Valid</v>
      </c>
      <c r="K527" s="5">
        <f>IF(OR(C527="", H527=""), "", IF(H527&lt;C527, "", H527-C527))</f>
        <v>67</v>
      </c>
      <c r="L527" s="3" t="s">
        <v>2228</v>
      </c>
      <c r="M527" s="3" t="s">
        <v>180</v>
      </c>
      <c r="N527" s="4" t="str">
        <f>TRIM(SUBSTITUTE(M527,"_"," "))</f>
        <v>Rohan Mehta</v>
      </c>
      <c r="O527" s="3" t="s">
        <v>41</v>
      </c>
      <c r="P527" s="6" t="str">
        <f>PROPER(TRIM(SUBSTITUTE(O527,".","")))</f>
        <v>Small Business</v>
      </c>
      <c r="Q527" s="3" t="s">
        <v>73</v>
      </c>
      <c r="R527" s="7" t="str">
        <f>PROPER(TRIM(SUBSTITUTE(Q527,"  "," ")))</f>
        <v>West</v>
      </c>
      <c r="S527" s="3" t="s">
        <v>84</v>
      </c>
      <c r="T527" s="6" t="str">
        <f>PROPER(TRIM(SUBSTITUTE(S527,"  "," ")))</f>
        <v>Madhya Pradesh</v>
      </c>
      <c r="U527" s="3" t="s">
        <v>85</v>
      </c>
      <c r="V527" s="6" t="str">
        <f>PROPER(TRIM(SUBSTITUTE(U527,"  "," ")))</f>
        <v>Indore</v>
      </c>
      <c r="W527" s="3" t="s">
        <v>30</v>
      </c>
      <c r="X527" s="6" t="str">
        <f>PROPER(TRIM(SUBSTITUTE(W527,"  "," ")))</f>
        <v>Office Supplies</v>
      </c>
      <c r="Y527" s="3" t="s">
        <v>109</v>
      </c>
      <c r="Z527" s="6" t="str">
        <f>PROPER(TRIM(SUBSTITUTE(Y527,"  "," ")))</f>
        <v>Labels</v>
      </c>
      <c r="AA527" s="3" t="s">
        <v>2229</v>
      </c>
      <c r="AB527" s="3" t="s">
        <v>48</v>
      </c>
      <c r="AC527" s="6" t="str">
        <f>PROPER(TRIM(SUBSTITUTE(AB527,"  "," ")))</f>
        <v>Same Day</v>
      </c>
      <c r="AD527" s="3">
        <v>5</v>
      </c>
      <c r="AE527" s="3">
        <v>1483.52</v>
      </c>
      <c r="AF527" s="3">
        <v>0</v>
      </c>
      <c r="AG527" s="17">
        <v>0</v>
      </c>
      <c r="AH527" s="6" t="str">
        <f t="shared" si="67"/>
        <v>Valid</v>
      </c>
      <c r="AI527" s="3">
        <v>7417.6</v>
      </c>
      <c r="AJ527" s="3">
        <v>4955.8599999999997</v>
      </c>
      <c r="AK527" s="3">
        <v>2461.7399999999998</v>
      </c>
      <c r="AL527" s="3" t="s">
        <v>34</v>
      </c>
      <c r="AM527" s="6" t="str">
        <f>PROPER(TRIM(SUBSTITUTE(AL527,".","")))</f>
        <v>Paid</v>
      </c>
      <c r="AN527" s="3" t="s">
        <v>35</v>
      </c>
      <c r="AO527" s="8" t="str">
        <f>PROPER(TRIM(SUBSTITUTE(AN527,".","")))</f>
        <v>Completed</v>
      </c>
      <c r="AP527" t="str">
        <f>IF(COUNTIF($A$2:$A$933, A527) &gt; 1, "Duplicate ID", "Unique")</f>
        <v>Unique</v>
      </c>
      <c r="AR527">
        <f t="shared" si="68"/>
        <v>7417.6</v>
      </c>
      <c r="AS527">
        <f t="shared" si="69"/>
        <v>2461.7400000000007</v>
      </c>
      <c r="AT527" s="15">
        <f t="shared" si="70"/>
        <v>0.3318782355478862</v>
      </c>
      <c r="AU527" t="str">
        <f t="shared" si="71"/>
        <v>Clean</v>
      </c>
      <c r="AV527" s="8" t="str">
        <f t="shared" si="72"/>
        <v>Active</v>
      </c>
    </row>
    <row r="528" spans="1:48">
      <c r="A528" s="3" t="s">
        <v>2864</v>
      </c>
      <c r="B528" s="3" t="s">
        <v>2865</v>
      </c>
      <c r="C528" s="9">
        <f>IFERROR(DATEVALUE(TEXT(B528,"DD/MM/YYYY")), IF(ISNUMBER(B528), B528, ""))</f>
        <v>45721</v>
      </c>
      <c r="D528" s="9" t="str">
        <f>IF(B528="","Missing", IF(AND(ISNUMBER(B528)=FALSE, C528=""),"Invalid - Could Not Parse", IF(AND(ISNUMBER(B528)=FALSE, C528&lt;&gt;""),"Text - Converted to Date", IF(ISNUMBER(B528),"Valid","Check"))))</f>
        <v>Text - Converted to Date</v>
      </c>
      <c r="E528" s="5">
        <f t="shared" si="65"/>
        <v>3</v>
      </c>
      <c r="F528" s="5">
        <f t="shared" si="66"/>
        <v>2025</v>
      </c>
      <c r="G528" s="3" t="s">
        <v>2866</v>
      </c>
      <c r="H528" s="9">
        <f>IFERROR(DATEVALUE(TEXT(G528,"DD/MM/YYYY")), IF(ISNUMBER(G528), G528, ""))</f>
        <v>45728</v>
      </c>
      <c r="I528" s="9" t="str">
        <f>IF(G528="","Missing", IF(AND(ISNUMBER(G528)=FALSE, H528=""),"Invalid - Could Not Parse", IF(AND(ISNUMBER(G528)=FALSE, H528&lt;&gt;""),"Text - Converted to Date", IF(ISNUMBER(G528),"Valid","Check"))))</f>
        <v>Text - Converted to Date</v>
      </c>
      <c r="J528" s="9" t="str">
        <f>IF(OR(C528="", H528=""), "Cannot Check - Date Missing", IF(H528&lt;C528, "Invalid - Ship Before Order", "Valid"))</f>
        <v>Valid</v>
      </c>
      <c r="K528" s="5">
        <f>IF(OR(C528="", H528=""), "", IF(H528&lt;C528, "", H528-C528))</f>
        <v>7</v>
      </c>
      <c r="L528" s="3" t="s">
        <v>2867</v>
      </c>
      <c r="M528" s="3" t="s">
        <v>72</v>
      </c>
      <c r="N528" s="4" t="str">
        <f>TRIM(SUBSTITUTE(M528,"_"," "))</f>
        <v>Ananya Rao</v>
      </c>
      <c r="O528" s="3" t="s">
        <v>108</v>
      </c>
      <c r="P528" s="6" t="str">
        <f>PROPER(TRIM(SUBSTITUTE(O528,".","")))</f>
        <v>Corporate</v>
      </c>
      <c r="Q528" s="3" t="s">
        <v>73</v>
      </c>
      <c r="R528" s="7" t="str">
        <f>PROPER(TRIM(SUBSTITUTE(Q528,"  "," ")))</f>
        <v>West</v>
      </c>
      <c r="S528" s="3" t="s">
        <v>84</v>
      </c>
      <c r="T528" s="6" t="str">
        <f>PROPER(TRIM(SUBSTITUTE(S528,"  "," ")))</f>
        <v>Madhya Pradesh</v>
      </c>
      <c r="U528" s="3" t="s">
        <v>85</v>
      </c>
      <c r="V528" s="6" t="str">
        <f>PROPER(TRIM(SUBSTITUTE(U528,"  "," ")))</f>
        <v>Indore</v>
      </c>
      <c r="W528" s="3" t="s">
        <v>30</v>
      </c>
      <c r="X528" s="6" t="str">
        <f>PROPER(TRIM(SUBSTITUTE(W528,"  "," ")))</f>
        <v>Office Supplies</v>
      </c>
      <c r="Y528" s="3" t="s">
        <v>156</v>
      </c>
      <c r="Z528" s="6" t="str">
        <f>PROPER(TRIM(SUBSTITUTE(Y528,"  "," ")))</f>
        <v>Storage</v>
      </c>
      <c r="AA528" s="3" t="s">
        <v>2868</v>
      </c>
      <c r="AB528" s="3" t="s">
        <v>48</v>
      </c>
      <c r="AC528" s="6" t="str">
        <f>PROPER(TRIM(SUBSTITUTE(AB528,"  "," ")))</f>
        <v>Same Day</v>
      </c>
      <c r="AD528" s="3">
        <v>3</v>
      </c>
      <c r="AE528" s="3">
        <v>3682.75</v>
      </c>
      <c r="AF528" s="3"/>
      <c r="AG528" s="18">
        <f>IF(ISBLANK(AF528), 0, AF528)</f>
        <v>0</v>
      </c>
      <c r="AH528" s="6" t="str">
        <f t="shared" si="67"/>
        <v>Missing</v>
      </c>
      <c r="AI528" s="3">
        <v>11048.25</v>
      </c>
      <c r="AJ528" s="3">
        <v>9062.7199999999993</v>
      </c>
      <c r="AK528" s="3">
        <v>1985.53</v>
      </c>
      <c r="AL528" s="3" t="s">
        <v>34</v>
      </c>
      <c r="AM528" s="6" t="str">
        <f>PROPER(TRIM(SUBSTITUTE(AL528,".","")))</f>
        <v>Paid</v>
      </c>
      <c r="AN528" s="3" t="s">
        <v>35</v>
      </c>
      <c r="AO528" s="8" t="str">
        <f>PROPER(TRIM(SUBSTITUTE(AN528,".","")))</f>
        <v>Completed</v>
      </c>
      <c r="AP528" t="str">
        <f>IF(COUNTIF($A$2:$A$933, A528) &gt; 1, "Duplicate ID", "Unique")</f>
        <v>Unique</v>
      </c>
      <c r="AR528">
        <f t="shared" si="68"/>
        <v>11048.25</v>
      </c>
      <c r="AS528">
        <f t="shared" si="69"/>
        <v>1985.5300000000007</v>
      </c>
      <c r="AT528" s="15">
        <f t="shared" si="70"/>
        <v>0.17971443441268986</v>
      </c>
      <c r="AU528" t="str">
        <f t="shared" si="71"/>
        <v>Warning</v>
      </c>
      <c r="AV528" s="8" t="str">
        <f t="shared" si="72"/>
        <v>Active</v>
      </c>
    </row>
    <row r="529" spans="1:48">
      <c r="A529" s="3" t="s">
        <v>2779</v>
      </c>
      <c r="B529" s="3" t="s">
        <v>2780</v>
      </c>
      <c r="C529" s="9">
        <f>IFERROR(DATEVALUE(TEXT(B529,"DD/MM/YYYY")), IF(ISNUMBER(B529), B529, ""))</f>
        <v>45722</v>
      </c>
      <c r="D529" s="9" t="str">
        <f>IF(B529="","Missing", IF(AND(ISNUMBER(B529)=FALSE, C529=""),"Invalid - Could Not Parse", IF(AND(ISNUMBER(B529)=FALSE, C529&lt;&gt;""),"Text - Converted to Date", IF(ISNUMBER(B529),"Valid","Check"))))</f>
        <v>Text - Converted to Date</v>
      </c>
      <c r="E529" s="5">
        <f t="shared" si="65"/>
        <v>3</v>
      </c>
      <c r="F529" s="5">
        <f t="shared" si="66"/>
        <v>2025</v>
      </c>
      <c r="G529" s="3" t="s">
        <v>1459</v>
      </c>
      <c r="H529" s="9">
        <f>IFERROR(DATEVALUE(MID(G529,4,2) &amp; "/" &amp; LEFT(G529,2) &amp; "/" &amp; RIGHT(G529,4)), IF(ISNUMBER(G529), G529, IFERROR(DATEVALUE(G529), "")))</f>
        <v>45729</v>
      </c>
      <c r="I529" s="9" t="str">
        <f>IF(G529="","Missing", IF(AND(ISNUMBER(G529)=FALSE, H529=""),"Invalid - Could Not Parse", IF(AND(ISNUMBER(G529)=FALSE, H529&lt;&gt;""),"Text - Converted to Date", IF(ISNUMBER(G529),"Valid","Check"))))</f>
        <v>Text - Converted to Date</v>
      </c>
      <c r="J529" s="9" t="str">
        <f>IF(OR(C529="", H529=""), "Cannot Check - Date Missing", IF(H529&lt;C529, "Invalid - Ship Before Order", "Valid"))</f>
        <v>Valid</v>
      </c>
      <c r="K529" s="5">
        <f>IF(OR(C529="", H529=""), "", IF(H529&lt;C529, "", H529-C529))</f>
        <v>7</v>
      </c>
      <c r="L529" s="3" t="s">
        <v>2781</v>
      </c>
      <c r="M529" s="3" t="s">
        <v>366</v>
      </c>
      <c r="N529" s="4" t="str">
        <f>TRIM(SUBSTITUTE(M529,"_"," "))</f>
        <v>Kabir Singh</v>
      </c>
      <c r="O529" s="3" t="s">
        <v>26</v>
      </c>
      <c r="P529" s="6" t="str">
        <f>PROPER(TRIM(SUBSTITUTE(O529,".","")))</f>
        <v>Consumer</v>
      </c>
      <c r="Q529" s="3" t="s">
        <v>62</v>
      </c>
      <c r="R529" s="7" t="str">
        <f>PROPER(TRIM(SUBSTITUTE(Q529,"  "," ")))</f>
        <v>South</v>
      </c>
      <c r="S529" s="3" t="s">
        <v>242</v>
      </c>
      <c r="T529" s="6" t="str">
        <f>PROPER(TRIM(SUBSTITUTE(S529,"  "," ")))</f>
        <v>Kerala</v>
      </c>
      <c r="U529" s="3" t="s">
        <v>243</v>
      </c>
      <c r="V529" s="6" t="str">
        <f>PROPER(TRIM(SUBSTITUTE(U529,"  "," ")))</f>
        <v>Kochi</v>
      </c>
      <c r="W529" s="3" t="s">
        <v>45</v>
      </c>
      <c r="X529" s="6" t="str">
        <f>PROPER(TRIM(SUBSTITUTE(W529,"  "," ")))</f>
        <v>Furniture</v>
      </c>
      <c r="Y529" s="3" t="s">
        <v>76</v>
      </c>
      <c r="Z529" s="6" t="str">
        <f>PROPER(TRIM(SUBSTITUTE(Y529,"  "," ")))</f>
        <v>Chairs</v>
      </c>
      <c r="AA529" s="3" t="s">
        <v>2782</v>
      </c>
      <c r="AB529" s="3" t="s">
        <v>67</v>
      </c>
      <c r="AC529" s="6" t="str">
        <f>PROPER(TRIM(SUBSTITUTE(AB529,"  "," ")))</f>
        <v>Standard Class</v>
      </c>
      <c r="AD529" s="3">
        <v>3</v>
      </c>
      <c r="AE529" s="3">
        <v>163.72</v>
      </c>
      <c r="AF529" s="3">
        <v>0.15</v>
      </c>
      <c r="AG529" s="17">
        <v>0.15</v>
      </c>
      <c r="AH529" s="6" t="str">
        <f t="shared" si="67"/>
        <v>Valid</v>
      </c>
      <c r="AI529" s="3">
        <v>417.49</v>
      </c>
      <c r="AJ529" s="3">
        <v>261.67</v>
      </c>
      <c r="AK529" s="3">
        <v>155.82</v>
      </c>
      <c r="AL529" s="3" t="s">
        <v>200</v>
      </c>
      <c r="AM529" s="6" t="str">
        <f>PROPER(TRIM(SUBSTITUTE(AL529,".","")))</f>
        <v>Failed</v>
      </c>
      <c r="AN529" s="3" t="s">
        <v>125</v>
      </c>
      <c r="AO529" s="8" t="str">
        <f>PROPER(TRIM(SUBSTITUTE(AN529,".","")))</f>
        <v>Returned</v>
      </c>
      <c r="AP529" t="str">
        <f>IF(COUNTIF($A$2:$A$933, A529) &gt; 1, "Duplicate ID", "Unique")</f>
        <v>Unique</v>
      </c>
      <c r="AR529">
        <f t="shared" si="68"/>
        <v>417.48599999999999</v>
      </c>
      <c r="AS529">
        <f t="shared" si="69"/>
        <v>155.81599999999997</v>
      </c>
      <c r="AT529" s="15">
        <f t="shared" si="70"/>
        <v>0.37322449136018926</v>
      </c>
      <c r="AU529" t="str">
        <f t="shared" si="71"/>
        <v>Clean</v>
      </c>
      <c r="AV529" s="8" t="str">
        <f t="shared" si="72"/>
        <v>Active</v>
      </c>
    </row>
    <row r="530" spans="1:48">
      <c r="A530" s="3" t="s">
        <v>1434</v>
      </c>
      <c r="B530" s="3" t="s">
        <v>787</v>
      </c>
      <c r="C530" s="9">
        <f>IFERROR(DATEVALUE(TEXT(B530,"DD/MM/YYYY")), IF(ISNUMBER(B530), B530, ""))</f>
        <v>45723</v>
      </c>
      <c r="D530" s="9" t="str">
        <f>IF(B530="","Missing", IF(AND(ISNUMBER(B530)=FALSE, C530=""),"Invalid - Could Not Parse", IF(AND(ISNUMBER(B530)=FALSE, C530&lt;&gt;""),"Text - Converted to Date", IF(ISNUMBER(B530),"Valid","Check"))))</f>
        <v>Text - Converted to Date</v>
      </c>
      <c r="E530" s="5">
        <f t="shared" si="65"/>
        <v>3</v>
      </c>
      <c r="F530" s="5">
        <f t="shared" si="66"/>
        <v>2025</v>
      </c>
      <c r="G530" s="3" t="s">
        <v>1435</v>
      </c>
      <c r="H530" s="9">
        <f>IFERROR(DATEVALUE(TEXT(G530,"DD/MM/YYYY")), IF(ISNUMBER(G530), G530, ""))</f>
        <v>45730</v>
      </c>
      <c r="I530" s="9" t="str">
        <f>IF(G530="","Missing", IF(AND(ISNUMBER(G530)=FALSE, H530=""),"Invalid - Could Not Parse", IF(AND(ISNUMBER(G530)=FALSE, H530&lt;&gt;""),"Text - Converted to Date", IF(ISNUMBER(G530),"Valid","Check"))))</f>
        <v>Text - Converted to Date</v>
      </c>
      <c r="J530" s="9" t="str">
        <f>IF(OR(C530="", H530=""), "Cannot Check - Date Missing", IF(H530&lt;C530, "Invalid - Ship Before Order", "Valid"))</f>
        <v>Valid</v>
      </c>
      <c r="K530" s="5">
        <f>IF(OR(C530="", H530=""), "", IF(H530&lt;C530, "", H530-C530))</f>
        <v>7</v>
      </c>
      <c r="L530" s="3" t="s">
        <v>1436</v>
      </c>
      <c r="M530" s="3" t="s">
        <v>142</v>
      </c>
      <c r="N530" s="4" t="str">
        <f>TRIM(SUBSTITUTE(M530,"_"," "))</f>
        <v>Priya Menon</v>
      </c>
      <c r="O530" s="3" t="s">
        <v>41</v>
      </c>
      <c r="P530" s="6" t="str">
        <f>PROPER(TRIM(SUBSTITUTE(O530,".","")))</f>
        <v>Small Business</v>
      </c>
      <c r="Q530" s="3" t="s">
        <v>27</v>
      </c>
      <c r="R530" s="7" t="str">
        <f>PROPER(TRIM(SUBSTITUTE(Q530,"  "," ")))</f>
        <v>North</v>
      </c>
      <c r="S530" s="3" t="s">
        <v>506</v>
      </c>
      <c r="T530" s="6" t="str">
        <f>PROPER(TRIM(SUBSTITUTE(S530,"  "," ")))</f>
        <v>Delhi</v>
      </c>
      <c r="U530" s="3" t="s">
        <v>507</v>
      </c>
      <c r="V530" s="6" t="str">
        <f>PROPER(TRIM(SUBSTITUTE(U530,"  "," ")))</f>
        <v>New Delhi</v>
      </c>
      <c r="W530" s="3" t="s">
        <v>86</v>
      </c>
      <c r="X530" s="6" t="str">
        <f>PROPER(TRIM(SUBSTITUTE(W530,"  "," ")))</f>
        <v>Technology</v>
      </c>
      <c r="Y530" s="3" t="s">
        <v>87</v>
      </c>
      <c r="Z530" s="6" t="str">
        <f>PROPER(TRIM(SUBSTITUTE(Y530,"  "," ")))</f>
        <v>Accessories</v>
      </c>
      <c r="AA530" s="3" t="s">
        <v>1437</v>
      </c>
      <c r="AB530" s="3" t="s">
        <v>48</v>
      </c>
      <c r="AC530" s="6" t="str">
        <f>PROPER(TRIM(SUBSTITUTE(AB530,"  "," ")))</f>
        <v>Same Day</v>
      </c>
      <c r="AD530" s="3">
        <v>1</v>
      </c>
      <c r="AE530" s="3">
        <v>3979.64</v>
      </c>
      <c r="AF530" s="3">
        <v>0.05</v>
      </c>
      <c r="AG530" s="17">
        <v>0.05</v>
      </c>
      <c r="AH530" s="6" t="str">
        <f t="shared" si="67"/>
        <v>Valid</v>
      </c>
      <c r="AI530" s="3">
        <v>3780.66</v>
      </c>
      <c r="AJ530" s="3">
        <v>2148.31</v>
      </c>
      <c r="AK530" s="3">
        <v>1632.35</v>
      </c>
      <c r="AL530" s="3" t="s">
        <v>34</v>
      </c>
      <c r="AM530" s="6" t="str">
        <f>PROPER(TRIM(SUBSTITUTE(AL530,".","")))</f>
        <v>Paid</v>
      </c>
      <c r="AN530" s="3" t="s">
        <v>125</v>
      </c>
      <c r="AO530" s="8" t="str">
        <f>PROPER(TRIM(SUBSTITUTE(AN530,".","")))</f>
        <v>Returned</v>
      </c>
      <c r="AP530" t="str">
        <f>IF(COUNTIF($A$2:$A$933, A530) &gt; 1, "Duplicate ID", "Unique")</f>
        <v>Unique</v>
      </c>
      <c r="AR530">
        <f t="shared" si="68"/>
        <v>3780.6579999999999</v>
      </c>
      <c r="AS530">
        <f t="shared" si="69"/>
        <v>1632.348</v>
      </c>
      <c r="AT530" s="15">
        <f t="shared" si="70"/>
        <v>0.43176293650470365</v>
      </c>
      <c r="AU530" t="str">
        <f t="shared" si="71"/>
        <v>Clean</v>
      </c>
      <c r="AV530" s="8" t="str">
        <f t="shared" si="72"/>
        <v>Active</v>
      </c>
    </row>
    <row r="531" spans="1:48">
      <c r="A531" s="3" t="s">
        <v>3638</v>
      </c>
      <c r="B531" s="3" t="s">
        <v>3639</v>
      </c>
      <c r="C531" s="9">
        <f>IFERROR(DATEVALUE(TEXT(B531,"DD/MM/YYYY")), IF(ISNUMBER(B531), B531, ""))</f>
        <v>45723</v>
      </c>
      <c r="D531" s="9" t="str">
        <f>IF(B531="","Missing", IF(AND(ISNUMBER(B531)=FALSE, C531=""),"Invalid - Could Not Parse", IF(AND(ISNUMBER(B531)=FALSE, C531&lt;&gt;""),"Text - Converted to Date", IF(ISNUMBER(B531),"Valid","Check"))))</f>
        <v>Text - Converted to Date</v>
      </c>
      <c r="E531" s="5">
        <f t="shared" si="65"/>
        <v>3</v>
      </c>
      <c r="F531" s="5">
        <f t="shared" si="66"/>
        <v>2025</v>
      </c>
      <c r="G531" s="3" t="s">
        <v>2324</v>
      </c>
      <c r="H531" s="9">
        <f>IFERROR(DATEVALUE(TEXT(G531,"DD/MM/YYYY")), IF(ISNUMBER(G531), G531, ""))</f>
        <v>45724</v>
      </c>
      <c r="I531" s="9" t="str">
        <f>IF(G531="","Missing", IF(AND(ISNUMBER(G531)=FALSE, H531=""),"Invalid - Could Not Parse", IF(AND(ISNUMBER(G531)=FALSE, H531&lt;&gt;""),"Text - Converted to Date", IF(ISNUMBER(G531),"Valid","Check"))))</f>
        <v>Text - Converted to Date</v>
      </c>
      <c r="J531" s="9" t="str">
        <f>IF(OR(C531="", H531=""), "Cannot Check - Date Missing", IF(H531&lt;C531, "Invalid - Ship Before Order", "Valid"))</f>
        <v>Valid</v>
      </c>
      <c r="K531" s="5">
        <f>IF(OR(C531="", H531=""), "", IF(H531&lt;C531, "", H531-C531))</f>
        <v>1</v>
      </c>
      <c r="L531" s="3" t="s">
        <v>3640</v>
      </c>
      <c r="M531" s="3" t="s">
        <v>142</v>
      </c>
      <c r="N531" s="4" t="str">
        <f>TRIM(SUBSTITUTE(M531,"_"," "))</f>
        <v>Priya Menon</v>
      </c>
      <c r="O531" s="3" t="s">
        <v>115</v>
      </c>
      <c r="P531" s="6" t="str">
        <f>PROPER(TRIM(SUBSTITUTE(O531,".","")))</f>
        <v>Home Office</v>
      </c>
      <c r="Q531" s="3"/>
      <c r="R531" s="6" t="str">
        <f>IF(ISBLANK(Q531), "Unknown", Q531)</f>
        <v>Unknown</v>
      </c>
      <c r="S531" s="3" t="s">
        <v>28</v>
      </c>
      <c r="T531" s="6" t="str">
        <f>PROPER(TRIM(SUBSTITUTE(S531,"  "," ")))</f>
        <v>Rajasthan</v>
      </c>
      <c r="U531" s="3" t="s">
        <v>135</v>
      </c>
      <c r="V531" s="6" t="str">
        <f>PROPER(TRIM(SUBSTITUTE(U531,"  "," ")))</f>
        <v>Udaipur</v>
      </c>
      <c r="W531" s="3" t="s">
        <v>86</v>
      </c>
      <c r="X531" s="6" t="str">
        <f>PROPER(TRIM(SUBSTITUTE(W531,"  "," ")))</f>
        <v>Technology</v>
      </c>
      <c r="Y531" s="3" t="s">
        <v>94</v>
      </c>
      <c r="Z531" s="6" t="str">
        <f>PROPER(TRIM(SUBSTITUTE(Y531,"  "," ")))</f>
        <v>Copiers</v>
      </c>
      <c r="AA531" s="3" t="s">
        <v>3641</v>
      </c>
      <c r="AB531" s="3" t="s">
        <v>48</v>
      </c>
      <c r="AC531" s="6" t="str">
        <f>PROPER(TRIM(SUBSTITUTE(AB531,"  "," ")))</f>
        <v>Same Day</v>
      </c>
      <c r="AD531" s="3">
        <v>4</v>
      </c>
      <c r="AE531" s="3">
        <v>3537.48</v>
      </c>
      <c r="AF531" s="3">
        <v>0</v>
      </c>
      <c r="AG531" s="17">
        <v>0</v>
      </c>
      <c r="AH531" s="6" t="str">
        <f t="shared" si="67"/>
        <v>Valid</v>
      </c>
      <c r="AI531" s="3">
        <v>14149.92</v>
      </c>
      <c r="AJ531" s="3">
        <v>9466.51</v>
      </c>
      <c r="AK531" s="3">
        <v>4683.41</v>
      </c>
      <c r="AL531" s="3" t="s">
        <v>34</v>
      </c>
      <c r="AM531" s="6" t="str">
        <f>PROPER(TRIM(SUBSTITUTE(AL531,".","")))</f>
        <v>Paid</v>
      </c>
      <c r="AN531" s="3" t="s">
        <v>35</v>
      </c>
      <c r="AO531" s="8" t="str">
        <f>PROPER(TRIM(SUBSTITUTE(AN531,".","")))</f>
        <v>Completed</v>
      </c>
      <c r="AP531" t="str">
        <f>IF(COUNTIF($A$2:$A$933, A531) &gt; 1, "Duplicate ID", "Unique")</f>
        <v>Unique</v>
      </c>
      <c r="AR531">
        <f t="shared" si="68"/>
        <v>14149.92</v>
      </c>
      <c r="AS531">
        <f t="shared" si="69"/>
        <v>4683.41</v>
      </c>
      <c r="AT531" s="15">
        <f t="shared" si="70"/>
        <v>0.33098491016203624</v>
      </c>
      <c r="AU531" t="str">
        <f t="shared" si="71"/>
        <v>Clean</v>
      </c>
      <c r="AV531" s="8" t="str">
        <f t="shared" si="72"/>
        <v>Active</v>
      </c>
    </row>
    <row r="532" spans="1:48">
      <c r="A532" s="3" t="s">
        <v>3935</v>
      </c>
      <c r="B532" s="3" t="s">
        <v>3936</v>
      </c>
      <c r="C532" s="9">
        <f>IFERROR(DATEVALUE(TEXT(B532,"DD/MM/YYYY")), IF(ISNUMBER(B532), B532, ""))</f>
        <v>45724</v>
      </c>
      <c r="D532" s="9" t="str">
        <f>IF(B532="","Missing", IF(AND(ISNUMBER(B532)=FALSE, C532=""),"Invalid - Could Not Parse", IF(AND(ISNUMBER(B532)=FALSE, C532&lt;&gt;""),"Text - Converted to Date", IF(ISNUMBER(B532),"Valid","Check"))))</f>
        <v>Text - Converted to Date</v>
      </c>
      <c r="E532" s="5">
        <f t="shared" si="65"/>
        <v>3</v>
      </c>
      <c r="F532" s="5">
        <f t="shared" si="66"/>
        <v>2025</v>
      </c>
      <c r="G532" s="3" t="s">
        <v>3937</v>
      </c>
      <c r="H532" s="9">
        <f>IFERROR(DATEVALUE(TEXT(G532,"DD/MM/YYYY")), IF(ISNUMBER(G532), G532, ""))</f>
        <v>45725</v>
      </c>
      <c r="I532" s="9" t="str">
        <f>IF(G532="","Missing", IF(AND(ISNUMBER(G532)=FALSE, H532=""),"Invalid - Could Not Parse", IF(AND(ISNUMBER(G532)=FALSE, H532&lt;&gt;""),"Text - Converted to Date", IF(ISNUMBER(G532),"Valid","Check"))))</f>
        <v>Text - Converted to Date</v>
      </c>
      <c r="J532" s="9" t="str">
        <f>IF(OR(C532="", H532=""), "Cannot Check - Date Missing", IF(H532&lt;C532, "Invalid - Ship Before Order", "Valid"))</f>
        <v>Valid</v>
      </c>
      <c r="K532" s="5">
        <f>IF(OR(C532="", H532=""), "", IF(H532&lt;C532, "", H532-C532))</f>
        <v>1</v>
      </c>
      <c r="L532" s="3" t="s">
        <v>3938</v>
      </c>
      <c r="M532" s="3" t="s">
        <v>142</v>
      </c>
      <c r="N532" s="4" t="str">
        <f>TRIM(SUBSTITUTE(M532,"_"," "))</f>
        <v>Priya Menon</v>
      </c>
      <c r="O532" s="3" t="s">
        <v>115</v>
      </c>
      <c r="P532" s="6" t="str">
        <f>PROPER(TRIM(SUBSTITUTE(O532,".","")))</f>
        <v>Home Office</v>
      </c>
      <c r="Q532" s="3" t="s">
        <v>27</v>
      </c>
      <c r="R532" s="7" t="str">
        <f>PROPER(TRIM(SUBSTITUTE(Q532,"  "," ")))</f>
        <v>North</v>
      </c>
      <c r="S532" s="3" t="s">
        <v>506</v>
      </c>
      <c r="T532" s="6" t="str">
        <f>PROPER(TRIM(SUBSTITUTE(S532,"  "," ")))</f>
        <v>Delhi</v>
      </c>
      <c r="U532" s="3" t="s">
        <v>507</v>
      </c>
      <c r="V532" s="6" t="str">
        <f>PROPER(TRIM(SUBSTITUTE(U532,"  "," ")))</f>
        <v>New Delhi</v>
      </c>
      <c r="W532" s="3" t="s">
        <v>45</v>
      </c>
      <c r="X532" s="6" t="str">
        <f>PROPER(TRIM(SUBSTITUTE(W532,"  "," ")))</f>
        <v>Furniture</v>
      </c>
      <c r="Y532" s="3" t="s">
        <v>65</v>
      </c>
      <c r="Z532" s="6" t="str">
        <f>PROPER(TRIM(SUBSTITUTE(Y532,"  "," ")))</f>
        <v>Furnishings</v>
      </c>
      <c r="AA532" s="3" t="s">
        <v>3939</v>
      </c>
      <c r="AB532" s="3" t="s">
        <v>48</v>
      </c>
      <c r="AC532" s="6" t="str">
        <f>PROPER(TRIM(SUBSTITUTE(AB532,"  "," ")))</f>
        <v>Same Day</v>
      </c>
      <c r="AD532" s="3">
        <v>4</v>
      </c>
      <c r="AE532" s="3">
        <v>3405.68</v>
      </c>
      <c r="AF532" s="3">
        <v>0.2</v>
      </c>
      <c r="AG532" s="17">
        <v>0.2</v>
      </c>
      <c r="AH532" s="6" t="str">
        <f t="shared" si="67"/>
        <v>Valid</v>
      </c>
      <c r="AI532" s="3">
        <v>10898.18</v>
      </c>
      <c r="AJ532" s="3">
        <v>6231.41</v>
      </c>
      <c r="AK532" s="3">
        <v>4666.7700000000004</v>
      </c>
      <c r="AL532" s="3" t="s">
        <v>34</v>
      </c>
      <c r="AM532" s="6" t="str">
        <f>PROPER(TRIM(SUBSTITUTE(AL532,".","")))</f>
        <v>Paid</v>
      </c>
      <c r="AN532" s="3" t="s">
        <v>35</v>
      </c>
      <c r="AO532" s="8" t="str">
        <f>PROPER(TRIM(SUBSTITUTE(AN532,".","")))</f>
        <v>Completed</v>
      </c>
      <c r="AP532" t="str">
        <f>IF(COUNTIF($A$2:$A$933, A532) &gt; 1, "Duplicate ID", "Unique")</f>
        <v>Unique</v>
      </c>
      <c r="AR532">
        <f t="shared" si="68"/>
        <v>10898.175999999999</v>
      </c>
      <c r="AS532">
        <f t="shared" si="69"/>
        <v>4666.7659999999996</v>
      </c>
      <c r="AT532" s="15">
        <f t="shared" si="70"/>
        <v>0.42821532704188298</v>
      </c>
      <c r="AU532" t="str">
        <f t="shared" si="71"/>
        <v>Warning</v>
      </c>
      <c r="AV532" s="8" t="str">
        <f t="shared" si="72"/>
        <v>Active</v>
      </c>
    </row>
    <row r="533" spans="1:48">
      <c r="A533" s="3" t="s">
        <v>1986</v>
      </c>
      <c r="B533" s="3" t="s">
        <v>1987</v>
      </c>
      <c r="C533" s="9">
        <f>IFERROR(DATEVALUE(TEXT(B533,"DD/MM/YYYY")), IF(ISNUMBER(B533), B533, ""))</f>
        <v>45725</v>
      </c>
      <c r="D533" s="9" t="str">
        <f>IF(B533="","Missing", IF(AND(ISNUMBER(B533)=FALSE, C533=""),"Invalid - Could Not Parse", IF(AND(ISNUMBER(B533)=FALSE, C533&lt;&gt;""),"Text - Converted to Date", IF(ISNUMBER(B533),"Valid","Check"))))</f>
        <v>Text - Converted to Date</v>
      </c>
      <c r="E533" s="5">
        <f t="shared" si="65"/>
        <v>3</v>
      </c>
      <c r="F533" s="5">
        <f t="shared" si="66"/>
        <v>2025</v>
      </c>
      <c r="G533" s="3" t="s">
        <v>1988</v>
      </c>
      <c r="H533" s="9">
        <f>IFERROR(DATEVALUE(TEXT(G533,"DD/MM/YYYY")), IF(ISNUMBER(G533), G533, ""))</f>
        <v>45732</v>
      </c>
      <c r="I533" s="9" t="str">
        <f>IF(G533="","Missing", IF(AND(ISNUMBER(G533)=FALSE, H533=""),"Invalid - Could Not Parse", IF(AND(ISNUMBER(G533)=FALSE, H533&lt;&gt;""),"Text - Converted to Date", IF(ISNUMBER(G533),"Valid","Check"))))</f>
        <v>Text - Converted to Date</v>
      </c>
      <c r="J533" s="9" t="str">
        <f>IF(OR(C533="", H533=""), "Cannot Check - Date Missing", IF(H533&lt;C533, "Invalid - Ship Before Order", "Valid"))</f>
        <v>Valid</v>
      </c>
      <c r="K533" s="5">
        <f>IF(OR(C533="", H533=""), "", IF(H533&lt;C533, "", H533-C533))</f>
        <v>7</v>
      </c>
      <c r="L533" s="3" t="s">
        <v>1989</v>
      </c>
      <c r="M533" s="3" t="s">
        <v>61</v>
      </c>
      <c r="N533" s="4" t="str">
        <f>TRIM(SUBSTITUTE(M533,"_"," "))</f>
        <v>Arjun Bose</v>
      </c>
      <c r="O533" s="3" t="s">
        <v>41</v>
      </c>
      <c r="P533" s="6" t="str">
        <f>PROPER(TRIM(SUBSTITUTE(O533,".","")))</f>
        <v>Small Business</v>
      </c>
      <c r="Q533" s="3" t="s">
        <v>42</v>
      </c>
      <c r="R533" s="7" t="str">
        <f>PROPER(TRIM(SUBSTITUTE(Q533,"  "," ")))</f>
        <v>East</v>
      </c>
      <c r="S533" s="3" t="s">
        <v>311</v>
      </c>
      <c r="T533" s="6" t="str">
        <f>PROPER(TRIM(SUBSTITUTE(S533,"  "," ")))</f>
        <v>Jharkhand</v>
      </c>
      <c r="U533" s="3" t="s">
        <v>312</v>
      </c>
      <c r="V533" s="6" t="str">
        <f>PROPER(TRIM(SUBSTITUTE(U533,"  "," ")))</f>
        <v>Ranchi</v>
      </c>
      <c r="W533" s="3" t="s">
        <v>45</v>
      </c>
      <c r="X533" s="6" t="str">
        <f>PROPER(TRIM(SUBSTITUTE(W533,"  "," ")))</f>
        <v>Furniture</v>
      </c>
      <c r="Y533" s="3" t="s">
        <v>46</v>
      </c>
      <c r="Z533" s="6" t="str">
        <f>PROPER(TRIM(SUBSTITUTE(Y533,"  "," ")))</f>
        <v>Tables</v>
      </c>
      <c r="AA533" s="3" t="s">
        <v>1990</v>
      </c>
      <c r="AB533" s="3" t="s">
        <v>48</v>
      </c>
      <c r="AC533" s="6" t="str">
        <f>PROPER(TRIM(SUBSTITUTE(AB533,"  "," ")))</f>
        <v>Same Day</v>
      </c>
      <c r="AD533" s="3">
        <v>3</v>
      </c>
      <c r="AE533" s="3">
        <v>2625.85</v>
      </c>
      <c r="AF533" s="3">
        <v>0</v>
      </c>
      <c r="AG533" s="17">
        <v>0</v>
      </c>
      <c r="AH533" s="6" t="str">
        <f t="shared" si="67"/>
        <v>Valid</v>
      </c>
      <c r="AI533" s="3">
        <v>7877.55</v>
      </c>
      <c r="AJ533" s="3">
        <v>5562.77</v>
      </c>
      <c r="AK533" s="3">
        <v>2314.7800000000002</v>
      </c>
      <c r="AL533" s="3" t="s">
        <v>34</v>
      </c>
      <c r="AM533" s="6" t="str">
        <f>PROPER(TRIM(SUBSTITUTE(AL533,".","")))</f>
        <v>Paid</v>
      </c>
      <c r="AN533" s="3" t="s">
        <v>35</v>
      </c>
      <c r="AO533" s="8" t="str">
        <f>PROPER(TRIM(SUBSTITUTE(AN533,".","")))</f>
        <v>Completed</v>
      </c>
      <c r="AP533" t="str">
        <f>IF(COUNTIF($A$2:$A$933, A533) &gt; 1, "Duplicate ID", "Unique")</f>
        <v>Unique</v>
      </c>
      <c r="AR533">
        <f t="shared" si="68"/>
        <v>7877.5499999999993</v>
      </c>
      <c r="AS533">
        <f t="shared" si="69"/>
        <v>2314.7799999999988</v>
      </c>
      <c r="AT533" s="15">
        <f t="shared" si="70"/>
        <v>0.29384516759652418</v>
      </c>
      <c r="AU533" t="str">
        <f t="shared" si="71"/>
        <v>Clean</v>
      </c>
      <c r="AV533" s="8" t="str">
        <f t="shared" si="72"/>
        <v>Active</v>
      </c>
    </row>
    <row r="534" spans="1:48">
      <c r="A534" s="3" t="s">
        <v>2082</v>
      </c>
      <c r="B534" s="3" t="s">
        <v>2083</v>
      </c>
      <c r="C534" s="9">
        <f>IFERROR(DATEVALUE(TEXT(B534,"DD/MM/YYYY")), IF(ISNUMBER(B534), B534, ""))</f>
        <v>45725</v>
      </c>
      <c r="D534" s="9" t="str">
        <f>IF(B534="","Missing", IF(AND(ISNUMBER(B534)=FALSE, C534=""),"Invalid - Could Not Parse", IF(AND(ISNUMBER(B534)=FALSE, C534&lt;&gt;""),"Text - Converted to Date", IF(ISNUMBER(B534),"Valid","Check"))))</f>
        <v>Text - Converted to Date</v>
      </c>
      <c r="E534" s="5">
        <f t="shared" si="65"/>
        <v>3</v>
      </c>
      <c r="F534" s="5">
        <f t="shared" si="66"/>
        <v>2025</v>
      </c>
      <c r="G534" s="3" t="s">
        <v>2084</v>
      </c>
      <c r="H534" s="9">
        <f>IFERROR(DATEVALUE(TEXT(G534,"DD/MM/YYYY")), IF(ISNUMBER(G534), G534, ""))</f>
        <v>45906</v>
      </c>
      <c r="I534" s="9" t="str">
        <f>IF(G534="","Missing", IF(AND(ISNUMBER(G534)=FALSE, H534=""),"Invalid - Could Not Parse", IF(AND(ISNUMBER(G534)=FALSE, H534&lt;&gt;""),"Text - Converted to Date", IF(ISNUMBER(G534),"Valid","Check"))))</f>
        <v>Text - Converted to Date</v>
      </c>
      <c r="J534" s="9" t="str">
        <f>IF(OR(C534="", H534=""), "Cannot Check - Date Missing", IF(H534&lt;C534, "Invalid - Ship Before Order", "Valid"))</f>
        <v>Valid</v>
      </c>
      <c r="K534" s="5">
        <f>IF(OR(C534="", H534=""), "", IF(H534&lt;C534, "", H534-C534))</f>
        <v>181</v>
      </c>
      <c r="L534" s="3" t="s">
        <v>2085</v>
      </c>
      <c r="M534" s="3" t="s">
        <v>366</v>
      </c>
      <c r="N534" s="4" t="str">
        <f>TRIM(SUBSTITUTE(M534,"_"," "))</f>
        <v>Kabir Singh</v>
      </c>
      <c r="O534" s="3" t="s">
        <v>26</v>
      </c>
      <c r="P534" s="6" t="str">
        <f>PROPER(TRIM(SUBSTITUTE(O534,".","")))</f>
        <v>Consumer</v>
      </c>
      <c r="Q534" s="3" t="s">
        <v>73</v>
      </c>
      <c r="R534" s="7" t="str">
        <f>PROPER(TRIM(SUBSTITUTE(Q534,"  "," ")))</f>
        <v>West</v>
      </c>
      <c r="S534" s="3" t="s">
        <v>84</v>
      </c>
      <c r="T534" s="6" t="str">
        <f>PROPER(TRIM(SUBSTITUTE(S534,"  "," ")))</f>
        <v>Madhya Pradesh</v>
      </c>
      <c r="U534" s="3" t="s">
        <v>85</v>
      </c>
      <c r="V534" s="6" t="str">
        <f>PROPER(TRIM(SUBSTITUTE(U534,"  "," ")))</f>
        <v>Indore</v>
      </c>
      <c r="W534" s="3" t="s">
        <v>86</v>
      </c>
      <c r="X534" s="6" t="str">
        <f>PROPER(TRIM(SUBSTITUTE(W534,"  "," ")))</f>
        <v>Technology</v>
      </c>
      <c r="Y534" s="3" t="s">
        <v>94</v>
      </c>
      <c r="Z534" s="6" t="str">
        <f>PROPER(TRIM(SUBSTITUTE(Y534,"  "," ")))</f>
        <v>Copiers</v>
      </c>
      <c r="AA534" s="3" t="s">
        <v>2086</v>
      </c>
      <c r="AB534" s="3" t="s">
        <v>48</v>
      </c>
      <c r="AC534" s="6" t="str">
        <f>PROPER(TRIM(SUBSTITUTE(AB534,"  "," ")))</f>
        <v>Same Day</v>
      </c>
      <c r="AD534" s="3">
        <v>7</v>
      </c>
      <c r="AE534" s="3">
        <v>688.85</v>
      </c>
      <c r="AF534" s="3">
        <v>0.15</v>
      </c>
      <c r="AG534" s="17">
        <v>0.15</v>
      </c>
      <c r="AH534" s="6" t="str">
        <f t="shared" si="67"/>
        <v>Valid</v>
      </c>
      <c r="AI534" s="3">
        <v>4098.66</v>
      </c>
      <c r="AJ534" s="3">
        <v>2678.06</v>
      </c>
      <c r="AK534" s="3">
        <v>1420.6</v>
      </c>
      <c r="AL534" s="3" t="s">
        <v>34</v>
      </c>
      <c r="AM534" s="6" t="str">
        <f>PROPER(TRIM(SUBSTITUTE(AL534,".","")))</f>
        <v>Paid</v>
      </c>
      <c r="AN534" s="3" t="s">
        <v>35</v>
      </c>
      <c r="AO534" s="8" t="str">
        <f>PROPER(TRIM(SUBSTITUTE(AN534,".","")))</f>
        <v>Completed</v>
      </c>
      <c r="AP534" t="str">
        <f>IF(COUNTIF($A$2:$A$933, A534) &gt; 1, "Duplicate ID", "Unique")</f>
        <v>Unique</v>
      </c>
      <c r="AR534">
        <f t="shared" si="68"/>
        <v>4098.6574999999993</v>
      </c>
      <c r="AS534">
        <f t="shared" si="69"/>
        <v>1420.5974999999994</v>
      </c>
      <c r="AT534" s="15">
        <f t="shared" si="70"/>
        <v>0.34660068571233377</v>
      </c>
      <c r="AU534" t="str">
        <f t="shared" si="71"/>
        <v>Clean</v>
      </c>
      <c r="AV534" s="8" t="str">
        <f t="shared" si="72"/>
        <v>Active</v>
      </c>
    </row>
    <row r="535" spans="1:48">
      <c r="A535" s="3" t="s">
        <v>1733</v>
      </c>
      <c r="B535" s="3" t="s">
        <v>1734</v>
      </c>
      <c r="C535" s="9">
        <f>IFERROR(DATEVALUE(TEXT(B535,"DD/MM/YYYY")), IF(ISNUMBER(B535), B535, ""))</f>
        <v>45726</v>
      </c>
      <c r="D535" s="9" t="str">
        <f>IF(B535="","Missing", IF(AND(ISNUMBER(B535)=FALSE, C535=""),"Invalid - Could Not Parse", IF(AND(ISNUMBER(B535)=FALSE, C535&lt;&gt;""),"Text - Converted to Date", IF(ISNUMBER(B535),"Valid","Check"))))</f>
        <v>Text - Converted to Date</v>
      </c>
      <c r="E535" s="5">
        <f t="shared" si="65"/>
        <v>3</v>
      </c>
      <c r="F535" s="5">
        <f t="shared" si="66"/>
        <v>2025</v>
      </c>
      <c r="G535" s="3" t="s">
        <v>1191</v>
      </c>
      <c r="H535" s="9">
        <f>IFERROR(DATEVALUE(TEXT(G535,"DD/MM/YYYY")), IF(ISNUMBER(G535), G535, ""))</f>
        <v>45938</v>
      </c>
      <c r="I535" s="9" t="str">
        <f>IF(G535="","Missing", IF(AND(ISNUMBER(G535)=FALSE, H535=""),"Invalid - Could Not Parse", IF(AND(ISNUMBER(G535)=FALSE, H535&lt;&gt;""),"Text - Converted to Date", IF(ISNUMBER(G535),"Valid","Check"))))</f>
        <v>Text - Converted to Date</v>
      </c>
      <c r="J535" s="9" t="str">
        <f>IF(OR(C535="", H535=""), "Cannot Check - Date Missing", IF(H535&lt;C535, "Invalid - Ship Before Order", "Valid"))</f>
        <v>Valid</v>
      </c>
      <c r="K535" s="5">
        <f>IF(OR(C535="", H535=""), "", IF(H535&lt;C535, "", H535-C535))</f>
        <v>212</v>
      </c>
      <c r="L535" s="3" t="s">
        <v>1735</v>
      </c>
      <c r="M535" s="3" t="s">
        <v>162</v>
      </c>
      <c r="N535" s="4" t="str">
        <f>TRIM(SUBSTITUTE(M535,"_"," "))</f>
        <v>Aarav Sharma</v>
      </c>
      <c r="O535" s="3" t="s">
        <v>108</v>
      </c>
      <c r="P535" s="6" t="str">
        <f>PROPER(TRIM(SUBSTITUTE(O535,".","")))</f>
        <v>Corporate</v>
      </c>
      <c r="Q535" s="3" t="s">
        <v>73</v>
      </c>
      <c r="R535" s="7" t="str">
        <f>PROPER(TRIM(SUBSTITUTE(Q535,"  "," ")))</f>
        <v>West</v>
      </c>
      <c r="S535" s="3" t="s">
        <v>84</v>
      </c>
      <c r="T535" s="6" t="str">
        <f>PROPER(TRIM(SUBSTITUTE(S535,"  "," ")))</f>
        <v>Madhya Pradesh</v>
      </c>
      <c r="U535" s="3" t="s">
        <v>85</v>
      </c>
      <c r="V535" s="6" t="str">
        <f>PROPER(TRIM(SUBSTITUTE(U535,"  "," ")))</f>
        <v>Indore</v>
      </c>
      <c r="W535" s="3" t="s">
        <v>86</v>
      </c>
      <c r="X535" s="6" t="str">
        <f>PROPER(TRIM(SUBSTITUTE(W535,"  "," ")))</f>
        <v>Technology</v>
      </c>
      <c r="Y535" s="3" t="s">
        <v>382</v>
      </c>
      <c r="Z535" s="6" t="str">
        <f>PROPER(TRIM(SUBSTITUTE(Y535,"  "," ")))</f>
        <v>Machines</v>
      </c>
      <c r="AA535" s="3" t="s">
        <v>1736</v>
      </c>
      <c r="AB535" s="3" t="s">
        <v>48</v>
      </c>
      <c r="AC535" s="6" t="str">
        <f>PROPER(TRIM(SUBSTITUTE(AB535,"  "," ")))</f>
        <v>Same Day</v>
      </c>
      <c r="AD535" s="3">
        <v>9</v>
      </c>
      <c r="AE535" s="3">
        <v>3837</v>
      </c>
      <c r="AF535" s="3">
        <v>0.1</v>
      </c>
      <c r="AG535" s="17">
        <v>0.1</v>
      </c>
      <c r="AH535" s="6" t="str">
        <f t="shared" si="67"/>
        <v>Valid</v>
      </c>
      <c r="AI535" s="3">
        <v>31079.7</v>
      </c>
      <c r="AJ535" s="3">
        <v>17758.25</v>
      </c>
      <c r="AK535" s="3">
        <v>13321.45</v>
      </c>
      <c r="AL535" s="3" t="s">
        <v>34</v>
      </c>
      <c r="AM535" s="6" t="str">
        <f>PROPER(TRIM(SUBSTITUTE(AL535,".","")))</f>
        <v>Paid</v>
      </c>
      <c r="AN535" s="3" t="s">
        <v>35</v>
      </c>
      <c r="AO535" s="8" t="str">
        <f>PROPER(TRIM(SUBSTITUTE(AN535,".","")))</f>
        <v>Completed</v>
      </c>
      <c r="AP535" t="str">
        <f>IF(COUNTIF($A$2:$A$933, A535) &gt; 1, "Duplicate ID", "Unique")</f>
        <v>Unique</v>
      </c>
      <c r="AR535">
        <f t="shared" si="68"/>
        <v>31079.7</v>
      </c>
      <c r="AS535">
        <f t="shared" si="69"/>
        <v>13321.45</v>
      </c>
      <c r="AT535" s="15">
        <f t="shared" si="70"/>
        <v>0.4286222196481948</v>
      </c>
      <c r="AU535" t="str">
        <f t="shared" si="71"/>
        <v>Clean</v>
      </c>
      <c r="AV535" s="8" t="str">
        <f t="shared" si="72"/>
        <v>Active</v>
      </c>
    </row>
    <row r="536" spans="1:48">
      <c r="A536" s="3" t="s">
        <v>4047</v>
      </c>
      <c r="B536" s="3" t="s">
        <v>4048</v>
      </c>
      <c r="C536" s="9">
        <f>IFERROR(DATEVALUE(TEXT(B536,"DD/MM/YYYY")), IF(ISNUMBER(B536), B536, ""))</f>
        <v>45726</v>
      </c>
      <c r="D536" s="9" t="str">
        <f>IF(B536="","Missing", IF(AND(ISNUMBER(B536)=FALSE, C536=""),"Invalid - Could Not Parse", IF(AND(ISNUMBER(B536)=FALSE, C536&lt;&gt;""),"Text - Converted to Date", IF(ISNUMBER(B536),"Valid","Check"))))</f>
        <v>Text - Converted to Date</v>
      </c>
      <c r="E536" s="5">
        <f t="shared" si="65"/>
        <v>3</v>
      </c>
      <c r="F536" s="5">
        <f t="shared" si="66"/>
        <v>2025</v>
      </c>
      <c r="G536" s="3" t="s">
        <v>4049</v>
      </c>
      <c r="H536" s="9">
        <f>IFERROR(DATEVALUE(TEXT(G536,"DD/MM/YYYY")), IF(ISNUMBER(G536), G536, ""))</f>
        <v>45964</v>
      </c>
      <c r="I536" s="9" t="str">
        <f>IF(G536="","Missing", IF(AND(ISNUMBER(G536)=FALSE, H536=""),"Invalid - Could Not Parse", IF(AND(ISNUMBER(G536)=FALSE, H536&lt;&gt;""),"Text - Converted to Date", IF(ISNUMBER(G536),"Valid","Check"))))</f>
        <v>Text - Converted to Date</v>
      </c>
      <c r="J536" s="9" t="str">
        <f>IF(OR(C536="", H536=""), "Cannot Check - Date Missing", IF(H536&lt;C536, "Invalid - Ship Before Order", "Valid"))</f>
        <v>Valid</v>
      </c>
      <c r="K536" s="5">
        <f>IF(OR(C536="", H536=""), "", IF(H536&lt;C536, "", H536-C536))</f>
        <v>238</v>
      </c>
      <c r="L536" s="3" t="s">
        <v>1349</v>
      </c>
      <c r="M536" s="3" t="s">
        <v>107</v>
      </c>
      <c r="N536" s="4" t="str">
        <f>TRIM(SUBSTITUTE(M536,"_"," "))</f>
        <v>Aditi Sen</v>
      </c>
      <c r="O536" s="3" t="s">
        <v>115</v>
      </c>
      <c r="P536" s="6" t="str">
        <f>PROPER(TRIM(SUBSTITUTE(O536,".","")))</f>
        <v>Home Office</v>
      </c>
      <c r="Q536" s="3" t="s">
        <v>73</v>
      </c>
      <c r="R536" s="7" t="str">
        <f>PROPER(TRIM(SUBSTITUTE(Q536,"  "," ")))</f>
        <v>West</v>
      </c>
      <c r="S536" s="3" t="s">
        <v>84</v>
      </c>
      <c r="T536" s="6" t="str">
        <f>PROPER(TRIM(SUBSTITUTE(S536,"  "," ")))</f>
        <v>Madhya Pradesh</v>
      </c>
      <c r="U536" s="3" t="s">
        <v>85</v>
      </c>
      <c r="V536" s="6" t="str">
        <f>PROPER(TRIM(SUBSTITUTE(U536,"  "," ")))</f>
        <v>Indore</v>
      </c>
      <c r="W536" s="3" t="s">
        <v>30</v>
      </c>
      <c r="X536" s="6" t="str">
        <f>PROPER(TRIM(SUBSTITUTE(W536,"  "," ")))</f>
        <v>Office Supplies</v>
      </c>
      <c r="Y536" s="3" t="s">
        <v>156</v>
      </c>
      <c r="Z536" s="6" t="str">
        <f>PROPER(TRIM(SUBSTITUTE(Y536,"  "," ")))</f>
        <v>Storage</v>
      </c>
      <c r="AA536" s="3" t="s">
        <v>4050</v>
      </c>
      <c r="AB536" s="3" t="s">
        <v>56</v>
      </c>
      <c r="AC536" s="6" t="str">
        <f>PROPER(TRIM(SUBSTITUTE(AB536,"  "," ")))</f>
        <v>First Class</v>
      </c>
      <c r="AD536" s="3">
        <v>2</v>
      </c>
      <c r="AE536" s="3">
        <v>3922.08</v>
      </c>
      <c r="AF536" s="3">
        <v>0.25</v>
      </c>
      <c r="AG536" s="17">
        <v>0.25</v>
      </c>
      <c r="AH536" s="6" t="str">
        <f t="shared" si="67"/>
        <v>Valid</v>
      </c>
      <c r="AI536" s="3">
        <v>5883.12</v>
      </c>
      <c r="AJ536" s="3">
        <v>4647.91</v>
      </c>
      <c r="AK536" s="3">
        <v>1235.21</v>
      </c>
      <c r="AL536" s="3" t="s">
        <v>34</v>
      </c>
      <c r="AM536" s="6" t="str">
        <f>PROPER(TRIM(SUBSTITUTE(AL536,".","")))</f>
        <v>Paid</v>
      </c>
      <c r="AN536" s="3" t="s">
        <v>125</v>
      </c>
      <c r="AO536" s="8" t="str">
        <f>PROPER(TRIM(SUBSTITUTE(AN536,".","")))</f>
        <v>Returned</v>
      </c>
      <c r="AP536" t="str">
        <f>IF(COUNTIF($A$2:$A$933, A536) &gt; 1, "Duplicate ID", "Unique")</f>
        <v>Unique</v>
      </c>
      <c r="AR536">
        <f t="shared" si="68"/>
        <v>5883.12</v>
      </c>
      <c r="AS536">
        <f t="shared" si="69"/>
        <v>1235.21</v>
      </c>
      <c r="AT536" s="15">
        <f t="shared" si="70"/>
        <v>0.20995832143488491</v>
      </c>
      <c r="AU536" t="str">
        <f t="shared" si="71"/>
        <v>Clean</v>
      </c>
      <c r="AV536" s="8" t="str">
        <f t="shared" si="72"/>
        <v>Active</v>
      </c>
    </row>
    <row r="537" spans="1:48">
      <c r="A537" s="3" t="s">
        <v>2273</v>
      </c>
      <c r="B537" s="3" t="s">
        <v>2274</v>
      </c>
      <c r="C537" s="9">
        <f>IFERROR(DATEVALUE(TEXT(B537,"DD/MM/YYYY")), IF(ISNUMBER(B537), B537, ""))</f>
        <v>45727</v>
      </c>
      <c r="D537" s="9" t="str">
        <f>IF(B537="","Missing", IF(AND(ISNUMBER(B537)=FALSE, C537=""),"Invalid - Could Not Parse", IF(AND(ISNUMBER(B537)=FALSE, C537&lt;&gt;""),"Text - Converted to Date", IF(ISNUMBER(B537),"Valid","Check"))))</f>
        <v>Text - Converted to Date</v>
      </c>
      <c r="E537" s="5">
        <f t="shared" si="65"/>
        <v>3</v>
      </c>
      <c r="F537" s="5">
        <f t="shared" si="66"/>
        <v>2025</v>
      </c>
      <c r="G537" s="3" t="s">
        <v>2275</v>
      </c>
      <c r="H537" s="9">
        <f>IFERROR(DATEVALUE(MID(G537,4,2) &amp; "/" &amp; LEFT(G537,2) &amp; "/" &amp; RIGHT(G537,4)), IF(ISNUMBER(G537), G537, IFERROR(DATEVALUE(G537), "")))</f>
        <v>45731</v>
      </c>
      <c r="I537" s="9" t="str">
        <f>IF(G537="","Missing", IF(AND(ISNUMBER(G537)=FALSE, H537=""),"Invalid - Could Not Parse", IF(AND(ISNUMBER(G537)=FALSE, H537&lt;&gt;""),"Text - Converted to Date", IF(ISNUMBER(G537),"Valid","Check"))))</f>
        <v>Text - Converted to Date</v>
      </c>
      <c r="J537" s="9" t="str">
        <f>IF(OR(C537="", H537=""), "Cannot Check - Date Missing", IF(H537&lt;C537, "Invalid - Ship Before Order", "Valid"))</f>
        <v>Valid</v>
      </c>
      <c r="K537" s="5">
        <f>IF(OR(C537="", H537=""), "", IF(H537&lt;C537, "", H537-C537))</f>
        <v>4</v>
      </c>
      <c r="L537" s="3" t="s">
        <v>2276</v>
      </c>
      <c r="M537" s="3" t="s">
        <v>61</v>
      </c>
      <c r="N537" s="4" t="str">
        <f>TRIM(SUBSTITUTE(M537,"_"," "))</f>
        <v>Arjun Bose</v>
      </c>
      <c r="O537" s="3" t="s">
        <v>108</v>
      </c>
      <c r="P537" s="6" t="str">
        <f>PROPER(TRIM(SUBSTITUTE(O537,".","")))</f>
        <v>Corporate</v>
      </c>
      <c r="Q537" s="3" t="s">
        <v>42</v>
      </c>
      <c r="R537" s="7" t="str">
        <f>PROPER(TRIM(SUBSTITUTE(Q537,"  "," ")))</f>
        <v>East</v>
      </c>
      <c r="S537" s="3" t="s">
        <v>186</v>
      </c>
      <c r="T537" s="6" t="str">
        <f>PROPER(TRIM(SUBSTITUTE(S537,"  "," ")))</f>
        <v>Bihar</v>
      </c>
      <c r="U537" s="3" t="s">
        <v>187</v>
      </c>
      <c r="V537" s="6" t="str">
        <f>PROPER(TRIM(SUBSTITUTE(U537,"  "," ")))</f>
        <v>Patna</v>
      </c>
      <c r="W537" s="3" t="s">
        <v>30</v>
      </c>
      <c r="X537" s="6" t="str">
        <f>PROPER(TRIM(SUBSTITUTE(W537,"  "," ")))</f>
        <v>Office Supplies</v>
      </c>
      <c r="Y537" s="3" t="s">
        <v>31</v>
      </c>
      <c r="Z537" s="6" t="str">
        <f>PROPER(TRIM(SUBSTITUTE(Y537,"  "," ")))</f>
        <v>Paper</v>
      </c>
      <c r="AA537" s="3" t="s">
        <v>2277</v>
      </c>
      <c r="AB537" s="3" t="s">
        <v>48</v>
      </c>
      <c r="AC537" s="6" t="str">
        <f>PROPER(TRIM(SUBSTITUTE(AB537,"  "," ")))</f>
        <v>Same Day</v>
      </c>
      <c r="AD537" s="3">
        <v>3</v>
      </c>
      <c r="AE537" s="3">
        <v>3625.08</v>
      </c>
      <c r="AF537" s="3">
        <v>0.05</v>
      </c>
      <c r="AG537" s="17">
        <v>0.05</v>
      </c>
      <c r="AH537" s="6" t="str">
        <f t="shared" si="67"/>
        <v>Valid</v>
      </c>
      <c r="AI537" s="3">
        <v>10331.48</v>
      </c>
      <c r="AJ537" s="3">
        <v>7131.91</v>
      </c>
      <c r="AK537" s="3">
        <v>3199.57</v>
      </c>
      <c r="AL537" s="3" t="s">
        <v>137</v>
      </c>
      <c r="AM537" s="6" t="str">
        <f>PROPER(TRIM(SUBSTITUTE(AL537,".","")))</f>
        <v>Pending</v>
      </c>
      <c r="AN537" s="3" t="s">
        <v>78</v>
      </c>
      <c r="AO537" s="8" t="str">
        <f>PROPER(TRIM(SUBSTITUTE(AN537,".","")))</f>
        <v>Cancelled</v>
      </c>
      <c r="AP537" t="str">
        <f>IF(COUNTIF($A$2:$A$933, A537) &gt; 1, "Duplicate ID", "Unique")</f>
        <v>Unique</v>
      </c>
      <c r="AR537">
        <f t="shared" si="68"/>
        <v>10331.477999999999</v>
      </c>
      <c r="AS537">
        <f t="shared" si="69"/>
        <v>3199.5679999999993</v>
      </c>
      <c r="AT537" s="15">
        <f t="shared" si="70"/>
        <v>0.30969121746181905</v>
      </c>
      <c r="AU537" t="str">
        <f t="shared" si="71"/>
        <v>Clean</v>
      </c>
      <c r="AV537" s="8" t="str">
        <f t="shared" si="72"/>
        <v>Cancelled</v>
      </c>
    </row>
    <row r="538" spans="1:48">
      <c r="A538" s="3" t="s">
        <v>2756</v>
      </c>
      <c r="B538" s="3" t="s">
        <v>2757</v>
      </c>
      <c r="C538" s="9">
        <f>IFERROR(DATEVALUE(TEXT(B538,"DD/MM/YYYY")), IF(ISNUMBER(B538), B538, ""))</f>
        <v>45727</v>
      </c>
      <c r="D538" s="9" t="str">
        <f>IF(B538="","Missing", IF(AND(ISNUMBER(B538)=FALSE, C538=""),"Invalid - Could Not Parse", IF(AND(ISNUMBER(B538)=FALSE, C538&lt;&gt;""),"Text - Converted to Date", IF(ISNUMBER(B538),"Valid","Check"))))</f>
        <v>Text - Converted to Date</v>
      </c>
      <c r="E538" s="5">
        <f t="shared" si="65"/>
        <v>3</v>
      </c>
      <c r="F538" s="5">
        <f t="shared" si="66"/>
        <v>2025</v>
      </c>
      <c r="G538" s="3" t="s">
        <v>2758</v>
      </c>
      <c r="H538" s="9">
        <f>IFERROR(DATEVALUE(TEXT(G538,"DD/MM/YYYY")), IF(ISNUMBER(G538), G538, ""))</f>
        <v>45730</v>
      </c>
      <c r="I538" s="9" t="str">
        <f>IF(G538="","Missing", IF(AND(ISNUMBER(G538)=FALSE, H538=""),"Invalid - Could Not Parse", IF(AND(ISNUMBER(G538)=FALSE, H538&lt;&gt;""),"Text - Converted to Date", IF(ISNUMBER(G538),"Valid","Check"))))</f>
        <v>Text - Converted to Date</v>
      </c>
      <c r="J538" s="9" t="str">
        <f>IF(OR(C538="", H538=""), "Cannot Check - Date Missing", IF(H538&lt;C538, "Invalid - Ship Before Order", "Valid"))</f>
        <v>Valid</v>
      </c>
      <c r="K538" s="5">
        <f>IF(OR(C538="", H538=""), "", IF(H538&lt;C538, "", H538-C538))</f>
        <v>3</v>
      </c>
      <c r="L538" s="3" t="s">
        <v>2759</v>
      </c>
      <c r="M538" s="3" t="s">
        <v>168</v>
      </c>
      <c r="N538" s="4" t="str">
        <f>TRIM(SUBSTITUTE(M538,"_"," "))</f>
        <v>Sneha Kapoor</v>
      </c>
      <c r="O538" s="3" t="s">
        <v>115</v>
      </c>
      <c r="P538" s="6" t="str">
        <f>PROPER(TRIM(SUBSTITUTE(O538,".","")))</f>
        <v>Home Office</v>
      </c>
      <c r="Q538" s="3" t="s">
        <v>62</v>
      </c>
      <c r="R538" s="7" t="str">
        <f>PROPER(TRIM(SUBSTITUTE(Q538,"  "," ")))</f>
        <v>South</v>
      </c>
      <c r="S538" s="3" t="s">
        <v>242</v>
      </c>
      <c r="T538" s="6" t="str">
        <f>PROPER(TRIM(SUBSTITUTE(S538,"  "," ")))</f>
        <v>Kerala</v>
      </c>
      <c r="U538" s="3" t="s">
        <v>243</v>
      </c>
      <c r="V538" s="6" t="str">
        <f>PROPER(TRIM(SUBSTITUTE(U538,"  "," ")))</f>
        <v>Kochi</v>
      </c>
      <c r="W538" s="3" t="s">
        <v>45</v>
      </c>
      <c r="X538" s="6" t="str">
        <f>PROPER(TRIM(SUBSTITUTE(W538,"  "," ")))</f>
        <v>Furniture</v>
      </c>
      <c r="Y538" s="3" t="s">
        <v>65</v>
      </c>
      <c r="Z538" s="6" t="str">
        <f>PROPER(TRIM(SUBSTITUTE(Y538,"  "," ")))</f>
        <v>Furnishings</v>
      </c>
      <c r="AA538" s="3" t="s">
        <v>2760</v>
      </c>
      <c r="AB538" s="3" t="s">
        <v>48</v>
      </c>
      <c r="AC538" s="6" t="str">
        <f>PROPER(TRIM(SUBSTITUTE(AB538,"  "," ")))</f>
        <v>Same Day</v>
      </c>
      <c r="AD538" s="3">
        <v>4</v>
      </c>
      <c r="AE538" s="3">
        <v>1244.82</v>
      </c>
      <c r="AF538" s="3">
        <v>0.2</v>
      </c>
      <c r="AG538" s="17">
        <v>0.2</v>
      </c>
      <c r="AH538" s="6" t="str">
        <f t="shared" si="67"/>
        <v>Valid</v>
      </c>
      <c r="AI538" s="3">
        <v>3983.42</v>
      </c>
      <c r="AJ538" s="3">
        <v>3174.91</v>
      </c>
      <c r="AK538" s="3">
        <v>808.51</v>
      </c>
      <c r="AL538" s="3" t="s">
        <v>200</v>
      </c>
      <c r="AM538" s="6" t="str">
        <f>PROPER(TRIM(SUBSTITUTE(AL538,".","")))</f>
        <v>Failed</v>
      </c>
      <c r="AN538" s="3" t="s">
        <v>125</v>
      </c>
      <c r="AO538" s="8" t="str">
        <f>PROPER(TRIM(SUBSTITUTE(AN538,".","")))</f>
        <v>Returned</v>
      </c>
      <c r="AP538" t="str">
        <f>IF(COUNTIF($A$2:$A$933, A538) &gt; 1, "Duplicate ID", "Unique")</f>
        <v>Unique</v>
      </c>
      <c r="AR538">
        <f t="shared" si="68"/>
        <v>3983.424</v>
      </c>
      <c r="AS538">
        <f t="shared" si="69"/>
        <v>808.51400000000012</v>
      </c>
      <c r="AT538" s="15">
        <f t="shared" si="70"/>
        <v>0.2029696060474607</v>
      </c>
      <c r="AU538" t="str">
        <f t="shared" si="71"/>
        <v>Clean</v>
      </c>
      <c r="AV538" s="8" t="str">
        <f t="shared" si="72"/>
        <v>Active</v>
      </c>
    </row>
    <row r="539" spans="1:48">
      <c r="A539" s="3" t="s">
        <v>2815</v>
      </c>
      <c r="B539" s="3" t="s">
        <v>2816</v>
      </c>
      <c r="C539" s="9">
        <f>IFERROR(DATEVALUE(TEXT(B539,"DD/MM/YYYY")), IF(ISNUMBER(B539), B539, ""))</f>
        <v>45727</v>
      </c>
      <c r="D539" s="9" t="str">
        <f>IF(B539="","Missing", IF(AND(ISNUMBER(B539)=FALSE, C539=""),"Invalid - Could Not Parse", IF(AND(ISNUMBER(B539)=FALSE, C539&lt;&gt;""),"Text - Converted to Date", IF(ISNUMBER(B539),"Valid","Check"))))</f>
        <v>Text - Converted to Date</v>
      </c>
      <c r="E539" s="5">
        <f t="shared" si="65"/>
        <v>3</v>
      </c>
      <c r="F539" s="5">
        <f t="shared" si="66"/>
        <v>2025</v>
      </c>
      <c r="G539" s="3" t="s">
        <v>2817</v>
      </c>
      <c r="H539" s="9">
        <f>IFERROR(DATEVALUE(TEXT(G539,"DD/MM/YYYY")), IF(ISNUMBER(G539), G539, ""))</f>
        <v>45731</v>
      </c>
      <c r="I539" s="9" t="str">
        <f>IF(G539="","Missing", IF(AND(ISNUMBER(G539)=FALSE, H539=""),"Invalid - Could Not Parse", IF(AND(ISNUMBER(G539)=FALSE, H539&lt;&gt;""),"Text - Converted to Date", IF(ISNUMBER(G539),"Valid","Check"))))</f>
        <v>Text - Converted to Date</v>
      </c>
      <c r="J539" s="9" t="str">
        <f>IF(OR(C539="", H539=""), "Cannot Check - Date Missing", IF(H539&lt;C539, "Invalid - Ship Before Order", "Valid"))</f>
        <v>Valid</v>
      </c>
      <c r="K539" s="5">
        <f>IF(OR(C539="", H539=""), "", IF(H539&lt;C539, "", H539-C539))</f>
        <v>4</v>
      </c>
      <c r="L539" s="3" t="s">
        <v>2818</v>
      </c>
      <c r="M539" s="3" t="s">
        <v>162</v>
      </c>
      <c r="N539" s="4" t="str">
        <f>TRIM(SUBSTITUTE(M539,"_"," "))</f>
        <v>Aarav Sharma</v>
      </c>
      <c r="O539" s="3" t="s">
        <v>115</v>
      </c>
      <c r="P539" s="6" t="str">
        <f>PROPER(TRIM(SUBSTITUTE(O539,".","")))</f>
        <v>Home Office</v>
      </c>
      <c r="Q539" s="3" t="s">
        <v>62</v>
      </c>
      <c r="R539" s="7" t="str">
        <f>PROPER(TRIM(SUBSTITUTE(Q539,"  "," ")))</f>
        <v>South</v>
      </c>
      <c r="S539" s="3" t="s">
        <v>229</v>
      </c>
      <c r="T539" s="6" t="str">
        <f>PROPER(TRIM(SUBSTITUTE(S539,"  "," ")))</f>
        <v>Karnataka</v>
      </c>
      <c r="U539" s="3" t="s">
        <v>230</v>
      </c>
      <c r="V539" s="6" t="str">
        <f>PROPER(TRIM(SUBSTITUTE(U539,"  "," ")))</f>
        <v>Bengaluru</v>
      </c>
      <c r="W539" s="3" t="s">
        <v>86</v>
      </c>
      <c r="X539" s="6" t="str">
        <f>PROPER(TRIM(SUBSTITUTE(W539,"  "," ")))</f>
        <v>Technology</v>
      </c>
      <c r="Y539" s="3" t="s">
        <v>87</v>
      </c>
      <c r="Z539" s="6" t="str">
        <f>PROPER(TRIM(SUBSTITUTE(Y539,"  "," ")))</f>
        <v>Accessories</v>
      </c>
      <c r="AA539" s="3" t="s">
        <v>2819</v>
      </c>
      <c r="AB539" s="3" t="s">
        <v>33</v>
      </c>
      <c r="AC539" s="6" t="str">
        <f>PROPER(TRIM(SUBSTITUTE(AB539,"  "," ")))</f>
        <v>Second Class</v>
      </c>
      <c r="AD539" s="3">
        <v>8</v>
      </c>
      <c r="AE539" s="3">
        <v>4446.3599999999997</v>
      </c>
      <c r="AF539" s="3">
        <v>0.1</v>
      </c>
      <c r="AG539" s="17">
        <v>0.1</v>
      </c>
      <c r="AH539" s="6" t="str">
        <f t="shared" si="67"/>
        <v>Valid</v>
      </c>
      <c r="AI539" s="3">
        <v>32013.79</v>
      </c>
      <c r="AJ539" s="3">
        <v>20896.88</v>
      </c>
      <c r="AK539" s="3">
        <v>11116.91</v>
      </c>
      <c r="AL539" s="3" t="s">
        <v>124</v>
      </c>
      <c r="AM539" s="6" t="str">
        <f>PROPER(TRIM(SUBSTITUTE(AL539,".","")))</f>
        <v>Refunded</v>
      </c>
      <c r="AN539" s="3" t="s">
        <v>78</v>
      </c>
      <c r="AO539" s="8" t="str">
        <f>PROPER(TRIM(SUBSTITUTE(AN539,".","")))</f>
        <v>Cancelled</v>
      </c>
      <c r="AP539" t="str">
        <f>IF(COUNTIF($A$2:$A$933, A539) &gt; 1, "Duplicate ID", "Unique")</f>
        <v>Unique</v>
      </c>
      <c r="AR539">
        <f t="shared" si="68"/>
        <v>32013.791999999998</v>
      </c>
      <c r="AS539">
        <f t="shared" si="69"/>
        <v>11116.911999999997</v>
      </c>
      <c r="AT539" s="15">
        <f t="shared" si="70"/>
        <v>0.34725383359771933</v>
      </c>
      <c r="AU539" t="str">
        <f t="shared" si="71"/>
        <v>Clean</v>
      </c>
      <c r="AV539" s="8" t="str">
        <f t="shared" si="72"/>
        <v>Refund</v>
      </c>
    </row>
    <row r="540" spans="1:48">
      <c r="A540" s="3" t="s">
        <v>3610</v>
      </c>
      <c r="B540" s="3" t="s">
        <v>1435</v>
      </c>
      <c r="C540" s="9">
        <f>IFERROR(DATEVALUE(TEXT(B540,"DD/MM/YYYY")), IF(ISNUMBER(B540), B540, ""))</f>
        <v>45730</v>
      </c>
      <c r="D540" s="9" t="str">
        <f>IF(B540="","Missing", IF(AND(ISNUMBER(B540)=FALSE, C540=""),"Invalid - Could Not Parse", IF(AND(ISNUMBER(B540)=FALSE, C540&lt;&gt;""),"Text - Converted to Date", IF(ISNUMBER(B540),"Valid","Check"))))</f>
        <v>Text - Converted to Date</v>
      </c>
      <c r="E540" s="5">
        <f t="shared" si="65"/>
        <v>3</v>
      </c>
      <c r="F540" s="5">
        <f t="shared" si="66"/>
        <v>2025</v>
      </c>
      <c r="G540" s="3" t="s">
        <v>3611</v>
      </c>
      <c r="H540" s="9">
        <f>IFERROR(DATEVALUE(MID(G540,4,2) &amp; "/" &amp; LEFT(G540,2) &amp; "/" &amp; RIGHT(G540,4)), IF(ISNUMBER(G540), G540, IFERROR(DATEVALUE(G540), "")))</f>
        <v>45738</v>
      </c>
      <c r="I540" s="9" t="str">
        <f>IF(G540="","Missing", IF(AND(ISNUMBER(G540)=FALSE, H540=""),"Invalid - Could Not Parse", IF(AND(ISNUMBER(G540)=FALSE, H540&lt;&gt;""),"Text - Converted to Date", IF(ISNUMBER(G540),"Valid","Check"))))</f>
        <v>Text - Converted to Date</v>
      </c>
      <c r="J540" s="9" t="str">
        <f>IF(OR(C540="", H540=""), "Cannot Check - Date Missing", IF(H540&lt;C540, "Invalid - Ship Before Order", "Valid"))</f>
        <v>Valid</v>
      </c>
      <c r="K540" s="5">
        <f>IF(OR(C540="", H540=""), "", IF(H540&lt;C540, "", H540-C540))</f>
        <v>8</v>
      </c>
      <c r="L540" s="3" t="s">
        <v>3612</v>
      </c>
      <c r="M540" s="3" t="s">
        <v>40</v>
      </c>
      <c r="N540" s="4" t="str">
        <f>TRIM(SUBSTITUTE(M540,"_"," "))</f>
        <v>Mira Das</v>
      </c>
      <c r="O540" s="3" t="s">
        <v>108</v>
      </c>
      <c r="P540" s="6" t="str">
        <f>PROPER(TRIM(SUBSTITUTE(O540,".","")))</f>
        <v>Corporate</v>
      </c>
      <c r="Q540" s="3" t="s">
        <v>42</v>
      </c>
      <c r="R540" s="7" t="str">
        <f>PROPER(TRIM(SUBSTITUTE(Q540,"  "," ")))</f>
        <v>East</v>
      </c>
      <c r="S540" s="3" t="s">
        <v>121</v>
      </c>
      <c r="T540" s="6" t="str">
        <f>PROPER(TRIM(SUBSTITUTE(S540,"  "," ")))</f>
        <v>West Bengal</v>
      </c>
      <c r="U540" s="3" t="s">
        <v>122</v>
      </c>
      <c r="V540" s="6" t="str">
        <f>PROPER(TRIM(SUBSTITUTE(U540,"  "," ")))</f>
        <v>Kolkata</v>
      </c>
      <c r="W540" s="3" t="s">
        <v>86</v>
      </c>
      <c r="X540" s="6" t="str">
        <f>PROPER(TRIM(SUBSTITUTE(W540,"  "," ")))</f>
        <v>Technology</v>
      </c>
      <c r="Y540" s="3" t="s">
        <v>94</v>
      </c>
      <c r="Z540" s="6" t="str">
        <f>PROPER(TRIM(SUBSTITUTE(Y540,"  "," ")))</f>
        <v>Copiers</v>
      </c>
      <c r="AA540" s="3" t="s">
        <v>3613</v>
      </c>
      <c r="AB540" s="3" t="s">
        <v>67</v>
      </c>
      <c r="AC540" s="6" t="str">
        <f>PROPER(TRIM(SUBSTITUTE(AB540,"  "," ")))</f>
        <v>Standard Class</v>
      </c>
      <c r="AD540" s="3">
        <v>2</v>
      </c>
      <c r="AE540" s="3">
        <v>669.63</v>
      </c>
      <c r="AF540" s="3">
        <v>0.15</v>
      </c>
      <c r="AG540" s="17">
        <v>0.15</v>
      </c>
      <c r="AH540" s="6" t="str">
        <f t="shared" si="67"/>
        <v>Valid</v>
      </c>
      <c r="AI540" s="3">
        <v>1138.3699999999999</v>
      </c>
      <c r="AJ540" s="3">
        <v>797.34</v>
      </c>
      <c r="AK540" s="3">
        <v>341.03</v>
      </c>
      <c r="AL540" s="3" t="s">
        <v>34</v>
      </c>
      <c r="AM540" s="6" t="str">
        <f>PROPER(TRIM(SUBSTITUTE(AL540,".","")))</f>
        <v>Paid</v>
      </c>
      <c r="AN540" s="3" t="s">
        <v>35</v>
      </c>
      <c r="AO540" s="8" t="str">
        <f>PROPER(TRIM(SUBSTITUTE(AN540,".","")))</f>
        <v>Completed</v>
      </c>
      <c r="AP540" t="str">
        <f>IF(COUNTIF($A$2:$A$933, A540) &gt; 1, "Duplicate ID", "Unique")</f>
        <v>Unique</v>
      </c>
      <c r="AR540">
        <f t="shared" si="68"/>
        <v>1138.3709999999999</v>
      </c>
      <c r="AS540">
        <f t="shared" si="69"/>
        <v>341.03099999999984</v>
      </c>
      <c r="AT540" s="15">
        <f t="shared" si="70"/>
        <v>0.29957808131092578</v>
      </c>
      <c r="AU540" t="str">
        <f t="shared" si="71"/>
        <v>Clean</v>
      </c>
      <c r="AV540" s="8" t="str">
        <f t="shared" si="72"/>
        <v>Active</v>
      </c>
    </row>
    <row r="541" spans="1:48">
      <c r="A541" s="3" t="s">
        <v>2113</v>
      </c>
      <c r="B541" s="3" t="s">
        <v>2114</v>
      </c>
      <c r="C541" s="9">
        <f>IFERROR(DATEVALUE(TEXT(B541,"DD/MM/YYYY")), IF(ISNUMBER(B541), B541, ""))</f>
        <v>45731</v>
      </c>
      <c r="D541" s="9" t="str">
        <f>IF(B541="","Missing", IF(AND(ISNUMBER(B541)=FALSE, C541=""),"Invalid - Could Not Parse", IF(AND(ISNUMBER(B541)=FALSE, C541&lt;&gt;""),"Text - Converted to Date", IF(ISNUMBER(B541),"Valid","Check"))))</f>
        <v>Text - Converted to Date</v>
      </c>
      <c r="E541" s="5">
        <f t="shared" si="65"/>
        <v>3</v>
      </c>
      <c r="F541" s="5">
        <f t="shared" si="66"/>
        <v>2025</v>
      </c>
      <c r="G541" s="3" t="s">
        <v>2115</v>
      </c>
      <c r="H541" s="9">
        <f>IFERROR(DATEVALUE(TEXT(G541,"DD/MM/YYYY")), IF(ISNUMBER(G541), G541, ""))</f>
        <v>45738</v>
      </c>
      <c r="I541" s="9" t="str">
        <f>IF(G541="","Missing", IF(AND(ISNUMBER(G541)=FALSE, H541=""),"Invalid - Could Not Parse", IF(AND(ISNUMBER(G541)=FALSE, H541&lt;&gt;""),"Text - Converted to Date", IF(ISNUMBER(G541),"Valid","Check"))))</f>
        <v>Text - Converted to Date</v>
      </c>
      <c r="J541" s="9" t="str">
        <f>IF(OR(C541="", H541=""), "Cannot Check - Date Missing", IF(H541&lt;C541, "Invalid - Ship Before Order", "Valid"))</f>
        <v>Valid</v>
      </c>
      <c r="K541" s="5">
        <f>IF(OR(C541="", H541=""), "", IF(H541&lt;C541, "", H541-C541))</f>
        <v>7</v>
      </c>
      <c r="L541" s="3" t="s">
        <v>2116</v>
      </c>
      <c r="M541" s="3" t="s">
        <v>25</v>
      </c>
      <c r="N541" s="4" t="str">
        <f>TRIM(SUBSTITUTE(M541,"_"," "))</f>
        <v>Karan Malhotra</v>
      </c>
      <c r="O541" s="3" t="s">
        <v>41</v>
      </c>
      <c r="P541" s="6" t="str">
        <f>PROPER(TRIM(SUBSTITUTE(O541,".","")))</f>
        <v>Small Business</v>
      </c>
      <c r="Q541" s="3" t="s">
        <v>42</v>
      </c>
      <c r="R541" s="7" t="str">
        <f>PROPER(TRIM(SUBSTITUTE(Q541,"  "," ")))</f>
        <v>East</v>
      </c>
      <c r="S541" s="3" t="s">
        <v>121</v>
      </c>
      <c r="T541" s="6" t="str">
        <f>PROPER(TRIM(SUBSTITUTE(S541,"  "," ")))</f>
        <v>West Bengal</v>
      </c>
      <c r="U541" s="3" t="s">
        <v>122</v>
      </c>
      <c r="V541" s="6" t="str">
        <f>PROPER(TRIM(SUBSTITUTE(U541,"  "," ")))</f>
        <v>Kolkata</v>
      </c>
      <c r="W541" s="3" t="s">
        <v>86</v>
      </c>
      <c r="X541" s="6" t="str">
        <f>PROPER(TRIM(SUBSTITUTE(W541,"  "," ")))</f>
        <v>Technology</v>
      </c>
      <c r="Y541" s="3" t="s">
        <v>223</v>
      </c>
      <c r="Z541" s="6" t="str">
        <f>PROPER(TRIM(SUBSTITUTE(Y541,"  "," ")))</f>
        <v>Phones</v>
      </c>
      <c r="AA541" s="3" t="s">
        <v>2117</v>
      </c>
      <c r="AB541" s="3" t="s">
        <v>48</v>
      </c>
      <c r="AC541" s="6" t="str">
        <f>PROPER(TRIM(SUBSTITUTE(AB541,"  "," ")))</f>
        <v>Same Day</v>
      </c>
      <c r="AD541" s="3">
        <v>2</v>
      </c>
      <c r="AE541" s="3">
        <v>1235.93</v>
      </c>
      <c r="AF541" s="3">
        <v>0.25</v>
      </c>
      <c r="AG541" s="17">
        <v>0.25</v>
      </c>
      <c r="AH541" s="6" t="str">
        <f t="shared" si="67"/>
        <v>Valid</v>
      </c>
      <c r="AI541" s="3">
        <v>1853.89</v>
      </c>
      <c r="AJ541" s="3">
        <v>1101.23</v>
      </c>
      <c r="AK541" s="3">
        <v>752.66</v>
      </c>
      <c r="AL541" s="3" t="s">
        <v>137</v>
      </c>
      <c r="AM541" s="6" t="str">
        <f>PROPER(TRIM(SUBSTITUTE(AL541,".","")))</f>
        <v>Pending</v>
      </c>
      <c r="AN541" s="3" t="s">
        <v>78</v>
      </c>
      <c r="AO541" s="8" t="str">
        <f>PROPER(TRIM(SUBSTITUTE(AN541,".","")))</f>
        <v>Cancelled</v>
      </c>
      <c r="AP541" t="str">
        <f>IF(COUNTIF($A$2:$A$933, A541) &gt; 1, "Duplicate ID", "Unique")</f>
        <v>Unique</v>
      </c>
      <c r="AR541">
        <f t="shared" si="68"/>
        <v>1853.895</v>
      </c>
      <c r="AS541">
        <f t="shared" si="69"/>
        <v>752.66499999999996</v>
      </c>
      <c r="AT541" s="15">
        <f t="shared" si="70"/>
        <v>0.40599116994220275</v>
      </c>
      <c r="AU541" t="str">
        <f t="shared" si="71"/>
        <v>Clean</v>
      </c>
      <c r="AV541" s="8" t="str">
        <f t="shared" si="72"/>
        <v>Cancelled</v>
      </c>
    </row>
    <row r="542" spans="1:48">
      <c r="A542" s="3" t="s">
        <v>509</v>
      </c>
      <c r="B542" s="3" t="s">
        <v>510</v>
      </c>
      <c r="C542" s="9">
        <f>IFERROR(DATEVALUE(TEXT(B542,"DD/MM/YYYY")), IF(ISNUMBER(B542), B542, ""))</f>
        <v>45732</v>
      </c>
      <c r="D542" s="9" t="str">
        <f>IF(B542="","Missing", IF(AND(ISNUMBER(B542)=FALSE, C542=""),"Invalid - Could Not Parse", IF(AND(ISNUMBER(B542)=FALSE, C542&lt;&gt;""),"Text - Converted to Date", IF(ISNUMBER(B542),"Valid","Check"))))</f>
        <v>Text - Converted to Date</v>
      </c>
      <c r="E542" s="5">
        <f t="shared" si="65"/>
        <v>3</v>
      </c>
      <c r="F542" s="5">
        <f t="shared" si="66"/>
        <v>2025</v>
      </c>
      <c r="G542" s="3" t="s">
        <v>511</v>
      </c>
      <c r="H542" s="9">
        <f>IFERROR(DATEVALUE(TEXT(G542,"DD/MM/YYYY")), IF(ISNUMBER(G542), G542, ""))</f>
        <v>45733</v>
      </c>
      <c r="I542" s="9" t="str">
        <f>IF(G542="","Missing", IF(AND(ISNUMBER(G542)=FALSE, H542=""),"Invalid - Could Not Parse", IF(AND(ISNUMBER(G542)=FALSE, H542&lt;&gt;""),"Text - Converted to Date", IF(ISNUMBER(G542),"Valid","Check"))))</f>
        <v>Text - Converted to Date</v>
      </c>
      <c r="J542" s="9" t="str">
        <f>IF(OR(C542="", H542=""), "Cannot Check - Date Missing", IF(H542&lt;C542, "Invalid - Ship Before Order", "Valid"))</f>
        <v>Valid</v>
      </c>
      <c r="K542" s="5">
        <f>IF(OR(C542="", H542=""), "", IF(H542&lt;C542, "", H542-C542))</f>
        <v>1</v>
      </c>
      <c r="L542" s="3" t="s">
        <v>512</v>
      </c>
      <c r="M542" s="3" t="s">
        <v>25</v>
      </c>
      <c r="N542" s="4" t="str">
        <f>TRIM(SUBSTITUTE(M542,"_"," "))</f>
        <v>Karan Malhotra</v>
      </c>
      <c r="O542" s="3" t="s">
        <v>115</v>
      </c>
      <c r="P542" s="6" t="str">
        <f>PROPER(TRIM(SUBSTITUTE(O542,".","")))</f>
        <v>Home Office</v>
      </c>
      <c r="Q542" s="3" t="s">
        <v>73</v>
      </c>
      <c r="R542" s="7" t="str">
        <f>PROPER(TRIM(SUBSTITUTE(Q542,"  "," ")))</f>
        <v>West</v>
      </c>
      <c r="S542" s="3" t="s">
        <v>249</v>
      </c>
      <c r="T542" s="6" t="str">
        <f>PROPER(TRIM(SUBSTITUTE(S542,"  "," ")))</f>
        <v>Goa</v>
      </c>
      <c r="U542" s="3" t="s">
        <v>250</v>
      </c>
      <c r="V542" s="6" t="str">
        <f>PROPER(TRIM(SUBSTITUTE(U542,"  "," ")))</f>
        <v>Panaji</v>
      </c>
      <c r="W542" s="3" t="s">
        <v>30</v>
      </c>
      <c r="X542" s="6" t="str">
        <f>PROPER(TRIM(SUBSTITUTE(W542,"  "," ")))</f>
        <v>Office Supplies</v>
      </c>
      <c r="Y542" s="3" t="s">
        <v>109</v>
      </c>
      <c r="Z542" s="6" t="str">
        <f>PROPER(TRIM(SUBSTITUTE(Y542,"  "," ")))</f>
        <v>Labels</v>
      </c>
      <c r="AA542" s="3" t="s">
        <v>513</v>
      </c>
      <c r="AB542" s="3" t="s">
        <v>48</v>
      </c>
      <c r="AC542" s="6" t="str">
        <f>PROPER(TRIM(SUBSTITUTE(AB542,"  "," ")))</f>
        <v>Same Day</v>
      </c>
      <c r="AD542" s="3">
        <v>3</v>
      </c>
      <c r="AE542" s="3">
        <v>1841.91</v>
      </c>
      <c r="AF542" s="3">
        <v>0</v>
      </c>
      <c r="AG542" s="17">
        <v>0</v>
      </c>
      <c r="AH542" s="6" t="str">
        <f t="shared" si="67"/>
        <v>Valid</v>
      </c>
      <c r="AI542" s="3">
        <v>5525.73</v>
      </c>
      <c r="AJ542" s="3">
        <v>3093.42</v>
      </c>
      <c r="AK542" s="3">
        <v>2432.31</v>
      </c>
      <c r="AL542" s="3" t="s">
        <v>34</v>
      </c>
      <c r="AM542" s="6" t="str">
        <f>PROPER(TRIM(SUBSTITUTE(AL542,".","")))</f>
        <v>Paid</v>
      </c>
      <c r="AN542" s="3" t="s">
        <v>35</v>
      </c>
      <c r="AO542" s="8" t="str">
        <f>PROPER(TRIM(SUBSTITUTE(AN542,".","")))</f>
        <v>Completed</v>
      </c>
      <c r="AP542" t="str">
        <f>IF(COUNTIF($A$2:$A$933, A542) &gt; 1, "Duplicate ID", "Unique")</f>
        <v>Unique</v>
      </c>
      <c r="AR542">
        <f t="shared" si="68"/>
        <v>5525.7300000000005</v>
      </c>
      <c r="AS542">
        <f t="shared" si="69"/>
        <v>2432.3100000000004</v>
      </c>
      <c r="AT542" s="15">
        <f t="shared" si="70"/>
        <v>0.44017894468242208</v>
      </c>
      <c r="AU542" t="str">
        <f t="shared" si="71"/>
        <v>Clean</v>
      </c>
      <c r="AV542" s="8" t="str">
        <f t="shared" si="72"/>
        <v>Active</v>
      </c>
    </row>
    <row r="543" spans="1:48">
      <c r="A543" s="3" t="s">
        <v>962</v>
      </c>
      <c r="B543" s="3" t="s">
        <v>963</v>
      </c>
      <c r="C543" s="9">
        <f>IFERROR(DATEVALUE(TEXT(B543,"DD/MM/YYYY")), IF(ISNUMBER(B543), B543, ""))</f>
        <v>45734</v>
      </c>
      <c r="D543" s="9" t="str">
        <f>IF(B543="","Missing", IF(AND(ISNUMBER(B543)=FALSE, C543=""),"Invalid - Could Not Parse", IF(AND(ISNUMBER(B543)=FALSE, C543&lt;&gt;""),"Text - Converted to Date", IF(ISNUMBER(B543),"Valid","Check"))))</f>
        <v>Text - Converted to Date</v>
      </c>
      <c r="E543" s="5">
        <f t="shared" si="65"/>
        <v>3</v>
      </c>
      <c r="F543" s="5">
        <f t="shared" si="66"/>
        <v>2025</v>
      </c>
      <c r="G543" s="3" t="s">
        <v>964</v>
      </c>
      <c r="H543" s="9">
        <f>IFERROR(DATEVALUE(MID(G543,4,2) &amp; "/" &amp; LEFT(G543,2) &amp; "/" &amp; RIGHT(G543,4)), IF(ISNUMBER(G543), G543, IFERROR(DATEVALUE(G543), "")))</f>
        <v>45742</v>
      </c>
      <c r="I543" s="9" t="str">
        <f>IF(G543="","Missing", IF(AND(ISNUMBER(G543)=FALSE, H543=""),"Invalid - Could Not Parse", IF(AND(ISNUMBER(G543)=FALSE, H543&lt;&gt;""),"Text - Converted to Date", IF(ISNUMBER(G543),"Valid","Check"))))</f>
        <v>Text - Converted to Date</v>
      </c>
      <c r="J543" s="9" t="str">
        <f>IF(OR(C543="", H543=""), "Cannot Check - Date Missing", IF(H543&lt;C543, "Invalid - Ship Before Order", "Valid"))</f>
        <v>Valid</v>
      </c>
      <c r="K543" s="5">
        <f>IF(OR(C543="", H543=""), "", IF(H543&lt;C543, "", H543-C543))</f>
        <v>8</v>
      </c>
      <c r="L543" s="3" t="s">
        <v>965</v>
      </c>
      <c r="M543" s="3" t="s">
        <v>83</v>
      </c>
      <c r="N543" s="4" t="str">
        <f>TRIM(SUBSTITUTE(M543,"_"," "))</f>
        <v>Vikram Iyer</v>
      </c>
      <c r="O543" s="3" t="s">
        <v>108</v>
      </c>
      <c r="P543" s="6" t="str">
        <f>PROPER(TRIM(SUBSTITUTE(O543,".","")))</f>
        <v>Corporate</v>
      </c>
      <c r="Q543" s="3" t="s">
        <v>42</v>
      </c>
      <c r="R543" s="7" t="str">
        <f>PROPER(TRIM(SUBSTITUTE(Q543,"  "," ")))</f>
        <v>East</v>
      </c>
      <c r="S543" s="3" t="s">
        <v>311</v>
      </c>
      <c r="T543" s="6" t="str">
        <f>PROPER(TRIM(SUBSTITUTE(S543,"  "," ")))</f>
        <v>Jharkhand</v>
      </c>
      <c r="U543" s="3" t="s">
        <v>312</v>
      </c>
      <c r="V543" s="6" t="str">
        <f>PROPER(TRIM(SUBSTITUTE(U543,"  "," ")))</f>
        <v>Ranchi</v>
      </c>
      <c r="W543" s="3" t="s">
        <v>45</v>
      </c>
      <c r="X543" s="6" t="str">
        <f>PROPER(TRIM(SUBSTITUTE(W543,"  "," ")))</f>
        <v>Furniture</v>
      </c>
      <c r="Y543" s="3" t="s">
        <v>204</v>
      </c>
      <c r="Z543" s="6" t="str">
        <f>PROPER(TRIM(SUBSTITUTE(Y543,"  "," ")))</f>
        <v>Bookcases</v>
      </c>
      <c r="AA543" s="3" t="s">
        <v>966</v>
      </c>
      <c r="AB543" s="3" t="s">
        <v>67</v>
      </c>
      <c r="AC543" s="6" t="str">
        <f>PROPER(TRIM(SUBSTITUTE(AB543,"  "," ")))</f>
        <v>Standard Class</v>
      </c>
      <c r="AD543" s="3">
        <v>8</v>
      </c>
      <c r="AE543" s="3">
        <v>3563.09</v>
      </c>
      <c r="AF543" s="3">
        <v>0.15</v>
      </c>
      <c r="AG543" s="17">
        <v>0.15</v>
      </c>
      <c r="AH543" s="6" t="str">
        <f t="shared" si="67"/>
        <v>Valid</v>
      </c>
      <c r="AI543" s="3">
        <v>24229.01</v>
      </c>
      <c r="AJ543" s="3">
        <v>13910.64</v>
      </c>
      <c r="AK543" s="3">
        <v>10318.370000000001</v>
      </c>
      <c r="AL543" s="3" t="s">
        <v>34</v>
      </c>
      <c r="AM543" s="6" t="str">
        <f>PROPER(TRIM(SUBSTITUTE(AL543,".","")))</f>
        <v>Paid</v>
      </c>
      <c r="AN543" s="3" t="s">
        <v>35</v>
      </c>
      <c r="AO543" s="8" t="str">
        <f>PROPER(TRIM(SUBSTITUTE(AN543,".","")))</f>
        <v>Completed</v>
      </c>
      <c r="AP543" t="str">
        <f>IF(COUNTIF($A$2:$A$933, A543) &gt; 1, "Duplicate ID", "Unique")</f>
        <v>Unique</v>
      </c>
      <c r="AR543">
        <f t="shared" si="68"/>
        <v>24229.011999999999</v>
      </c>
      <c r="AS543">
        <f t="shared" si="69"/>
        <v>10318.371999999999</v>
      </c>
      <c r="AT543" s="15">
        <f t="shared" si="70"/>
        <v>0.42586845885420338</v>
      </c>
      <c r="AU543" t="str">
        <f t="shared" si="71"/>
        <v>Clean</v>
      </c>
      <c r="AV543" s="8" t="str">
        <f t="shared" si="72"/>
        <v>Active</v>
      </c>
    </row>
    <row r="544" spans="1:48">
      <c r="A544" s="3" t="s">
        <v>2073</v>
      </c>
      <c r="B544" s="3" t="s">
        <v>963</v>
      </c>
      <c r="C544" s="9">
        <f>IFERROR(DATEVALUE(TEXT(B544,"DD/MM/YYYY")), IF(ISNUMBER(B544), B544, ""))</f>
        <v>45734</v>
      </c>
      <c r="D544" s="9" t="str">
        <f>IF(B544="","Missing", IF(AND(ISNUMBER(B544)=FALSE, C544=""),"Invalid - Could Not Parse", IF(AND(ISNUMBER(B544)=FALSE, C544&lt;&gt;""),"Text - Converted to Date", IF(ISNUMBER(B544),"Valid","Check"))))</f>
        <v>Text - Converted to Date</v>
      </c>
      <c r="E544" s="5">
        <f t="shared" si="65"/>
        <v>3</v>
      </c>
      <c r="F544" s="5">
        <f t="shared" si="66"/>
        <v>2025</v>
      </c>
      <c r="G544" s="3" t="s">
        <v>2074</v>
      </c>
      <c r="H544" s="9">
        <f>IFERROR(DATEVALUE(TEXT(G544,"DD/MM/YYYY")), IF(ISNUMBER(G544), G544, ""))</f>
        <v>45735</v>
      </c>
      <c r="I544" s="9" t="str">
        <f>IF(G544="","Missing", IF(AND(ISNUMBER(G544)=FALSE, H544=""),"Invalid - Could Not Parse", IF(AND(ISNUMBER(G544)=FALSE, H544&lt;&gt;""),"Text - Converted to Date", IF(ISNUMBER(G544),"Valid","Check"))))</f>
        <v>Text - Converted to Date</v>
      </c>
      <c r="J544" s="9" t="str">
        <f>IF(OR(C544="", H544=""), "Cannot Check - Date Missing", IF(H544&lt;C544, "Invalid - Ship Before Order", "Valid"))</f>
        <v>Valid</v>
      </c>
      <c r="K544" s="5">
        <f>IF(OR(C544="", H544=""), "", IF(H544&lt;C544, "", H544-C544))</f>
        <v>1</v>
      </c>
      <c r="L544" s="3" t="s">
        <v>2075</v>
      </c>
      <c r="M544" s="3" t="s">
        <v>53</v>
      </c>
      <c r="N544" s="4" t="str">
        <f>TRIM(SUBSTITUTE(M544,"_"," "))</f>
        <v>Isha Nair</v>
      </c>
      <c r="O544" s="3" t="s">
        <v>108</v>
      </c>
      <c r="P544" s="6" t="str">
        <f>PROPER(TRIM(SUBSTITUTE(O544,".","")))</f>
        <v>Corporate</v>
      </c>
      <c r="Q544" s="3" t="s">
        <v>62</v>
      </c>
      <c r="R544" s="7" t="str">
        <f>PROPER(TRIM(SUBSTITUTE(Q544,"  "," ")))</f>
        <v>South</v>
      </c>
      <c r="S544" s="3" t="s">
        <v>339</v>
      </c>
      <c r="T544" s="6" t="str">
        <f>PROPER(TRIM(SUBSTITUTE(S544,"  "," ")))</f>
        <v>Tamil Nadu</v>
      </c>
      <c r="U544" s="3" t="s">
        <v>340</v>
      </c>
      <c r="V544" s="6" t="str">
        <f>PROPER(TRIM(SUBSTITUTE(U544,"  "," ")))</f>
        <v>Chennai</v>
      </c>
      <c r="W544" s="3" t="s">
        <v>86</v>
      </c>
      <c r="X544" s="6" t="str">
        <f>PROPER(TRIM(SUBSTITUTE(W544,"  "," ")))</f>
        <v>Technology</v>
      </c>
      <c r="Y544" s="3" t="s">
        <v>382</v>
      </c>
      <c r="Z544" s="6" t="str">
        <f>PROPER(TRIM(SUBSTITUTE(Y544,"  "," ")))</f>
        <v>Machines</v>
      </c>
      <c r="AA544" s="3" t="s">
        <v>2076</v>
      </c>
      <c r="AB544" s="3" t="s">
        <v>67</v>
      </c>
      <c r="AC544" s="6" t="str">
        <f>PROPER(TRIM(SUBSTITUTE(AB544,"  "," ")))</f>
        <v>Standard Class</v>
      </c>
      <c r="AD544" s="3">
        <v>2</v>
      </c>
      <c r="AE544" s="3">
        <v>1209.99</v>
      </c>
      <c r="AF544" s="3">
        <v>0.25</v>
      </c>
      <c r="AG544" s="17">
        <v>0.25</v>
      </c>
      <c r="AH544" s="6" t="str">
        <f t="shared" si="67"/>
        <v>Valid</v>
      </c>
      <c r="AI544" s="3">
        <v>1814.99</v>
      </c>
      <c r="AJ544" s="3">
        <v>1120.06</v>
      </c>
      <c r="AK544" s="3">
        <v>694.93</v>
      </c>
      <c r="AL544" s="3" t="s">
        <v>137</v>
      </c>
      <c r="AM544" s="6" t="str">
        <f>PROPER(TRIM(SUBSTITUTE(AL544,".","")))</f>
        <v>Pending</v>
      </c>
      <c r="AN544" s="3" t="s">
        <v>78</v>
      </c>
      <c r="AO544" s="8" t="str">
        <f>PROPER(TRIM(SUBSTITUTE(AN544,".","")))</f>
        <v>Cancelled</v>
      </c>
      <c r="AP544" t="str">
        <f>IF(COUNTIF($A$2:$A$933, A544) &gt; 1, "Duplicate ID", "Unique")</f>
        <v>Unique</v>
      </c>
      <c r="AR544">
        <f t="shared" si="68"/>
        <v>1814.9850000000001</v>
      </c>
      <c r="AS544">
        <f t="shared" si="69"/>
        <v>694.92500000000018</v>
      </c>
      <c r="AT544" s="15">
        <f t="shared" si="70"/>
        <v>0.38288195219244242</v>
      </c>
      <c r="AU544" t="str">
        <f t="shared" si="71"/>
        <v>Clean</v>
      </c>
      <c r="AV544" s="8" t="str">
        <f t="shared" si="72"/>
        <v>Cancelled</v>
      </c>
    </row>
    <row r="545" spans="1:48">
      <c r="A545" s="3" t="s">
        <v>3784</v>
      </c>
      <c r="B545" s="3" t="s">
        <v>3785</v>
      </c>
      <c r="C545" s="9">
        <f>IFERROR(DATEVALUE(TEXT(B545,"DD/MM/YYYY")), IF(ISNUMBER(B545), B545, ""))</f>
        <v>45737</v>
      </c>
      <c r="D545" s="9" t="str">
        <f>IF(B545="","Missing", IF(AND(ISNUMBER(B545)=FALSE, C545=""),"Invalid - Could Not Parse", IF(AND(ISNUMBER(B545)=FALSE, C545&lt;&gt;""),"Text - Converted to Date", IF(ISNUMBER(B545),"Valid","Check"))))</f>
        <v>Text - Converted to Date</v>
      </c>
      <c r="E545" s="5">
        <f t="shared" si="65"/>
        <v>3</v>
      </c>
      <c r="F545" s="5">
        <f t="shared" si="66"/>
        <v>2025</v>
      </c>
      <c r="G545" s="3" t="s">
        <v>2115</v>
      </c>
      <c r="H545" s="9">
        <f>IFERROR(DATEVALUE(TEXT(G545,"DD/MM/YYYY")), IF(ISNUMBER(G545), G545, ""))</f>
        <v>45738</v>
      </c>
      <c r="I545" s="9" t="str">
        <f>IF(G545="","Missing", IF(AND(ISNUMBER(G545)=FALSE, H545=""),"Invalid - Could Not Parse", IF(AND(ISNUMBER(G545)=FALSE, H545&lt;&gt;""),"Text - Converted to Date", IF(ISNUMBER(G545),"Valid","Check"))))</f>
        <v>Text - Converted to Date</v>
      </c>
      <c r="J545" s="9" t="str">
        <f>IF(OR(C545="", H545=""), "Cannot Check - Date Missing", IF(H545&lt;C545, "Invalid - Ship Before Order", "Valid"))</f>
        <v>Valid</v>
      </c>
      <c r="K545" s="5">
        <f>IF(OR(C545="", H545=""), "", IF(H545&lt;C545, "", H545-C545))</f>
        <v>1</v>
      </c>
      <c r="L545" s="3" t="s">
        <v>3786</v>
      </c>
      <c r="M545" s="3" t="s">
        <v>142</v>
      </c>
      <c r="N545" s="4" t="str">
        <f>TRIM(SUBSTITUTE(M545,"_"," "))</f>
        <v>Priya Menon</v>
      </c>
      <c r="O545" s="3" t="s">
        <v>26</v>
      </c>
      <c r="P545" s="6" t="str">
        <f>PROPER(TRIM(SUBSTITUTE(O545,".","")))</f>
        <v>Consumer</v>
      </c>
      <c r="Q545" s="3" t="s">
        <v>73</v>
      </c>
      <c r="R545" s="7" t="str">
        <f>PROPER(TRIM(SUBSTITUTE(Q545,"  "," ")))</f>
        <v>West</v>
      </c>
      <c r="S545" s="3" t="s">
        <v>249</v>
      </c>
      <c r="T545" s="6" t="str">
        <f>PROPER(TRIM(SUBSTITUTE(S545,"  "," ")))</f>
        <v>Goa</v>
      </c>
      <c r="U545" s="3" t="s">
        <v>250</v>
      </c>
      <c r="V545" s="6" t="str">
        <f>PROPER(TRIM(SUBSTITUTE(U545,"  "," ")))</f>
        <v>Panaji</v>
      </c>
      <c r="W545" s="3" t="s">
        <v>30</v>
      </c>
      <c r="X545" s="6" t="str">
        <f>PROPER(TRIM(SUBSTITUTE(W545,"  "," ")))</f>
        <v>Office Supplies</v>
      </c>
      <c r="Y545" s="3" t="s">
        <v>31</v>
      </c>
      <c r="Z545" s="6" t="str">
        <f>PROPER(TRIM(SUBSTITUTE(Y545,"  "," ")))</f>
        <v>Paper</v>
      </c>
      <c r="AA545" s="3" t="s">
        <v>3787</v>
      </c>
      <c r="AB545" s="3" t="s">
        <v>56</v>
      </c>
      <c r="AC545" s="6" t="str">
        <f>PROPER(TRIM(SUBSTITUTE(AB545,"  "," ")))</f>
        <v>First Class</v>
      </c>
      <c r="AD545" s="3">
        <v>8</v>
      </c>
      <c r="AE545" s="3">
        <v>4436.74</v>
      </c>
      <c r="AF545" s="3">
        <v>0.05</v>
      </c>
      <c r="AG545" s="17">
        <v>0.05</v>
      </c>
      <c r="AH545" s="6" t="str">
        <f t="shared" si="67"/>
        <v>Valid</v>
      </c>
      <c r="AI545" s="3">
        <v>33719.22</v>
      </c>
      <c r="AJ545" s="3">
        <v>28924.43</v>
      </c>
      <c r="AK545" s="3">
        <v>4794.79</v>
      </c>
      <c r="AL545" s="3" t="s">
        <v>34</v>
      </c>
      <c r="AM545" s="6" t="str">
        <f>PROPER(TRIM(SUBSTITUTE(AL545,".","")))</f>
        <v>Paid</v>
      </c>
      <c r="AN545" s="3" t="s">
        <v>35</v>
      </c>
      <c r="AO545" s="8" t="str">
        <f>PROPER(TRIM(SUBSTITUTE(AN545,".","")))</f>
        <v>Completed</v>
      </c>
      <c r="AP545" t="str">
        <f>IF(COUNTIF($A$2:$A$933, A545) &gt; 1, "Duplicate ID", "Unique")</f>
        <v>Unique</v>
      </c>
      <c r="AR545">
        <f t="shared" si="68"/>
        <v>33719.223999999995</v>
      </c>
      <c r="AS545">
        <f t="shared" si="69"/>
        <v>4794.7939999999944</v>
      </c>
      <c r="AT545" s="15">
        <f t="shared" si="70"/>
        <v>0.14219763776295669</v>
      </c>
      <c r="AU545" t="str">
        <f t="shared" si="71"/>
        <v>Clean</v>
      </c>
      <c r="AV545" s="8" t="str">
        <f t="shared" si="72"/>
        <v>Active</v>
      </c>
    </row>
    <row r="546" spans="1:48">
      <c r="A546" s="3" t="s">
        <v>3337</v>
      </c>
      <c r="B546" s="3" t="s">
        <v>2115</v>
      </c>
      <c r="C546" s="9">
        <f>IFERROR(DATEVALUE(TEXT(B546,"DD/MM/YYYY")), IF(ISNUMBER(B546), B546, ""))</f>
        <v>45738</v>
      </c>
      <c r="D546" s="9" t="str">
        <f>IF(B546="","Missing", IF(AND(ISNUMBER(B546)=FALSE, C546=""),"Invalid - Could Not Parse", IF(AND(ISNUMBER(B546)=FALSE, C546&lt;&gt;""),"Text - Converted to Date", IF(ISNUMBER(B546),"Valid","Check"))))</f>
        <v>Text - Converted to Date</v>
      </c>
      <c r="E546" s="5">
        <f t="shared" si="65"/>
        <v>3</v>
      </c>
      <c r="F546" s="5">
        <f t="shared" si="66"/>
        <v>2025</v>
      </c>
      <c r="G546" s="3" t="s">
        <v>2231</v>
      </c>
      <c r="H546" s="9">
        <f>IFERROR(DATEVALUE(TEXT(G546,"DD/MM/YYYY")), IF(ISNUMBER(G546), G546, ""))</f>
        <v>45739</v>
      </c>
      <c r="I546" s="9" t="str">
        <f>IF(G546="","Missing", IF(AND(ISNUMBER(G546)=FALSE, H546=""),"Invalid - Could Not Parse", IF(AND(ISNUMBER(G546)=FALSE, H546&lt;&gt;""),"Text - Converted to Date", IF(ISNUMBER(G546),"Valid","Check"))))</f>
        <v>Text - Converted to Date</v>
      </c>
      <c r="J546" s="9" t="str">
        <f>IF(OR(C546="", H546=""), "Cannot Check - Date Missing", IF(H546&lt;C546, "Invalid - Ship Before Order", "Valid"))</f>
        <v>Valid</v>
      </c>
      <c r="K546" s="5">
        <f>IF(OR(C546="", H546=""), "", IF(H546&lt;C546, "", H546-C546))</f>
        <v>1</v>
      </c>
      <c r="L546" s="3" t="s">
        <v>3338</v>
      </c>
      <c r="M546" s="3" t="s">
        <v>25</v>
      </c>
      <c r="N546" s="4" t="str">
        <f>TRIM(SUBSTITUTE(M546,"_"," "))</f>
        <v>Karan Malhotra</v>
      </c>
      <c r="O546" s="3" t="s">
        <v>115</v>
      </c>
      <c r="P546" s="6" t="str">
        <f>PROPER(TRIM(SUBSTITUTE(O546,".","")))</f>
        <v>Home Office</v>
      </c>
      <c r="Q546" s="3" t="s">
        <v>27</v>
      </c>
      <c r="R546" s="7" t="str">
        <f>PROPER(TRIM(SUBSTITUTE(Q546,"  "," ")))</f>
        <v>North</v>
      </c>
      <c r="S546" s="3" t="s">
        <v>506</v>
      </c>
      <c r="T546" s="6" t="str">
        <f>PROPER(TRIM(SUBSTITUTE(S546,"  "," ")))</f>
        <v>Delhi</v>
      </c>
      <c r="U546" s="3" t="s">
        <v>507</v>
      </c>
      <c r="V546" s="6" t="str">
        <f>PROPER(TRIM(SUBSTITUTE(U546,"  "," ")))</f>
        <v>New Delhi</v>
      </c>
      <c r="W546" s="3" t="s">
        <v>86</v>
      </c>
      <c r="X546" s="6" t="str">
        <f>PROPER(TRIM(SUBSTITUTE(W546,"  "," ")))</f>
        <v>Technology</v>
      </c>
      <c r="Y546" s="3" t="s">
        <v>94</v>
      </c>
      <c r="Z546" s="6" t="str">
        <f>PROPER(TRIM(SUBSTITUTE(Y546,"  "," ")))</f>
        <v>Copiers</v>
      </c>
      <c r="AA546" s="3" t="s">
        <v>3339</v>
      </c>
      <c r="AB546" s="3" t="s">
        <v>67</v>
      </c>
      <c r="AC546" s="6" t="str">
        <f>PROPER(TRIM(SUBSTITUTE(AB546,"  "," ")))</f>
        <v>Standard Class</v>
      </c>
      <c r="AD546" s="3">
        <v>9</v>
      </c>
      <c r="AE546" s="3">
        <v>2075.02</v>
      </c>
      <c r="AF546" s="3">
        <v>0</v>
      </c>
      <c r="AG546" s="17">
        <v>0</v>
      </c>
      <c r="AH546" s="6" t="str">
        <f t="shared" si="67"/>
        <v>Valid</v>
      </c>
      <c r="AI546" s="3">
        <v>18675.18</v>
      </c>
      <c r="AJ546" s="3">
        <v>13974.7</v>
      </c>
      <c r="AK546" s="3">
        <v>4700.4799999999996</v>
      </c>
      <c r="AL546" s="3" t="s">
        <v>34</v>
      </c>
      <c r="AM546" s="6" t="str">
        <f>PROPER(TRIM(SUBSTITUTE(AL546,".","")))</f>
        <v>Paid</v>
      </c>
      <c r="AN546" s="3" t="s">
        <v>35</v>
      </c>
      <c r="AO546" s="8" t="str">
        <f>PROPER(TRIM(SUBSTITUTE(AN546,".","")))</f>
        <v>Completed</v>
      </c>
      <c r="AP546" t="str">
        <f>IF(COUNTIF($A$2:$A$933, A546) &gt; 1, "Duplicate ID", "Unique")</f>
        <v>Unique</v>
      </c>
      <c r="AR546">
        <f t="shared" si="68"/>
        <v>18675.18</v>
      </c>
      <c r="AS546">
        <f t="shared" si="69"/>
        <v>4700.4799999999996</v>
      </c>
      <c r="AT546" s="15">
        <f t="shared" si="70"/>
        <v>0.25169663692665878</v>
      </c>
      <c r="AU546" t="str">
        <f t="shared" si="71"/>
        <v>Clean</v>
      </c>
      <c r="AV546" s="8" t="str">
        <f t="shared" si="72"/>
        <v>Active</v>
      </c>
    </row>
    <row r="547" spans="1:48">
      <c r="A547" s="3" t="s">
        <v>2230</v>
      </c>
      <c r="B547" s="3" t="s">
        <v>2231</v>
      </c>
      <c r="C547" s="9">
        <f>IFERROR(DATEVALUE(TEXT(B547,"DD/MM/YYYY")), IF(ISNUMBER(B547), B547, ""))</f>
        <v>45739</v>
      </c>
      <c r="D547" s="9" t="str">
        <f>IF(B547="","Missing", IF(AND(ISNUMBER(B547)=FALSE, C547=""),"Invalid - Could Not Parse", IF(AND(ISNUMBER(B547)=FALSE, C547&lt;&gt;""),"Text - Converted to Date", IF(ISNUMBER(B547),"Valid","Check"))))</f>
        <v>Text - Converted to Date</v>
      </c>
      <c r="E547" s="5">
        <f t="shared" si="65"/>
        <v>3</v>
      </c>
      <c r="F547" s="5">
        <f t="shared" si="66"/>
        <v>2025</v>
      </c>
      <c r="G547" s="3" t="s">
        <v>2232</v>
      </c>
      <c r="H547" s="9">
        <f>IFERROR(DATEVALUE(TEXT(G547,"DD/MM/YYYY")), IF(ISNUMBER(G547), G547, ""))</f>
        <v>45744</v>
      </c>
      <c r="I547" s="9" t="str">
        <f>IF(G547="","Missing", IF(AND(ISNUMBER(G547)=FALSE, H547=""),"Invalid - Could Not Parse", IF(AND(ISNUMBER(G547)=FALSE, H547&lt;&gt;""),"Text - Converted to Date", IF(ISNUMBER(G547),"Valid","Check"))))</f>
        <v>Text - Converted to Date</v>
      </c>
      <c r="J547" s="9" t="str">
        <f>IF(OR(C547="", H547=""), "Cannot Check - Date Missing", IF(H547&lt;C547, "Invalid - Ship Before Order", "Valid"))</f>
        <v>Valid</v>
      </c>
      <c r="K547" s="5">
        <f>IF(OR(C547="", H547=""), "", IF(H547&lt;C547, "", H547-C547))</f>
        <v>5</v>
      </c>
      <c r="L547" s="3" t="s">
        <v>2233</v>
      </c>
      <c r="M547" s="3" t="s">
        <v>83</v>
      </c>
      <c r="N547" s="4" t="str">
        <f>TRIM(SUBSTITUTE(M547,"_"," "))</f>
        <v>Vikram Iyer</v>
      </c>
      <c r="O547" s="3" t="s">
        <v>41</v>
      </c>
      <c r="P547" s="6" t="str">
        <f>PROPER(TRIM(SUBSTITUTE(O547,".","")))</f>
        <v>Small Business</v>
      </c>
      <c r="Q547" s="3" t="s">
        <v>27</v>
      </c>
      <c r="R547" s="7" t="str">
        <f>PROPER(TRIM(SUBSTITUTE(Q547,"  "," ")))</f>
        <v>North</v>
      </c>
      <c r="S547" s="3" t="s">
        <v>28</v>
      </c>
      <c r="T547" s="6" t="str">
        <f>PROPER(TRIM(SUBSTITUTE(S547,"  "," ")))</f>
        <v>Rajasthan</v>
      </c>
      <c r="U547" s="3" t="s">
        <v>29</v>
      </c>
      <c r="V547" s="6" t="str">
        <f>PROPER(TRIM(SUBSTITUTE(U547,"  "," ")))</f>
        <v>Jaipur</v>
      </c>
      <c r="W547" s="3" t="s">
        <v>45</v>
      </c>
      <c r="X547" s="6" t="str">
        <f>PROPER(TRIM(SUBSTITUTE(W547,"  "," ")))</f>
        <v>Furniture</v>
      </c>
      <c r="Y547" s="3" t="s">
        <v>65</v>
      </c>
      <c r="Z547" s="6" t="str">
        <f>PROPER(TRIM(SUBSTITUTE(Y547,"  "," ")))</f>
        <v>Furnishings</v>
      </c>
      <c r="AA547" s="3" t="s">
        <v>2234</v>
      </c>
      <c r="AB547" s="3" t="s">
        <v>67</v>
      </c>
      <c r="AC547" s="6" t="str">
        <f>PROPER(TRIM(SUBSTITUTE(AB547,"  "," ")))</f>
        <v>Standard Class</v>
      </c>
      <c r="AD547" s="3">
        <v>9</v>
      </c>
      <c r="AE547" s="3">
        <v>3298</v>
      </c>
      <c r="AF547" s="3">
        <v>0.15</v>
      </c>
      <c r="AG547" s="17">
        <v>0.15</v>
      </c>
      <c r="AH547" s="6" t="str">
        <f t="shared" si="67"/>
        <v>Valid</v>
      </c>
      <c r="AI547" s="3">
        <v>25229.7</v>
      </c>
      <c r="AJ547" s="3">
        <v>20170.43</v>
      </c>
      <c r="AK547" s="3">
        <v>5059.2700000000004</v>
      </c>
      <c r="AL547" s="3" t="s">
        <v>34</v>
      </c>
      <c r="AM547" s="6" t="str">
        <f>PROPER(TRIM(SUBSTITUTE(AL547,".","")))</f>
        <v>Paid</v>
      </c>
      <c r="AN547" s="3" t="s">
        <v>35</v>
      </c>
      <c r="AO547" s="8" t="str">
        <f>PROPER(TRIM(SUBSTITUTE(AN547,".","")))</f>
        <v>Completed</v>
      </c>
      <c r="AP547" t="str">
        <f>IF(COUNTIF($A$2:$A$933, A547) &gt; 1, "Duplicate ID", "Unique")</f>
        <v>Unique</v>
      </c>
      <c r="AR547">
        <f t="shared" si="68"/>
        <v>25229.7</v>
      </c>
      <c r="AS547">
        <f t="shared" si="69"/>
        <v>5059.2700000000004</v>
      </c>
      <c r="AT547" s="15">
        <f t="shared" si="70"/>
        <v>0.20052834556098567</v>
      </c>
      <c r="AU547" t="str">
        <f t="shared" si="71"/>
        <v>Clean</v>
      </c>
      <c r="AV547" s="8" t="str">
        <f t="shared" si="72"/>
        <v>Active</v>
      </c>
    </row>
    <row r="548" spans="1:48">
      <c r="A548" s="3" t="s">
        <v>2522</v>
      </c>
      <c r="B548" s="3" t="s">
        <v>2523</v>
      </c>
      <c r="C548" s="9">
        <f>IFERROR(DATEVALUE(TEXT(B548,"DD/MM/YYYY")), IF(ISNUMBER(B548), B548, ""))</f>
        <v>45741</v>
      </c>
      <c r="D548" s="9" t="str">
        <f>IF(B548="","Missing", IF(AND(ISNUMBER(B548)=FALSE, C548=""),"Invalid - Could Not Parse", IF(AND(ISNUMBER(B548)=FALSE, C548&lt;&gt;""),"Text - Converted to Date", IF(ISNUMBER(B548),"Valid","Check"))))</f>
        <v>Text - Converted to Date</v>
      </c>
      <c r="E548" s="5">
        <f t="shared" si="65"/>
        <v>3</v>
      </c>
      <c r="F548" s="5">
        <f t="shared" si="66"/>
        <v>2025</v>
      </c>
      <c r="G548" s="3" t="s">
        <v>2524</v>
      </c>
      <c r="H548" s="9">
        <f>IFERROR(DATEVALUE(TEXT(G548,"DD/MM/YYYY")), IF(ISNUMBER(G548), G548, ""))</f>
        <v>45748</v>
      </c>
      <c r="I548" s="9" t="str">
        <f>IF(G548="","Missing", IF(AND(ISNUMBER(G548)=FALSE, H548=""),"Invalid - Could Not Parse", IF(AND(ISNUMBER(G548)=FALSE, H548&lt;&gt;""),"Text - Converted to Date", IF(ISNUMBER(G548),"Valid","Check"))))</f>
        <v>Text - Converted to Date</v>
      </c>
      <c r="J548" s="9" t="str">
        <f>IF(OR(C548="", H548=""), "Cannot Check - Date Missing", IF(H548&lt;C548, "Invalid - Ship Before Order", "Valid"))</f>
        <v>Valid</v>
      </c>
      <c r="K548" s="5">
        <f>IF(OR(C548="", H548=""), "", IF(H548&lt;C548, "", H548-C548))</f>
        <v>7</v>
      </c>
      <c r="L548" s="3" t="s">
        <v>2525</v>
      </c>
      <c r="M548" s="3" t="s">
        <v>210</v>
      </c>
      <c r="N548" s="4" t="str">
        <f>TRIM(SUBSTITUTE(M548,"_"," "))</f>
        <v>Diya Patel</v>
      </c>
      <c r="O548" s="3" t="s">
        <v>26</v>
      </c>
      <c r="P548" s="6" t="str">
        <f>PROPER(TRIM(SUBSTITUTE(O548,".","")))</f>
        <v>Consumer</v>
      </c>
      <c r="Q548" s="3" t="s">
        <v>27</v>
      </c>
      <c r="R548" s="7" t="str">
        <f>PROPER(TRIM(SUBSTITUTE(Q548,"  "," ")))</f>
        <v>North</v>
      </c>
      <c r="S548" s="3" t="s">
        <v>154</v>
      </c>
      <c r="T548" s="6" t="str">
        <f>PROPER(TRIM(SUBSTITUTE(S548,"  "," ")))</f>
        <v>Punjab</v>
      </c>
      <c r="U548" s="3" t="s">
        <v>155</v>
      </c>
      <c r="V548" s="6" t="str">
        <f>PROPER(TRIM(SUBSTITUTE(U548,"  "," ")))</f>
        <v>Ludhiana</v>
      </c>
      <c r="W548" s="3" t="s">
        <v>30</v>
      </c>
      <c r="X548" s="6" t="str">
        <f>PROPER(TRIM(SUBSTITUTE(W548,"  "," ")))</f>
        <v>Office Supplies</v>
      </c>
      <c r="Y548" s="3" t="s">
        <v>109</v>
      </c>
      <c r="Z548" s="6" t="str">
        <f>PROPER(TRIM(SUBSTITUTE(Y548,"  "," ")))</f>
        <v>Labels</v>
      </c>
      <c r="AA548" s="3" t="s">
        <v>2526</v>
      </c>
      <c r="AB548" s="3" t="s">
        <v>33</v>
      </c>
      <c r="AC548" s="6" t="str">
        <f>PROPER(TRIM(SUBSTITUTE(AB548,"  "," ")))</f>
        <v>Second Class</v>
      </c>
      <c r="AD548" s="3">
        <v>6</v>
      </c>
      <c r="AE548" s="3">
        <v>2192.11</v>
      </c>
      <c r="AF548" s="3">
        <v>0.05</v>
      </c>
      <c r="AG548" s="17">
        <v>0.05</v>
      </c>
      <c r="AH548" s="6" t="str">
        <f t="shared" si="67"/>
        <v>Valid</v>
      </c>
      <c r="AI548" s="3">
        <v>12495.03</v>
      </c>
      <c r="AJ548" s="3">
        <v>9184.52</v>
      </c>
      <c r="AK548" s="3">
        <v>3310.51</v>
      </c>
      <c r="AL548" s="3" t="s">
        <v>34</v>
      </c>
      <c r="AM548" s="6" t="str">
        <f>PROPER(TRIM(SUBSTITUTE(AL548,".","")))</f>
        <v>Paid</v>
      </c>
      <c r="AN548" s="3" t="s">
        <v>35</v>
      </c>
      <c r="AO548" s="8" t="str">
        <f>PROPER(TRIM(SUBSTITUTE(AN548,".","")))</f>
        <v>Completed</v>
      </c>
      <c r="AP548" t="str">
        <f>IF(COUNTIF($A$2:$A$933, A548) &gt; 1, "Duplicate ID", "Unique")</f>
        <v>Unique</v>
      </c>
      <c r="AR548">
        <f t="shared" si="68"/>
        <v>12495.027</v>
      </c>
      <c r="AS548">
        <f t="shared" si="69"/>
        <v>3310.5069999999996</v>
      </c>
      <c r="AT548" s="15">
        <f t="shared" si="70"/>
        <v>0.26494596610315446</v>
      </c>
      <c r="AU548" t="str">
        <f t="shared" si="71"/>
        <v>Clean</v>
      </c>
      <c r="AV548" s="8" t="str">
        <f t="shared" si="72"/>
        <v>Active</v>
      </c>
    </row>
    <row r="549" spans="1:48">
      <c r="A549" s="3" t="s">
        <v>3940</v>
      </c>
      <c r="B549" s="3" t="s">
        <v>3315</v>
      </c>
      <c r="C549" s="9">
        <f>IFERROR(DATEVALUE(TEXT(B549,"DD/MM/YYYY")), IF(ISNUMBER(B549), B549, ""))</f>
        <v>45742</v>
      </c>
      <c r="D549" s="9" t="str">
        <f>IF(B549="","Missing", IF(AND(ISNUMBER(B549)=FALSE, C549=""),"Invalid - Could Not Parse", IF(AND(ISNUMBER(B549)=FALSE, C549&lt;&gt;""),"Text - Converted to Date", IF(ISNUMBER(B549),"Valid","Check"))))</f>
        <v>Text - Converted to Date</v>
      </c>
      <c r="E549" s="5">
        <f t="shared" si="65"/>
        <v>3</v>
      </c>
      <c r="F549" s="5">
        <f t="shared" si="66"/>
        <v>2025</v>
      </c>
      <c r="G549" s="3" t="s">
        <v>3941</v>
      </c>
      <c r="H549" s="9">
        <f>IFERROR(DATEVALUE(TEXT(G549,"DD/MM/YYYY")), IF(ISNUMBER(G549), G549, ""))</f>
        <v>45747</v>
      </c>
      <c r="I549" s="9" t="str">
        <f>IF(G549="","Missing", IF(AND(ISNUMBER(G549)=FALSE, H549=""),"Invalid - Could Not Parse", IF(AND(ISNUMBER(G549)=FALSE, H549&lt;&gt;""),"Text - Converted to Date", IF(ISNUMBER(G549),"Valid","Check"))))</f>
        <v>Text - Converted to Date</v>
      </c>
      <c r="J549" s="9" t="str">
        <f>IF(OR(C549="", H549=""), "Cannot Check - Date Missing", IF(H549&lt;C549, "Invalid - Ship Before Order", "Valid"))</f>
        <v>Valid</v>
      </c>
      <c r="K549" s="5">
        <f>IF(OR(C549="", H549=""), "", IF(H549&lt;C549, "", H549-C549))</f>
        <v>5</v>
      </c>
      <c r="L549" s="3" t="s">
        <v>3942</v>
      </c>
      <c r="M549" s="3" t="s">
        <v>142</v>
      </c>
      <c r="N549" s="4" t="str">
        <f>TRIM(SUBSTITUTE(M549,"_"," "))</f>
        <v>Priya Menon</v>
      </c>
      <c r="O549" s="3" t="s">
        <v>41</v>
      </c>
      <c r="P549" s="6" t="str">
        <f>PROPER(TRIM(SUBSTITUTE(O549,".","")))</f>
        <v>Small Business</v>
      </c>
      <c r="Q549" s="3" t="s">
        <v>42</v>
      </c>
      <c r="R549" s="7" t="str">
        <f>PROPER(TRIM(SUBSTITUTE(Q549,"  "," ")))</f>
        <v>East</v>
      </c>
      <c r="S549" s="3" t="s">
        <v>311</v>
      </c>
      <c r="T549" s="6" t="str">
        <f>PROPER(TRIM(SUBSTITUTE(S549,"  "," ")))</f>
        <v>Jharkhand</v>
      </c>
      <c r="U549" s="3" t="s">
        <v>312</v>
      </c>
      <c r="V549" s="6" t="str">
        <f>PROPER(TRIM(SUBSTITUTE(U549,"  "," ")))</f>
        <v>Ranchi</v>
      </c>
      <c r="W549" s="3" t="s">
        <v>30</v>
      </c>
      <c r="X549" s="6" t="str">
        <f>PROPER(TRIM(SUBSTITUTE(W549,"  "," ")))</f>
        <v>Office Supplies</v>
      </c>
      <c r="Y549" s="3" t="s">
        <v>198</v>
      </c>
      <c r="Z549" s="6" t="str">
        <f>PROPER(TRIM(SUBSTITUTE(Y549,"  "," ")))</f>
        <v>Binders</v>
      </c>
      <c r="AA549" s="3" t="s">
        <v>3943</v>
      </c>
      <c r="AB549" s="3" t="s">
        <v>56</v>
      </c>
      <c r="AC549" s="6" t="str">
        <f>PROPER(TRIM(SUBSTITUTE(AB549,"  "," ")))</f>
        <v>First Class</v>
      </c>
      <c r="AD549" s="3">
        <v>5</v>
      </c>
      <c r="AE549" s="3">
        <v>1395.14</v>
      </c>
      <c r="AF549" s="3">
        <v>0</v>
      </c>
      <c r="AG549" s="17">
        <v>0</v>
      </c>
      <c r="AH549" s="6" t="str">
        <f t="shared" si="67"/>
        <v>Valid</v>
      </c>
      <c r="AI549" s="3">
        <v>6975.7</v>
      </c>
      <c r="AJ549" s="3">
        <v>4797.88</v>
      </c>
      <c r="AK549" s="3">
        <v>2177.8200000000002</v>
      </c>
      <c r="AL549" s="3" t="s">
        <v>34</v>
      </c>
      <c r="AM549" s="6" t="str">
        <f>PROPER(TRIM(SUBSTITUTE(AL549,".","")))</f>
        <v>Paid</v>
      </c>
      <c r="AN549" s="3" t="s">
        <v>78</v>
      </c>
      <c r="AO549" s="8" t="str">
        <f>PROPER(TRIM(SUBSTITUTE(AN549,".","")))</f>
        <v>Cancelled</v>
      </c>
      <c r="AP549" t="str">
        <f>IF(COUNTIF($A$2:$A$933, A549) &gt; 1, "Duplicate ID", "Unique")</f>
        <v>Unique</v>
      </c>
      <c r="AR549">
        <f t="shared" si="68"/>
        <v>6975.7000000000007</v>
      </c>
      <c r="AS549">
        <f t="shared" si="69"/>
        <v>2177.8200000000006</v>
      </c>
      <c r="AT549" s="15">
        <f t="shared" si="70"/>
        <v>0.3122009260719355</v>
      </c>
      <c r="AU549" t="str">
        <f t="shared" si="71"/>
        <v>Clean</v>
      </c>
      <c r="AV549" s="8" t="str">
        <f t="shared" si="72"/>
        <v>Cancelled</v>
      </c>
    </row>
    <row r="550" spans="1:48">
      <c r="A550" s="3" t="s">
        <v>865</v>
      </c>
      <c r="B550" s="3" t="s">
        <v>866</v>
      </c>
      <c r="C550" s="9">
        <f>IFERROR(DATEVALUE(TEXT(B550,"DD/MM/YYYY")), IF(ISNUMBER(B550), B550, ""))</f>
        <v>45743</v>
      </c>
      <c r="D550" s="9" t="str">
        <f>IF(B550="","Missing", IF(AND(ISNUMBER(B550)=FALSE, C550=""),"Invalid - Could Not Parse", IF(AND(ISNUMBER(B550)=FALSE, C550&lt;&gt;""),"Text - Converted to Date", IF(ISNUMBER(B550),"Valid","Check"))))</f>
        <v>Text - Converted to Date</v>
      </c>
      <c r="E550" s="5">
        <f t="shared" si="65"/>
        <v>3</v>
      </c>
      <c r="F550" s="5">
        <f t="shared" si="66"/>
        <v>2025</v>
      </c>
      <c r="G550" s="3" t="s">
        <v>867</v>
      </c>
      <c r="H550" s="9">
        <f>IFERROR(DATEVALUE(TEXT(G550,"DD/MM/YYYY")), IF(ISNUMBER(G550), G550, ""))</f>
        <v>45743</v>
      </c>
      <c r="I550" s="9" t="str">
        <f>IF(G550="","Missing", IF(AND(ISNUMBER(G550)=FALSE, H550=""),"Invalid - Could Not Parse", IF(AND(ISNUMBER(G550)=FALSE, H550&lt;&gt;""),"Text - Converted to Date", IF(ISNUMBER(G550),"Valid","Check"))))</f>
        <v>Text - Converted to Date</v>
      </c>
      <c r="J550" s="9" t="str">
        <f>IF(OR(C550="", H550=""), "Cannot Check - Date Missing", IF(H550&lt;C550, "Invalid - Ship Before Order", "Valid"))</f>
        <v>Valid</v>
      </c>
      <c r="K550" s="5">
        <f>IF(OR(C550="", H550=""), "", IF(H550&lt;C550, "", H550-C550))</f>
        <v>0</v>
      </c>
      <c r="L550" s="3" t="s">
        <v>868</v>
      </c>
      <c r="M550" s="3" t="s">
        <v>83</v>
      </c>
      <c r="N550" s="4" t="str">
        <f>TRIM(SUBSTITUTE(M550,"_"," "))</f>
        <v>Vikram Iyer</v>
      </c>
      <c r="O550" s="3" t="s">
        <v>41</v>
      </c>
      <c r="P550" s="6" t="str">
        <f>PROPER(TRIM(SUBSTITUTE(O550,".","")))</f>
        <v>Small Business</v>
      </c>
      <c r="Q550" s="3" t="s">
        <v>42</v>
      </c>
      <c r="R550" s="7" t="str">
        <f>PROPER(TRIM(SUBSTITUTE(Q550,"  "," ")))</f>
        <v>East</v>
      </c>
      <c r="S550" s="3" t="s">
        <v>186</v>
      </c>
      <c r="T550" s="6" t="str">
        <f>PROPER(TRIM(SUBSTITUTE(S550,"  "," ")))</f>
        <v>Bihar</v>
      </c>
      <c r="U550" s="3" t="s">
        <v>187</v>
      </c>
      <c r="V550" s="6" t="str">
        <f>PROPER(TRIM(SUBSTITUTE(U550,"  "," ")))</f>
        <v>Patna</v>
      </c>
      <c r="W550" s="3" t="s">
        <v>86</v>
      </c>
      <c r="X550" s="6" t="str">
        <f>PROPER(TRIM(SUBSTITUTE(W550,"  "," ")))</f>
        <v>Technology</v>
      </c>
      <c r="Y550" s="3" t="s">
        <v>382</v>
      </c>
      <c r="Z550" s="6" t="str">
        <f>PROPER(TRIM(SUBSTITUTE(Y550,"  "," ")))</f>
        <v>Machines</v>
      </c>
      <c r="AA550" s="3" t="s">
        <v>869</v>
      </c>
      <c r="AB550" s="3" t="s">
        <v>33</v>
      </c>
      <c r="AC550" s="6" t="str">
        <f>PROPER(TRIM(SUBSTITUTE(AB550,"  "," ")))</f>
        <v>Second Class</v>
      </c>
      <c r="AD550" s="3">
        <v>7</v>
      </c>
      <c r="AE550" s="3">
        <v>2305.37</v>
      </c>
      <c r="AF550" s="3">
        <v>0.25</v>
      </c>
      <c r="AG550" s="17">
        <v>0.25</v>
      </c>
      <c r="AH550" s="6" t="str">
        <f t="shared" si="67"/>
        <v>Valid</v>
      </c>
      <c r="AI550" s="3">
        <v>12103.19</v>
      </c>
      <c r="AJ550" s="3">
        <v>6717.87</v>
      </c>
      <c r="AK550" s="3">
        <v>5385.32</v>
      </c>
      <c r="AL550" s="3" t="s">
        <v>34</v>
      </c>
      <c r="AM550" s="6" t="str">
        <f>PROPER(TRIM(SUBSTITUTE(AL550,".","")))</f>
        <v>Paid</v>
      </c>
      <c r="AN550" s="3" t="s">
        <v>35</v>
      </c>
      <c r="AO550" s="8" t="str">
        <f>PROPER(TRIM(SUBSTITUTE(AN550,".","")))</f>
        <v>Completed</v>
      </c>
      <c r="AP550" t="str">
        <f>IF(COUNTIF($A$2:$A$933, A550) &gt; 1, "Duplicate ID", "Unique")</f>
        <v>Unique</v>
      </c>
      <c r="AR550">
        <f t="shared" si="68"/>
        <v>12103.192500000001</v>
      </c>
      <c r="AS550">
        <f t="shared" si="69"/>
        <v>5385.3225000000011</v>
      </c>
      <c r="AT550" s="15">
        <f t="shared" si="70"/>
        <v>0.44495057812225997</v>
      </c>
      <c r="AU550" t="str">
        <f t="shared" si="71"/>
        <v>Clean</v>
      </c>
      <c r="AV550" s="8" t="str">
        <f t="shared" si="72"/>
        <v>Active</v>
      </c>
    </row>
    <row r="551" spans="1:48">
      <c r="A551" s="3" t="s">
        <v>1083</v>
      </c>
      <c r="B551" s="3" t="s">
        <v>1084</v>
      </c>
      <c r="C551" s="9">
        <f>IFERROR(DATEVALUE(TEXT(B551,"DD/MM/YYYY")), IF(ISNUMBER(B551), B551, ""))</f>
        <v>45744</v>
      </c>
      <c r="D551" s="9" t="str">
        <f>IF(B551="","Missing", IF(AND(ISNUMBER(B551)=FALSE, C551=""),"Invalid - Could Not Parse", IF(AND(ISNUMBER(B551)=FALSE, C551&lt;&gt;""),"Text - Converted to Date", IF(ISNUMBER(B551),"Valid","Check"))))</f>
        <v>Text - Converted to Date</v>
      </c>
      <c r="E551" s="5">
        <f t="shared" si="65"/>
        <v>3</v>
      </c>
      <c r="F551" s="5">
        <f t="shared" si="66"/>
        <v>2025</v>
      </c>
      <c r="G551" s="3" t="s">
        <v>1085</v>
      </c>
      <c r="H551" s="9">
        <f>IFERROR(DATEVALUE(TEXT(G551,"DD/MM/YYYY")), IF(ISNUMBER(G551), G551, ""))</f>
        <v>45744</v>
      </c>
      <c r="I551" s="9" t="str">
        <f>IF(G551="","Missing", IF(AND(ISNUMBER(G551)=FALSE, H551=""),"Invalid - Could Not Parse", IF(AND(ISNUMBER(G551)=FALSE, H551&lt;&gt;""),"Text - Converted to Date", IF(ISNUMBER(G551),"Valid","Check"))))</f>
        <v>Text - Converted to Date</v>
      </c>
      <c r="J551" s="9" t="str">
        <f>IF(OR(C551="", H551=""), "Cannot Check - Date Missing", IF(H551&lt;C551, "Invalid - Ship Before Order", "Valid"))</f>
        <v>Valid</v>
      </c>
      <c r="K551" s="5">
        <f>IF(OR(C551="", H551=""), "", IF(H551&lt;C551, "", H551-C551))</f>
        <v>0</v>
      </c>
      <c r="L551" s="3" t="s">
        <v>1086</v>
      </c>
      <c r="M551" s="3" t="s">
        <v>168</v>
      </c>
      <c r="N551" s="4" t="str">
        <f>TRIM(SUBSTITUTE(M551,"_"," "))</f>
        <v>Sneha Kapoor</v>
      </c>
      <c r="O551" s="3" t="s">
        <v>108</v>
      </c>
      <c r="P551" s="6" t="str">
        <f>PROPER(TRIM(SUBSTITUTE(O551,".","")))</f>
        <v>Corporate</v>
      </c>
      <c r="Q551" s="3" t="s">
        <v>73</v>
      </c>
      <c r="R551" s="7" t="str">
        <f>PROPER(TRIM(SUBSTITUTE(Q551,"  "," ")))</f>
        <v>West</v>
      </c>
      <c r="S551" s="3" t="s">
        <v>249</v>
      </c>
      <c r="T551" s="6" t="str">
        <f>PROPER(TRIM(SUBSTITUTE(S551,"  "," ")))</f>
        <v>Goa</v>
      </c>
      <c r="U551" s="3" t="s">
        <v>250</v>
      </c>
      <c r="V551" s="6" t="str">
        <f>PROPER(TRIM(SUBSTITUTE(U551,"  "," ")))</f>
        <v>Panaji</v>
      </c>
      <c r="W551" s="3" t="s">
        <v>86</v>
      </c>
      <c r="X551" s="6" t="str">
        <f>PROPER(TRIM(SUBSTITUTE(W551,"  "," ")))</f>
        <v>Technology</v>
      </c>
      <c r="Y551" s="3" t="s">
        <v>87</v>
      </c>
      <c r="Z551" s="6" t="str">
        <f>PROPER(TRIM(SUBSTITUTE(Y551,"  "," ")))</f>
        <v>Accessories</v>
      </c>
      <c r="AA551" s="3" t="s">
        <v>1087</v>
      </c>
      <c r="AB551" s="3" t="s">
        <v>67</v>
      </c>
      <c r="AC551" s="6" t="str">
        <f>PROPER(TRIM(SUBSTITUTE(AB551,"  "," ")))</f>
        <v>Standard Class</v>
      </c>
      <c r="AD551" s="3">
        <v>8</v>
      </c>
      <c r="AE551" s="3">
        <v>1740.94</v>
      </c>
      <c r="AF551" s="3">
        <v>0.05</v>
      </c>
      <c r="AG551" s="17">
        <v>0.05</v>
      </c>
      <c r="AH551" s="6" t="str">
        <f t="shared" si="67"/>
        <v>Valid</v>
      </c>
      <c r="AI551" s="3">
        <v>13231.14</v>
      </c>
      <c r="AJ551" s="3">
        <v>11290.06</v>
      </c>
      <c r="AK551" s="3">
        <v>1941.08</v>
      </c>
      <c r="AL551" s="3" t="s">
        <v>34</v>
      </c>
      <c r="AM551" s="6" t="str">
        <f>PROPER(TRIM(SUBSTITUTE(AL551,".","")))</f>
        <v>Paid</v>
      </c>
      <c r="AN551" s="3" t="s">
        <v>35</v>
      </c>
      <c r="AO551" s="8" t="str">
        <f>PROPER(TRIM(SUBSTITUTE(AN551,".","")))</f>
        <v>Completed</v>
      </c>
      <c r="AP551" t="str">
        <f>IF(COUNTIF($A$2:$A$933, A551) &gt; 1, "Duplicate ID", "Unique")</f>
        <v>Unique</v>
      </c>
      <c r="AR551">
        <f t="shared" si="68"/>
        <v>13231.144</v>
      </c>
      <c r="AS551">
        <f t="shared" si="69"/>
        <v>1941.0840000000007</v>
      </c>
      <c r="AT551" s="15">
        <f t="shared" si="70"/>
        <v>0.14670568168557463</v>
      </c>
      <c r="AU551" t="str">
        <f t="shared" si="71"/>
        <v>Clean</v>
      </c>
      <c r="AV551" s="8" t="str">
        <f t="shared" si="72"/>
        <v>Active</v>
      </c>
    </row>
    <row r="552" spans="1:48">
      <c r="A552" s="3" t="s">
        <v>467</v>
      </c>
      <c r="B552" s="3" t="s">
        <v>468</v>
      </c>
      <c r="C552" s="9">
        <f>IFERROR(DATEVALUE(TEXT(B552,"DD/MM/YYYY")), IF(ISNUMBER(B552), B552, ""))</f>
        <v>45745</v>
      </c>
      <c r="D552" s="9" t="str">
        <f>IF(B552="","Missing", IF(AND(ISNUMBER(B552)=FALSE, C552=""),"Invalid - Could Not Parse", IF(AND(ISNUMBER(B552)=FALSE, C552&lt;&gt;""),"Text - Converted to Date", IF(ISNUMBER(B552),"Valid","Check"))))</f>
        <v>Text - Converted to Date</v>
      </c>
      <c r="E552" s="5">
        <f t="shared" si="65"/>
        <v>3</v>
      </c>
      <c r="F552" s="5">
        <f t="shared" si="66"/>
        <v>2025</v>
      </c>
      <c r="G552" s="3" t="s">
        <v>469</v>
      </c>
      <c r="H552" s="9">
        <f>IFERROR(DATEVALUE(TEXT(G552,"DD/MM/YYYY")), IF(ISNUMBER(G552), G552, ""))</f>
        <v>45720</v>
      </c>
      <c r="I552" s="9" t="str">
        <f>IF(G552="","Missing", IF(AND(ISNUMBER(G552)=FALSE, H552=""),"Invalid - Could Not Parse", IF(AND(ISNUMBER(G552)=FALSE, H552&lt;&gt;""),"Text - Converted to Date", IF(ISNUMBER(G552),"Valid","Check"))))</f>
        <v>Text - Converted to Date</v>
      </c>
      <c r="J552" s="9" t="str">
        <f>IF(OR(C552="", H552=""), "Cannot Check - Date Missing", IF(H552&lt;C552, "Invalid - Ship Before Order", "Valid"))</f>
        <v>Invalid - Ship Before Order</v>
      </c>
      <c r="K552" s="5" t="str">
        <f>IF(OR(C552="", H552=""), "", IF(H552&lt;C552, "", H552-C552))</f>
        <v/>
      </c>
      <c r="L552" s="3" t="s">
        <v>470</v>
      </c>
      <c r="M552" s="3" t="s">
        <v>168</v>
      </c>
      <c r="N552" s="4" t="str">
        <f>TRIM(SUBSTITUTE(M552,"_"," "))</f>
        <v>Sneha Kapoor</v>
      </c>
      <c r="O552" s="3" t="s">
        <v>108</v>
      </c>
      <c r="P552" s="6" t="str">
        <f>PROPER(TRIM(SUBSTITUTE(O552,".","")))</f>
        <v>Corporate</v>
      </c>
      <c r="Q552" s="3" t="s">
        <v>42</v>
      </c>
      <c r="R552" s="7" t="str">
        <f>PROPER(TRIM(SUBSTITUTE(Q552,"  "," ")))</f>
        <v>East</v>
      </c>
      <c r="S552" s="3" t="s">
        <v>121</v>
      </c>
      <c r="T552" s="6" t="str">
        <f>PROPER(TRIM(SUBSTITUTE(S552,"  "," ")))</f>
        <v>West Bengal</v>
      </c>
      <c r="U552" s="3" t="s">
        <v>122</v>
      </c>
      <c r="V552" s="6" t="str">
        <f>PROPER(TRIM(SUBSTITUTE(U552,"  "," ")))</f>
        <v>Kolkata</v>
      </c>
      <c r="W552" s="3" t="s">
        <v>45</v>
      </c>
      <c r="X552" s="6" t="str">
        <f>PROPER(TRIM(SUBSTITUTE(W552,"  "," ")))</f>
        <v>Furniture</v>
      </c>
      <c r="Y552" s="3" t="s">
        <v>204</v>
      </c>
      <c r="Z552" s="6" t="str">
        <f>PROPER(TRIM(SUBSTITUTE(Y552,"  "," ")))</f>
        <v>Bookcases</v>
      </c>
      <c r="AA552" s="3" t="s">
        <v>471</v>
      </c>
      <c r="AB552" s="3" t="s">
        <v>56</v>
      </c>
      <c r="AC552" s="6" t="str">
        <f>PROPER(TRIM(SUBSTITUTE(AB552,"  "," ")))</f>
        <v>First Class</v>
      </c>
      <c r="AD552" s="3">
        <v>5</v>
      </c>
      <c r="AE552" s="3">
        <v>1425.74</v>
      </c>
      <c r="AF552" s="3">
        <v>0</v>
      </c>
      <c r="AG552" s="17">
        <v>0</v>
      </c>
      <c r="AH552" s="6" t="str">
        <f t="shared" si="67"/>
        <v>Valid</v>
      </c>
      <c r="AI552" s="3">
        <v>7128.7</v>
      </c>
      <c r="AJ552" s="3">
        <v>4382.1499999999996</v>
      </c>
      <c r="AK552" s="3">
        <v>2746.55</v>
      </c>
      <c r="AL552" s="3" t="s">
        <v>34</v>
      </c>
      <c r="AM552" s="6" t="str">
        <f>PROPER(TRIM(SUBSTITUTE(AL552,".","")))</f>
        <v>Paid</v>
      </c>
      <c r="AN552" s="3" t="s">
        <v>35</v>
      </c>
      <c r="AO552" s="8" t="str">
        <f>PROPER(TRIM(SUBSTITUTE(AN552,".","")))</f>
        <v>Completed</v>
      </c>
      <c r="AP552" t="str">
        <f>IF(COUNTIF($A$2:$A$933, A552) &gt; 1, "Duplicate ID", "Unique")</f>
        <v>Unique</v>
      </c>
      <c r="AR552">
        <f t="shared" si="68"/>
        <v>7128.7</v>
      </c>
      <c r="AS552">
        <f t="shared" si="69"/>
        <v>2746.55</v>
      </c>
      <c r="AT552" s="15">
        <f t="shared" si="70"/>
        <v>0.38528062620113068</v>
      </c>
      <c r="AU552" t="str">
        <f t="shared" si="71"/>
        <v>Invalid</v>
      </c>
      <c r="AV552" s="8" t="str">
        <f t="shared" si="72"/>
        <v>Active</v>
      </c>
    </row>
    <row r="553" spans="1:48">
      <c r="A553" s="3" t="s">
        <v>368</v>
      </c>
      <c r="B553" s="3" t="s">
        <v>369</v>
      </c>
      <c r="C553" s="9">
        <f>IFERROR(DATEVALUE(TEXT(B553,"DD/MM/YYYY")), IF(ISNUMBER(B553), B553, ""))</f>
        <v>45747</v>
      </c>
      <c r="D553" s="9" t="str">
        <f>IF(B553="","Missing", IF(AND(ISNUMBER(B553)=FALSE, C553=""),"Invalid - Could Not Parse", IF(AND(ISNUMBER(B553)=FALSE, C553&lt;&gt;""),"Text - Converted to Date", IF(ISNUMBER(B553),"Valid","Check"))))</f>
        <v>Text - Converted to Date</v>
      </c>
      <c r="E553" s="5">
        <f t="shared" si="65"/>
        <v>3</v>
      </c>
      <c r="F553" s="5">
        <f t="shared" si="66"/>
        <v>2025</v>
      </c>
      <c r="G553" s="3" t="s">
        <v>370</v>
      </c>
      <c r="H553" s="9">
        <f>IFERROR(DATEVALUE(TEXT(G553,"DD/MM/YYYY")), IF(ISNUMBER(G553), G553, ""))</f>
        <v>45747</v>
      </c>
      <c r="I553" s="9" t="str">
        <f>IF(G553="","Missing", IF(AND(ISNUMBER(G553)=FALSE, H553=""),"Invalid - Could Not Parse", IF(AND(ISNUMBER(G553)=FALSE, H553&lt;&gt;""),"Text - Converted to Date", IF(ISNUMBER(G553),"Valid","Check"))))</f>
        <v>Text - Converted to Date</v>
      </c>
      <c r="J553" s="9" t="str">
        <f>IF(OR(C553="", H553=""), "Cannot Check - Date Missing", IF(H553&lt;C553, "Invalid - Ship Before Order", "Valid"))</f>
        <v>Valid</v>
      </c>
      <c r="K553" s="5">
        <f>IF(OR(C553="", H553=""), "", IF(H553&lt;C553, "", H553-C553))</f>
        <v>0</v>
      </c>
      <c r="L553" s="3" t="s">
        <v>371</v>
      </c>
      <c r="M553" s="3" t="s">
        <v>366</v>
      </c>
      <c r="N553" s="4" t="str">
        <f>TRIM(SUBSTITUTE(M553,"_"," "))</f>
        <v>Kabir Singh</v>
      </c>
      <c r="O553" s="3" t="s">
        <v>115</v>
      </c>
      <c r="P553" s="6" t="str">
        <f>PROPER(TRIM(SUBSTITUTE(O553,".","")))</f>
        <v>Home Office</v>
      </c>
      <c r="Q553" s="3" t="s">
        <v>73</v>
      </c>
      <c r="R553" s="7" t="str">
        <f>PROPER(TRIM(SUBSTITUTE(Q553,"  "," ")))</f>
        <v>West</v>
      </c>
      <c r="S553" s="3" t="s">
        <v>235</v>
      </c>
      <c r="T553" s="6" t="str">
        <f>PROPER(TRIM(SUBSTITUTE(S553,"  "," ")))</f>
        <v>Gujarat</v>
      </c>
      <c r="U553" s="3" t="s">
        <v>236</v>
      </c>
      <c r="V553" s="6" t="str">
        <f>PROPER(TRIM(SUBSTITUTE(U553,"  "," ")))</f>
        <v>Ahmedabad</v>
      </c>
      <c r="W553" s="3" t="s">
        <v>30</v>
      </c>
      <c r="X553" s="6" t="str">
        <f>PROPER(TRIM(SUBSTITUTE(W553,"  "," ")))</f>
        <v>Office Supplies</v>
      </c>
      <c r="Y553" s="3" t="s">
        <v>156</v>
      </c>
      <c r="Z553" s="6" t="str">
        <f>PROPER(TRIM(SUBSTITUTE(Y553,"  "," ")))</f>
        <v>Storage</v>
      </c>
      <c r="AA553" s="3" t="s">
        <v>372</v>
      </c>
      <c r="AB553" s="3" t="s">
        <v>56</v>
      </c>
      <c r="AC553" s="6" t="str">
        <f>PROPER(TRIM(SUBSTITUTE(AB553,"  "," ")))</f>
        <v>First Class</v>
      </c>
      <c r="AD553" s="3">
        <v>5</v>
      </c>
      <c r="AE553" s="3">
        <v>1207.47</v>
      </c>
      <c r="AF553" s="3">
        <v>0.15</v>
      </c>
      <c r="AG553" s="17">
        <v>0.15</v>
      </c>
      <c r="AH553" s="6" t="str">
        <f t="shared" si="67"/>
        <v>Valid</v>
      </c>
      <c r="AI553" s="3">
        <v>5131.75</v>
      </c>
      <c r="AJ553" s="3">
        <v>2838.68</v>
      </c>
      <c r="AK553" s="3">
        <v>2293.0700000000002</v>
      </c>
      <c r="AL553" s="3" t="s">
        <v>34</v>
      </c>
      <c r="AM553" s="6" t="str">
        <f>PROPER(TRIM(SUBSTITUTE(AL553,".","")))</f>
        <v>Paid</v>
      </c>
      <c r="AN553" s="3" t="s">
        <v>35</v>
      </c>
      <c r="AO553" s="8" t="str">
        <f>PROPER(TRIM(SUBSTITUTE(AN553,".","")))</f>
        <v>Completed</v>
      </c>
      <c r="AP553" t="str">
        <f>IF(COUNTIF($A$2:$A$933, A553) &gt; 1, "Duplicate ID", "Unique")</f>
        <v>Unique</v>
      </c>
      <c r="AR553">
        <f t="shared" si="68"/>
        <v>5131.7475000000004</v>
      </c>
      <c r="AS553">
        <f t="shared" si="69"/>
        <v>2293.0675000000006</v>
      </c>
      <c r="AT553" s="15">
        <f t="shared" si="70"/>
        <v>0.44683950252813498</v>
      </c>
      <c r="AU553" t="str">
        <f t="shared" si="71"/>
        <v>Clean</v>
      </c>
      <c r="AV553" s="8" t="str">
        <f t="shared" si="72"/>
        <v>Active</v>
      </c>
    </row>
    <row r="554" spans="1:48">
      <c r="A554" s="3" t="s">
        <v>1062</v>
      </c>
      <c r="B554" s="3" t="s">
        <v>369</v>
      </c>
      <c r="C554" s="9">
        <f>IFERROR(DATEVALUE(TEXT(B554,"DD/MM/YYYY")), IF(ISNUMBER(B554), B554, ""))</f>
        <v>45747</v>
      </c>
      <c r="D554" s="9" t="str">
        <f>IF(B554="","Missing", IF(AND(ISNUMBER(B554)=FALSE, C554=""),"Invalid - Could Not Parse", IF(AND(ISNUMBER(B554)=FALSE, C554&lt;&gt;""),"Text - Converted to Date", IF(ISNUMBER(B554),"Valid","Check"))))</f>
        <v>Text - Converted to Date</v>
      </c>
      <c r="E554" s="5">
        <f t="shared" si="65"/>
        <v>3</v>
      </c>
      <c r="F554" s="5">
        <f t="shared" si="66"/>
        <v>2025</v>
      </c>
      <c r="G554" s="3" t="s">
        <v>1063</v>
      </c>
      <c r="H554" s="9">
        <f>IFERROR(DATEVALUE(TEXT(G554,"DD/MM/YYYY")), IF(ISNUMBER(G554), G554, ""))</f>
        <v>45754</v>
      </c>
      <c r="I554" s="9" t="str">
        <f>IF(G554="","Missing", IF(AND(ISNUMBER(G554)=FALSE, H554=""),"Invalid - Could Not Parse", IF(AND(ISNUMBER(G554)=FALSE, H554&lt;&gt;""),"Text - Converted to Date", IF(ISNUMBER(G554),"Valid","Check"))))</f>
        <v>Text - Converted to Date</v>
      </c>
      <c r="J554" s="9" t="str">
        <f>IF(OR(C554="", H554=""), "Cannot Check - Date Missing", IF(H554&lt;C554, "Invalid - Ship Before Order", "Valid"))</f>
        <v>Valid</v>
      </c>
      <c r="K554" s="5">
        <f>IF(OR(C554="", H554=""), "", IF(H554&lt;C554, "", H554-C554))</f>
        <v>7</v>
      </c>
      <c r="L554" s="3" t="s">
        <v>564</v>
      </c>
      <c r="M554" s="3" t="s">
        <v>148</v>
      </c>
      <c r="N554" s="4" t="str">
        <f>TRIM(SUBSTITUTE(M554,"_"," "))</f>
        <v>Rahul Verma</v>
      </c>
      <c r="O554" s="3" t="s">
        <v>701</v>
      </c>
      <c r="P554" s="6" t="str">
        <f>PROPER(TRIM(SUBSTITUTE(O554,".","")))</f>
        <v>Small Business</v>
      </c>
      <c r="Q554" s="3" t="s">
        <v>42</v>
      </c>
      <c r="R554" s="7" t="str">
        <f>PROPER(TRIM(SUBSTITUTE(Q554,"  "," ")))</f>
        <v>East</v>
      </c>
      <c r="S554" s="3" t="s">
        <v>186</v>
      </c>
      <c r="T554" s="6" t="str">
        <f>PROPER(TRIM(SUBSTITUTE(S554,"  "," ")))</f>
        <v>Bihar</v>
      </c>
      <c r="U554" s="3" t="s">
        <v>187</v>
      </c>
      <c r="V554" s="6" t="str">
        <f>PROPER(TRIM(SUBSTITUTE(U554,"  "," ")))</f>
        <v>Patna</v>
      </c>
      <c r="W554" s="3" t="s">
        <v>30</v>
      </c>
      <c r="X554" s="6" t="str">
        <f>PROPER(TRIM(SUBSTITUTE(W554,"  "," ")))</f>
        <v>Office Supplies</v>
      </c>
      <c r="Y554" s="3" t="s">
        <v>156</v>
      </c>
      <c r="Z554" s="6" t="str">
        <f>PROPER(TRIM(SUBSTITUTE(Y554,"  "," ")))</f>
        <v>Storage</v>
      </c>
      <c r="AA554" s="3" t="s">
        <v>1064</v>
      </c>
      <c r="AB554" s="3" t="s">
        <v>33</v>
      </c>
      <c r="AC554" s="6" t="str">
        <f>PROPER(TRIM(SUBSTITUTE(AB554,"  "," ")))</f>
        <v>Second Class</v>
      </c>
      <c r="AD554" s="3">
        <v>5</v>
      </c>
      <c r="AE554" s="3">
        <v>4096.4399999999996</v>
      </c>
      <c r="AF554" s="3">
        <v>0.15</v>
      </c>
      <c r="AG554" s="17">
        <v>0.15</v>
      </c>
      <c r="AH554" s="6" t="str">
        <f t="shared" si="67"/>
        <v>Valid</v>
      </c>
      <c r="AI554" s="3">
        <v>17409.87</v>
      </c>
      <c r="AJ554" s="3">
        <v>14076.25</v>
      </c>
      <c r="AK554" s="3">
        <v>3333.62</v>
      </c>
      <c r="AL554" s="3" t="s">
        <v>34</v>
      </c>
      <c r="AM554" s="6" t="str">
        <f>PROPER(TRIM(SUBSTITUTE(AL554,".","")))</f>
        <v>Paid</v>
      </c>
      <c r="AN554" s="3" t="s">
        <v>35</v>
      </c>
      <c r="AO554" s="8" t="str">
        <f>PROPER(TRIM(SUBSTITUTE(AN554,".","")))</f>
        <v>Completed</v>
      </c>
      <c r="AP554" t="str">
        <f>IF(COUNTIF($A$2:$A$933, A554) &gt; 1, "Duplicate ID", "Unique")</f>
        <v>Unique</v>
      </c>
      <c r="AR554">
        <f t="shared" si="68"/>
        <v>17409.869999999995</v>
      </c>
      <c r="AS554">
        <f t="shared" si="69"/>
        <v>3333.6199999999953</v>
      </c>
      <c r="AT554" s="15">
        <f t="shared" si="70"/>
        <v>0.19147874165631312</v>
      </c>
      <c r="AU554" t="str">
        <f t="shared" si="71"/>
        <v>Clean</v>
      </c>
      <c r="AV554" s="8" t="str">
        <f t="shared" si="72"/>
        <v>Active</v>
      </c>
    </row>
    <row r="555" spans="1:48">
      <c r="A555" s="3" t="s">
        <v>1156</v>
      </c>
      <c r="B555" s="3" t="s">
        <v>1157</v>
      </c>
      <c r="C555" s="9">
        <f>IFERROR(DATEVALUE(TEXT(B555,"DD/MM/YYYY")), IF(ISNUMBER(B555), B555, ""))</f>
        <v>45748</v>
      </c>
      <c r="D555" s="9" t="str">
        <f>IF(B555="","Missing", IF(AND(ISNUMBER(B555)=FALSE, C555=""),"Invalid - Could Not Parse", IF(AND(ISNUMBER(B555)=FALSE, C555&lt;&gt;""),"Text - Converted to Date", IF(ISNUMBER(B555),"Valid","Check"))))</f>
        <v>Text - Converted to Date</v>
      </c>
      <c r="E555" s="5">
        <f t="shared" si="65"/>
        <v>4</v>
      </c>
      <c r="F555" s="5">
        <f t="shared" si="66"/>
        <v>2025</v>
      </c>
      <c r="G555" s="3" t="s">
        <v>1158</v>
      </c>
      <c r="H555" s="9">
        <f>IFERROR(DATEVALUE(TEXT(G555,"DD/MM/YYYY")), IF(ISNUMBER(G555), G555, ""))</f>
        <v>45873</v>
      </c>
      <c r="I555" s="9" t="str">
        <f>IF(G555="","Missing", IF(AND(ISNUMBER(G555)=FALSE, H555=""),"Invalid - Could Not Parse", IF(AND(ISNUMBER(G555)=FALSE, H555&lt;&gt;""),"Text - Converted to Date", IF(ISNUMBER(G555),"Valid","Check"))))</f>
        <v>Text - Converted to Date</v>
      </c>
      <c r="J555" s="9" t="str">
        <f>IF(OR(C555="", H555=""), "Cannot Check - Date Missing", IF(H555&lt;C555, "Invalid - Ship Before Order", "Valid"))</f>
        <v>Valid</v>
      </c>
      <c r="K555" s="5">
        <f>IF(OR(C555="", H555=""), "", IF(H555&lt;C555, "", H555-C555))</f>
        <v>125</v>
      </c>
      <c r="L555" s="3" t="s">
        <v>1159</v>
      </c>
      <c r="M555" s="3" t="s">
        <v>107</v>
      </c>
      <c r="N555" s="4" t="str">
        <f>TRIM(SUBSTITUTE(M555,"_"," "))</f>
        <v>Aditi Sen</v>
      </c>
      <c r="O555" s="3" t="s">
        <v>26</v>
      </c>
      <c r="P555" s="6" t="str">
        <f>PROPER(TRIM(SUBSTITUTE(O555,".","")))</f>
        <v>Consumer</v>
      </c>
      <c r="Q555" s="3" t="s">
        <v>42</v>
      </c>
      <c r="R555" s="7" t="str">
        <f>PROPER(TRIM(SUBSTITUTE(Q555,"  "," ")))</f>
        <v>East</v>
      </c>
      <c r="S555" s="3" t="s">
        <v>43</v>
      </c>
      <c r="T555" s="6" t="str">
        <f>PROPER(TRIM(SUBSTITUTE(S555,"  "," ")))</f>
        <v>Odisha</v>
      </c>
      <c r="U555" s="3" t="s">
        <v>44</v>
      </c>
      <c r="V555" s="6" t="str">
        <f>PROPER(TRIM(SUBSTITUTE(U555,"  "," ")))</f>
        <v>Bhubaneswar</v>
      </c>
      <c r="W555" s="3" t="s">
        <v>45</v>
      </c>
      <c r="X555" s="6" t="str">
        <f>PROPER(TRIM(SUBSTITUTE(W555,"  "," ")))</f>
        <v>Furniture</v>
      </c>
      <c r="Y555" s="3" t="s">
        <v>204</v>
      </c>
      <c r="Z555" s="6" t="str">
        <f>PROPER(TRIM(SUBSTITUTE(Y555,"  "," ")))</f>
        <v>Bookcases</v>
      </c>
      <c r="AA555" s="3" t="s">
        <v>1160</v>
      </c>
      <c r="AB555" s="3" t="s">
        <v>33</v>
      </c>
      <c r="AC555" s="6" t="str">
        <f>PROPER(TRIM(SUBSTITUTE(AB555,"  "," ")))</f>
        <v>Second Class</v>
      </c>
      <c r="AD555" s="3">
        <v>5</v>
      </c>
      <c r="AE555" s="3">
        <v>1021.28</v>
      </c>
      <c r="AF555" s="3">
        <v>0.1</v>
      </c>
      <c r="AG555" s="17">
        <v>0.1</v>
      </c>
      <c r="AH555" s="6" t="str">
        <f t="shared" si="67"/>
        <v>Valid</v>
      </c>
      <c r="AI555" s="3">
        <v>4595.76</v>
      </c>
      <c r="AJ555" s="3">
        <v>3396.8</v>
      </c>
      <c r="AK555" s="3">
        <v>1198.96</v>
      </c>
      <c r="AL555" s="3" t="s">
        <v>124</v>
      </c>
      <c r="AM555" s="6" t="str">
        <f>PROPER(TRIM(SUBSTITUTE(AL555,".","")))</f>
        <v>Refunded</v>
      </c>
      <c r="AN555" s="3" t="s">
        <v>78</v>
      </c>
      <c r="AO555" s="8" t="str">
        <f>PROPER(TRIM(SUBSTITUTE(AN555,".","")))</f>
        <v>Cancelled</v>
      </c>
      <c r="AP555" t="str">
        <f>IF(COUNTIF($A$2:$A$933, A555) &gt; 1, "Duplicate ID", "Unique")</f>
        <v>Unique</v>
      </c>
      <c r="AR555">
        <f t="shared" si="68"/>
        <v>4595.76</v>
      </c>
      <c r="AS555">
        <f t="shared" si="69"/>
        <v>1198.96</v>
      </c>
      <c r="AT555" s="15">
        <f t="shared" si="70"/>
        <v>0.26088394520166414</v>
      </c>
      <c r="AU555" t="str">
        <f t="shared" si="71"/>
        <v>Clean</v>
      </c>
      <c r="AV555" s="8" t="str">
        <f t="shared" si="72"/>
        <v>Refund</v>
      </c>
    </row>
    <row r="556" spans="1:48">
      <c r="A556" s="3" t="s">
        <v>1811</v>
      </c>
      <c r="B556" s="3" t="s">
        <v>1157</v>
      </c>
      <c r="C556" s="9">
        <f>IFERROR(DATEVALUE(TEXT(B556,"DD/MM/YYYY")), IF(ISNUMBER(B556), B556, ""))</f>
        <v>45748</v>
      </c>
      <c r="D556" s="9" t="str">
        <f>IF(B556="","Missing", IF(AND(ISNUMBER(B556)=FALSE, C556=""),"Invalid - Could Not Parse", IF(AND(ISNUMBER(B556)=FALSE, C556&lt;&gt;""),"Text - Converted to Date", IF(ISNUMBER(B556),"Valid","Check"))))</f>
        <v>Text - Converted to Date</v>
      </c>
      <c r="E556" s="5">
        <f t="shared" si="65"/>
        <v>4</v>
      </c>
      <c r="F556" s="5">
        <f t="shared" si="66"/>
        <v>2025</v>
      </c>
      <c r="G556" s="3" t="s">
        <v>1812</v>
      </c>
      <c r="H556" s="9">
        <f>IFERROR(DATEVALUE(TEXT(G556,"DD/MM/YYYY")), IF(ISNUMBER(G556), G556, ""))</f>
        <v>45749</v>
      </c>
      <c r="I556" s="9" t="str">
        <f>IF(G556="","Missing", IF(AND(ISNUMBER(G556)=FALSE, H556=""),"Invalid - Could Not Parse", IF(AND(ISNUMBER(G556)=FALSE, H556&lt;&gt;""),"Text - Converted to Date", IF(ISNUMBER(G556),"Valid","Check"))))</f>
        <v>Text - Converted to Date</v>
      </c>
      <c r="J556" s="9" t="str">
        <f>IF(OR(C556="", H556=""), "Cannot Check - Date Missing", IF(H556&lt;C556, "Invalid - Ship Before Order", "Valid"))</f>
        <v>Valid</v>
      </c>
      <c r="K556" s="5">
        <f>IF(OR(C556="", H556=""), "", IF(H556&lt;C556, "", H556-C556))</f>
        <v>1</v>
      </c>
      <c r="L556" s="3" t="s">
        <v>1813</v>
      </c>
      <c r="M556" s="3" t="s">
        <v>180</v>
      </c>
      <c r="N556" s="4" t="str">
        <f>TRIM(SUBSTITUTE(M556,"_"," "))</f>
        <v>Rohan Mehta</v>
      </c>
      <c r="O556" s="3" t="s">
        <v>108</v>
      </c>
      <c r="P556" s="6" t="str">
        <f>PROPER(TRIM(SUBSTITUTE(O556,".","")))</f>
        <v>Corporate</v>
      </c>
      <c r="Q556" s="3" t="s">
        <v>42</v>
      </c>
      <c r="R556" s="7" t="str">
        <f>PROPER(TRIM(SUBSTITUTE(Q556,"  "," ")))</f>
        <v>East</v>
      </c>
      <c r="S556" s="3" t="s">
        <v>43</v>
      </c>
      <c r="T556" s="6" t="str">
        <f>PROPER(TRIM(SUBSTITUTE(S556,"  "," ")))</f>
        <v>Odisha</v>
      </c>
      <c r="U556" s="3" t="s">
        <v>44</v>
      </c>
      <c r="V556" s="6" t="str">
        <f>PROPER(TRIM(SUBSTITUTE(U556,"  "," ")))</f>
        <v>Bhubaneswar</v>
      </c>
      <c r="W556" s="3" t="s">
        <v>45</v>
      </c>
      <c r="X556" s="6" t="str">
        <f>PROPER(TRIM(SUBSTITUTE(W556,"  "," ")))</f>
        <v>Furniture</v>
      </c>
      <c r="Y556" s="3" t="s">
        <v>76</v>
      </c>
      <c r="Z556" s="6" t="str">
        <f>PROPER(TRIM(SUBSTITUTE(Y556,"  "," ")))</f>
        <v>Chairs</v>
      </c>
      <c r="AA556" s="3" t="s">
        <v>1814</v>
      </c>
      <c r="AB556" s="3" t="s">
        <v>33</v>
      </c>
      <c r="AC556" s="6" t="str">
        <f>PROPER(TRIM(SUBSTITUTE(AB556,"  "," ")))</f>
        <v>Second Class</v>
      </c>
      <c r="AD556" s="3">
        <v>9</v>
      </c>
      <c r="AE556" s="3">
        <v>4165.58</v>
      </c>
      <c r="AF556" s="3">
        <v>0.05</v>
      </c>
      <c r="AG556" s="17">
        <v>0.05</v>
      </c>
      <c r="AH556" s="6" t="str">
        <f t="shared" si="67"/>
        <v>Valid</v>
      </c>
      <c r="AI556" s="3">
        <v>35615.71</v>
      </c>
      <c r="AJ556" s="3">
        <v>20389.71</v>
      </c>
      <c r="AK556" s="3">
        <v>15226</v>
      </c>
      <c r="AL556" s="3" t="s">
        <v>137</v>
      </c>
      <c r="AM556" s="6" t="str">
        <f>PROPER(TRIM(SUBSTITUTE(AL556,".","")))</f>
        <v>Pending</v>
      </c>
      <c r="AN556" s="3" t="s">
        <v>125</v>
      </c>
      <c r="AO556" s="8" t="str">
        <f>PROPER(TRIM(SUBSTITUTE(AN556,".","")))</f>
        <v>Returned</v>
      </c>
      <c r="AP556" t="str">
        <f>IF(COUNTIF($A$2:$A$933, A556) &gt; 1, "Duplicate ID", "Unique")</f>
        <v>Unique</v>
      </c>
      <c r="AR556">
        <f t="shared" si="68"/>
        <v>35615.709000000003</v>
      </c>
      <c r="AS556">
        <f t="shared" si="69"/>
        <v>15225.999000000003</v>
      </c>
      <c r="AT556" s="15">
        <f t="shared" si="70"/>
        <v>0.42750795723314122</v>
      </c>
      <c r="AU556" t="str">
        <f t="shared" si="71"/>
        <v>Clean</v>
      </c>
      <c r="AV556" s="8" t="str">
        <f t="shared" si="72"/>
        <v>Active</v>
      </c>
    </row>
    <row r="557" spans="1:48">
      <c r="A557" s="3" t="s">
        <v>3555</v>
      </c>
      <c r="B557" s="3" t="s">
        <v>1812</v>
      </c>
      <c r="C557" s="9">
        <f>IFERROR(DATEVALUE(TEXT(B557,"DD/MM/YYYY")), IF(ISNUMBER(B557), B557, ""))</f>
        <v>45749</v>
      </c>
      <c r="D557" s="9" t="str">
        <f>IF(B557="","Missing", IF(AND(ISNUMBER(B557)=FALSE, C557=""),"Invalid - Could Not Parse", IF(AND(ISNUMBER(B557)=FALSE, C557&lt;&gt;""),"Text - Converted to Date", IF(ISNUMBER(B557),"Valid","Check"))))</f>
        <v>Text - Converted to Date</v>
      </c>
      <c r="E557" s="5">
        <f t="shared" si="65"/>
        <v>4</v>
      </c>
      <c r="F557" s="5">
        <f t="shared" si="66"/>
        <v>2025</v>
      </c>
      <c r="G557" s="3" t="s">
        <v>3556</v>
      </c>
      <c r="H557" s="9">
        <f>IFERROR(DATEVALUE(TEXT(G557,"DD/MM/YYYY")), IF(ISNUMBER(G557), G557, ""))</f>
        <v>45751</v>
      </c>
      <c r="I557" s="9" t="str">
        <f>IF(G557="","Missing", IF(AND(ISNUMBER(G557)=FALSE, H557=""),"Invalid - Could Not Parse", IF(AND(ISNUMBER(G557)=FALSE, H557&lt;&gt;""),"Text - Converted to Date", IF(ISNUMBER(G557),"Valid","Check"))))</f>
        <v>Text - Converted to Date</v>
      </c>
      <c r="J557" s="9" t="str">
        <f>IF(OR(C557="", H557=""), "Cannot Check - Date Missing", IF(H557&lt;C557, "Invalid - Ship Before Order", "Valid"))</f>
        <v>Valid</v>
      </c>
      <c r="K557" s="5">
        <f>IF(OR(C557="", H557=""), "", IF(H557&lt;C557, "", H557-C557))</f>
        <v>2</v>
      </c>
      <c r="L557" s="3" t="s">
        <v>3557</v>
      </c>
      <c r="M557" s="3" t="s">
        <v>168</v>
      </c>
      <c r="N557" s="4" t="str">
        <f>TRIM(SUBSTITUTE(M557,"_"," "))</f>
        <v>Sneha Kapoor</v>
      </c>
      <c r="O557" s="3" t="s">
        <v>115</v>
      </c>
      <c r="P557" s="6" t="str">
        <f>PROPER(TRIM(SUBSTITUTE(O557,".","")))</f>
        <v>Home Office</v>
      </c>
      <c r="Q557" s="3" t="s">
        <v>42</v>
      </c>
      <c r="R557" s="7" t="str">
        <f>PROPER(TRIM(SUBSTITUTE(Q557,"  "," ")))</f>
        <v>East</v>
      </c>
      <c r="S557" s="3" t="s">
        <v>311</v>
      </c>
      <c r="T557" s="6" t="str">
        <f>PROPER(TRIM(SUBSTITUTE(S557,"  "," ")))</f>
        <v>Jharkhand</v>
      </c>
      <c r="U557" s="3" t="s">
        <v>312</v>
      </c>
      <c r="V557" s="6" t="str">
        <f>PROPER(TRIM(SUBSTITUTE(U557,"  "," ")))</f>
        <v>Ranchi</v>
      </c>
      <c r="W557" s="3" t="s">
        <v>30</v>
      </c>
      <c r="X557" s="6" t="str">
        <f>PROPER(TRIM(SUBSTITUTE(W557,"  "," ")))</f>
        <v>Office Supplies</v>
      </c>
      <c r="Y557" s="3" t="s">
        <v>31</v>
      </c>
      <c r="Z557" s="6" t="str">
        <f>PROPER(TRIM(SUBSTITUTE(Y557,"  "," ")))</f>
        <v>Paper</v>
      </c>
      <c r="AA557" s="3" t="s">
        <v>3558</v>
      </c>
      <c r="AB557" s="3" t="s">
        <v>48</v>
      </c>
      <c r="AC557" s="6" t="str">
        <f>PROPER(TRIM(SUBSTITUTE(AB557,"  "," ")))</f>
        <v>Same Day</v>
      </c>
      <c r="AD557" s="3">
        <v>5</v>
      </c>
      <c r="AE557" s="3">
        <v>3234.24</v>
      </c>
      <c r="AF557" s="3">
        <v>0.1</v>
      </c>
      <c r="AG557" s="17">
        <v>0.1</v>
      </c>
      <c r="AH557" s="6" t="str">
        <f t="shared" si="67"/>
        <v>Valid</v>
      </c>
      <c r="AI557" s="3">
        <v>14554.08</v>
      </c>
      <c r="AJ557" s="3">
        <v>11166.84</v>
      </c>
      <c r="AK557" s="3">
        <v>3387.24</v>
      </c>
      <c r="AL557" s="3" t="s">
        <v>34</v>
      </c>
      <c r="AM557" s="6" t="str">
        <f>PROPER(TRIM(SUBSTITUTE(AL557,".","")))</f>
        <v>Paid</v>
      </c>
      <c r="AN557" s="3" t="s">
        <v>35</v>
      </c>
      <c r="AO557" s="8" t="str">
        <f>PROPER(TRIM(SUBSTITUTE(AN557,".","")))</f>
        <v>Completed</v>
      </c>
      <c r="AP557" t="str">
        <f>IF(COUNTIF($A$2:$A$933, A557) &gt; 1, "Duplicate ID", "Unique")</f>
        <v>Unique</v>
      </c>
      <c r="AR557">
        <f t="shared" si="68"/>
        <v>14554.08</v>
      </c>
      <c r="AS557">
        <f t="shared" si="69"/>
        <v>3387.24</v>
      </c>
      <c r="AT557" s="15">
        <f t="shared" si="70"/>
        <v>0.23273473830018798</v>
      </c>
      <c r="AU557" t="str">
        <f t="shared" si="71"/>
        <v>Clean</v>
      </c>
      <c r="AV557" s="8" t="str">
        <f t="shared" si="72"/>
        <v>Active</v>
      </c>
    </row>
    <row r="558" spans="1:48">
      <c r="A558" s="3" t="s">
        <v>3254</v>
      </c>
      <c r="B558" s="3" t="s">
        <v>3255</v>
      </c>
      <c r="C558" s="9">
        <f>IFERROR(DATEVALUE(TEXT(B558,"DD/MM/YYYY")), IF(ISNUMBER(B558), B558, ""))</f>
        <v>45750</v>
      </c>
      <c r="D558" s="9" t="str">
        <f>IF(B558="","Missing", IF(AND(ISNUMBER(B558)=FALSE, C558=""),"Invalid - Could Not Parse", IF(AND(ISNUMBER(B558)=FALSE, C558&lt;&gt;""),"Text - Converted to Date", IF(ISNUMBER(B558),"Valid","Check"))))</f>
        <v>Text - Converted to Date</v>
      </c>
      <c r="E558" s="5">
        <f t="shared" si="65"/>
        <v>4</v>
      </c>
      <c r="F558" s="5">
        <f t="shared" si="66"/>
        <v>2025</v>
      </c>
      <c r="G558" s="3" t="s">
        <v>2498</v>
      </c>
      <c r="H558" s="9">
        <f>IFERROR(DATEVALUE(TEXT(G558,"DD/MM/YYYY")), IF(ISNUMBER(G558), G558, ""))</f>
        <v>45758</v>
      </c>
      <c r="I558" s="9" t="str">
        <f>IF(G558="","Missing", IF(AND(ISNUMBER(G558)=FALSE, H558=""),"Invalid - Could Not Parse", IF(AND(ISNUMBER(G558)=FALSE, H558&lt;&gt;""),"Text - Converted to Date", IF(ISNUMBER(G558),"Valid","Check"))))</f>
        <v>Text - Converted to Date</v>
      </c>
      <c r="J558" s="9" t="str">
        <f>IF(OR(C558="", H558=""), "Cannot Check - Date Missing", IF(H558&lt;C558, "Invalid - Ship Before Order", "Valid"))</f>
        <v>Valid</v>
      </c>
      <c r="K558" s="5">
        <f>IF(OR(C558="", H558=""), "", IF(H558&lt;C558, "", H558-C558))</f>
        <v>8</v>
      </c>
      <c r="L558" s="3" t="s">
        <v>3256</v>
      </c>
      <c r="M558" s="3" t="s">
        <v>61</v>
      </c>
      <c r="N558" s="4" t="str">
        <f>TRIM(SUBSTITUTE(M558,"_"," "))</f>
        <v>Arjun Bose</v>
      </c>
      <c r="O558" s="3" t="s">
        <v>26</v>
      </c>
      <c r="P558" s="6" t="str">
        <f>PROPER(TRIM(SUBSTITUTE(O558,".","")))</f>
        <v>Consumer</v>
      </c>
      <c r="Q558" s="3" t="s">
        <v>62</v>
      </c>
      <c r="R558" s="7" t="str">
        <f>PROPER(TRIM(SUBSTITUTE(Q558,"  "," ")))</f>
        <v>South</v>
      </c>
      <c r="S558" s="3" t="s">
        <v>339</v>
      </c>
      <c r="T558" s="6" t="str">
        <f>PROPER(TRIM(SUBSTITUTE(S558,"  "," ")))</f>
        <v>Tamil Nadu</v>
      </c>
      <c r="U558" s="3" t="s">
        <v>340</v>
      </c>
      <c r="V558" s="6" t="str">
        <f>PROPER(TRIM(SUBSTITUTE(U558,"  "," ")))</f>
        <v>Chennai</v>
      </c>
      <c r="W558" s="3" t="s">
        <v>45</v>
      </c>
      <c r="X558" s="6" t="str">
        <f>PROPER(TRIM(SUBSTITUTE(W558,"  "," ")))</f>
        <v>Furniture</v>
      </c>
      <c r="Y558" s="3" t="s">
        <v>204</v>
      </c>
      <c r="Z558" s="6" t="str">
        <f>PROPER(TRIM(SUBSTITUTE(Y558,"  "," ")))</f>
        <v>Bookcases</v>
      </c>
      <c r="AA558" s="3" t="s">
        <v>3257</v>
      </c>
      <c r="AB558" s="3" t="s">
        <v>33</v>
      </c>
      <c r="AC558" s="6" t="str">
        <f>PROPER(TRIM(SUBSTITUTE(AB558,"  "," ")))</f>
        <v>Second Class</v>
      </c>
      <c r="AD558" s="3">
        <v>3</v>
      </c>
      <c r="AE558" s="3">
        <v>4149.7700000000004</v>
      </c>
      <c r="AF558" s="3">
        <v>0.05</v>
      </c>
      <c r="AG558" s="17">
        <v>0.05</v>
      </c>
      <c r="AH558" s="6" t="str">
        <f t="shared" si="67"/>
        <v>Valid</v>
      </c>
      <c r="AI558" s="3">
        <v>11826.84</v>
      </c>
      <c r="AJ558" s="3">
        <v>8035.96</v>
      </c>
      <c r="AK558" s="3">
        <v>3790.88</v>
      </c>
      <c r="AL558" s="3" t="s">
        <v>34</v>
      </c>
      <c r="AM558" s="6" t="str">
        <f>PROPER(TRIM(SUBSTITUTE(AL558,".","")))</f>
        <v>Paid</v>
      </c>
      <c r="AN558" s="3" t="s">
        <v>35</v>
      </c>
      <c r="AO558" s="8" t="str">
        <f>PROPER(TRIM(SUBSTITUTE(AN558,".","")))</f>
        <v>Completed</v>
      </c>
      <c r="AP558" t="str">
        <f>IF(COUNTIF($A$2:$A$933, A558) &gt; 1, "Duplicate ID", "Unique")</f>
        <v>Unique</v>
      </c>
      <c r="AR558">
        <f t="shared" si="68"/>
        <v>11826.844500000001</v>
      </c>
      <c r="AS558">
        <f t="shared" si="69"/>
        <v>3790.884500000001</v>
      </c>
      <c r="AT558" s="15">
        <f t="shared" si="70"/>
        <v>0.32053220112938835</v>
      </c>
      <c r="AU558" t="str">
        <f t="shared" si="71"/>
        <v>Clean</v>
      </c>
      <c r="AV558" s="8" t="str">
        <f t="shared" si="72"/>
        <v>Active</v>
      </c>
    </row>
    <row r="559" spans="1:48">
      <c r="A559" s="3" t="s">
        <v>3086</v>
      </c>
      <c r="B559" s="3" t="s">
        <v>3087</v>
      </c>
      <c r="C559" s="9">
        <f>IFERROR(DATEVALUE(TEXT(B559,"DD/MM/YYYY")), IF(ISNUMBER(B559), B559, ""))</f>
        <v>45751</v>
      </c>
      <c r="D559" s="9" t="str">
        <f>IF(B559="","Missing", IF(AND(ISNUMBER(B559)=FALSE, C559=""),"Invalid - Could Not Parse", IF(AND(ISNUMBER(B559)=FALSE, C559&lt;&gt;""),"Text - Converted to Date", IF(ISNUMBER(B559),"Valid","Check"))))</f>
        <v>Text - Converted to Date</v>
      </c>
      <c r="E559" s="5">
        <f t="shared" si="65"/>
        <v>4</v>
      </c>
      <c r="F559" s="5">
        <f t="shared" si="66"/>
        <v>2025</v>
      </c>
      <c r="G559" s="3" t="s">
        <v>3088</v>
      </c>
      <c r="H559" s="9">
        <f>IFERROR(DATEVALUE(TEXT(G559,"DD/MM/YYYY")), IF(ISNUMBER(G559), G559, ""))</f>
        <v>45842</v>
      </c>
      <c r="I559" s="9" t="str">
        <f>IF(G559="","Missing", IF(AND(ISNUMBER(G559)=FALSE, H559=""),"Invalid - Could Not Parse", IF(AND(ISNUMBER(G559)=FALSE, H559&lt;&gt;""),"Text - Converted to Date", IF(ISNUMBER(G559),"Valid","Check"))))</f>
        <v>Text - Converted to Date</v>
      </c>
      <c r="J559" s="9" t="str">
        <f>IF(OR(C559="", H559=""), "Cannot Check - Date Missing", IF(H559&lt;C559, "Invalid - Ship Before Order", "Valid"))</f>
        <v>Valid</v>
      </c>
      <c r="K559" s="5">
        <f>IF(OR(C559="", H559=""), "", IF(H559&lt;C559, "", H559-C559))</f>
        <v>91</v>
      </c>
      <c r="L559" s="3" t="s">
        <v>3089</v>
      </c>
      <c r="M559" s="3" t="s">
        <v>142</v>
      </c>
      <c r="N559" s="4" t="str">
        <f>TRIM(SUBSTITUTE(M559,"_"," "))</f>
        <v>Priya Menon</v>
      </c>
      <c r="O559" s="3" t="s">
        <v>41</v>
      </c>
      <c r="P559" s="6" t="str">
        <f>PROPER(TRIM(SUBSTITUTE(O559,".","")))</f>
        <v>Small Business</v>
      </c>
      <c r="Q559" s="3" t="s">
        <v>62</v>
      </c>
      <c r="R559" s="7" t="str">
        <f>PROPER(TRIM(SUBSTITUTE(Q559,"  "," ")))</f>
        <v>South</v>
      </c>
      <c r="S559" s="3" t="s">
        <v>339</v>
      </c>
      <c r="T559" s="6" t="str">
        <f>PROPER(TRIM(SUBSTITUTE(S559,"  "," ")))</f>
        <v>Tamil Nadu</v>
      </c>
      <c r="U559" s="3" t="s">
        <v>340</v>
      </c>
      <c r="V559" s="6" t="str">
        <f>PROPER(TRIM(SUBSTITUTE(U559,"  "," ")))</f>
        <v>Chennai</v>
      </c>
      <c r="W559" s="3" t="s">
        <v>86</v>
      </c>
      <c r="X559" s="6" t="str">
        <f>PROPER(TRIM(SUBSTITUTE(W559,"  "," ")))</f>
        <v>Technology</v>
      </c>
      <c r="Y559" s="3" t="s">
        <v>94</v>
      </c>
      <c r="Z559" s="6" t="str">
        <f>PROPER(TRIM(SUBSTITUTE(Y559,"  "," ")))</f>
        <v>Copiers</v>
      </c>
      <c r="AA559" s="3" t="s">
        <v>3090</v>
      </c>
      <c r="AB559" s="3" t="s">
        <v>33</v>
      </c>
      <c r="AC559" s="6" t="str">
        <f>PROPER(TRIM(SUBSTITUTE(AB559,"  "," ")))</f>
        <v>Second Class</v>
      </c>
      <c r="AD559" s="3">
        <v>7</v>
      </c>
      <c r="AE559" s="3">
        <v>4457.93</v>
      </c>
      <c r="AF559" s="3">
        <v>0.15</v>
      </c>
      <c r="AG559" s="17">
        <v>0.15</v>
      </c>
      <c r="AH559" s="6" t="str">
        <f t="shared" si="67"/>
        <v>Valid</v>
      </c>
      <c r="AI559" s="3">
        <v>26524.68</v>
      </c>
      <c r="AJ559" s="3">
        <v>20574.3</v>
      </c>
      <c r="AK559" s="3">
        <v>5950.38</v>
      </c>
      <c r="AL559" s="3" t="s">
        <v>34</v>
      </c>
      <c r="AM559" s="6" t="str">
        <f>PROPER(TRIM(SUBSTITUTE(AL559,".","")))</f>
        <v>Paid</v>
      </c>
      <c r="AN559" s="3" t="s">
        <v>35</v>
      </c>
      <c r="AO559" s="8" t="str">
        <f>PROPER(TRIM(SUBSTITUTE(AN559,".","")))</f>
        <v>Completed</v>
      </c>
      <c r="AP559" t="str">
        <f>IF(COUNTIF($A$2:$A$933, A559) &gt; 1, "Duplicate ID", "Unique")</f>
        <v>Unique</v>
      </c>
      <c r="AR559">
        <f t="shared" si="68"/>
        <v>26524.683500000003</v>
      </c>
      <c r="AS559">
        <f t="shared" si="69"/>
        <v>5950.3835000000036</v>
      </c>
      <c r="AT559" s="15">
        <f t="shared" si="70"/>
        <v>0.22433381721595294</v>
      </c>
      <c r="AU559" t="str">
        <f t="shared" si="71"/>
        <v>Clean</v>
      </c>
      <c r="AV559" s="8" t="str">
        <f t="shared" si="72"/>
        <v>Active</v>
      </c>
    </row>
    <row r="560" spans="1:48">
      <c r="A560" s="3" t="s">
        <v>3751</v>
      </c>
      <c r="B560" s="3" t="s">
        <v>3752</v>
      </c>
      <c r="C560" s="9">
        <f>IFERROR(DATEVALUE(TEXT(B560,"DD/MM/YYYY")), IF(ISNUMBER(B560), B560, ""))</f>
        <v>45752</v>
      </c>
      <c r="D560" s="9" t="str">
        <f>IF(B560="","Missing", IF(AND(ISNUMBER(B560)=FALSE, C560=""),"Invalid - Could Not Parse", IF(AND(ISNUMBER(B560)=FALSE, C560&lt;&gt;""),"Text - Converted to Date", IF(ISNUMBER(B560),"Valid","Check"))))</f>
        <v>Text - Converted to Date</v>
      </c>
      <c r="E560" s="5">
        <f t="shared" si="65"/>
        <v>4</v>
      </c>
      <c r="F560" s="5">
        <f t="shared" si="66"/>
        <v>2025</v>
      </c>
      <c r="G560" s="3" t="s">
        <v>3753</v>
      </c>
      <c r="H560" s="9">
        <f>IFERROR(DATEVALUE(TEXT(G560,"DD/MM/YYYY")), IF(ISNUMBER(G560), G560, ""))</f>
        <v>45781</v>
      </c>
      <c r="I560" s="9" t="str">
        <f>IF(G560="","Missing", IF(AND(ISNUMBER(G560)=FALSE, H560=""),"Invalid - Could Not Parse", IF(AND(ISNUMBER(G560)=FALSE, H560&lt;&gt;""),"Text - Converted to Date", IF(ISNUMBER(G560),"Valid","Check"))))</f>
        <v>Text - Converted to Date</v>
      </c>
      <c r="J560" s="9" t="str">
        <f>IF(OR(C560="", H560=""), "Cannot Check - Date Missing", IF(H560&lt;C560, "Invalid - Ship Before Order", "Valid"))</f>
        <v>Valid</v>
      </c>
      <c r="K560" s="5">
        <f>IF(OR(C560="", H560=""), "", IF(H560&lt;C560, "", H560-C560))</f>
        <v>29</v>
      </c>
      <c r="L560" s="3" t="s">
        <v>3754</v>
      </c>
      <c r="M560" s="3" t="s">
        <v>168</v>
      </c>
      <c r="N560" s="4" t="str">
        <f>TRIM(SUBSTITUTE(M560,"_"," "))</f>
        <v>Sneha Kapoor</v>
      </c>
      <c r="O560" s="3" t="s">
        <v>26</v>
      </c>
      <c r="P560" s="6" t="str">
        <f>PROPER(TRIM(SUBSTITUTE(O560,".","")))</f>
        <v>Consumer</v>
      </c>
      <c r="Q560" s="3" t="s">
        <v>42</v>
      </c>
      <c r="R560" s="7" t="str">
        <f>PROPER(TRIM(SUBSTITUTE(Q560,"  "," ")))</f>
        <v>East</v>
      </c>
      <c r="S560" s="3" t="s">
        <v>186</v>
      </c>
      <c r="T560" s="6" t="str">
        <f>PROPER(TRIM(SUBSTITUTE(S560,"  "," ")))</f>
        <v>Bihar</v>
      </c>
      <c r="U560" s="3" t="s">
        <v>187</v>
      </c>
      <c r="V560" s="6" t="str">
        <f>PROPER(TRIM(SUBSTITUTE(U560,"  "," ")))</f>
        <v>Patna</v>
      </c>
      <c r="W560" s="3" t="s">
        <v>30</v>
      </c>
      <c r="X560" s="6" t="str">
        <f>PROPER(TRIM(SUBSTITUTE(W560,"  "," ")))</f>
        <v>Office Supplies</v>
      </c>
      <c r="Y560" s="3" t="s">
        <v>198</v>
      </c>
      <c r="Z560" s="6" t="str">
        <f>PROPER(TRIM(SUBSTITUTE(Y560,"  "," ")))</f>
        <v>Binders</v>
      </c>
      <c r="AA560" s="3" t="s">
        <v>3755</v>
      </c>
      <c r="AB560" s="3" t="s">
        <v>67</v>
      </c>
      <c r="AC560" s="6" t="str">
        <f>PROPER(TRIM(SUBSTITUTE(AB560,"  "," ")))</f>
        <v>Standard Class</v>
      </c>
      <c r="AD560" s="3">
        <v>6</v>
      </c>
      <c r="AE560" s="3">
        <v>1829.69</v>
      </c>
      <c r="AF560" s="3">
        <v>0.25</v>
      </c>
      <c r="AG560" s="17">
        <v>0.25</v>
      </c>
      <c r="AH560" s="6" t="str">
        <f t="shared" si="67"/>
        <v>Valid</v>
      </c>
      <c r="AI560" s="3">
        <v>8233.6</v>
      </c>
      <c r="AJ560" s="3">
        <v>4713.79</v>
      </c>
      <c r="AK560" s="3">
        <v>3519.81</v>
      </c>
      <c r="AL560" s="3" t="s">
        <v>34</v>
      </c>
      <c r="AM560" s="6" t="str">
        <f>PROPER(TRIM(SUBSTITUTE(AL560,".","")))</f>
        <v>Paid</v>
      </c>
      <c r="AN560" s="3" t="s">
        <v>35</v>
      </c>
      <c r="AO560" s="8" t="str">
        <f>PROPER(TRIM(SUBSTITUTE(AN560,".","")))</f>
        <v>Completed</v>
      </c>
      <c r="AP560" t="str">
        <f>IF(COUNTIF($A$2:$A$933, A560) &gt; 1, "Duplicate ID", "Unique")</f>
        <v>Unique</v>
      </c>
      <c r="AR560">
        <f t="shared" si="68"/>
        <v>8233.6049999999996</v>
      </c>
      <c r="AS560">
        <f t="shared" si="69"/>
        <v>3519.8149999999996</v>
      </c>
      <c r="AT560" s="15">
        <f t="shared" si="70"/>
        <v>0.42749378917254349</v>
      </c>
      <c r="AU560" t="str">
        <f t="shared" si="71"/>
        <v>Clean</v>
      </c>
      <c r="AV560" s="8" t="str">
        <f t="shared" si="72"/>
        <v>Active</v>
      </c>
    </row>
    <row r="561" spans="1:48">
      <c r="A561" s="3" t="s">
        <v>1315</v>
      </c>
      <c r="B561" s="3" t="s">
        <v>1316</v>
      </c>
      <c r="C561" s="9">
        <f>IFERROR(DATEVALUE(TEXT(B561,"DD/MM/YYYY")), IF(ISNUMBER(B561), B561, ""))</f>
        <v>45753</v>
      </c>
      <c r="D561" s="9" t="str">
        <f>IF(B561="","Missing", IF(AND(ISNUMBER(B561)=FALSE, C561=""),"Invalid - Could Not Parse", IF(AND(ISNUMBER(B561)=FALSE, C561&lt;&gt;""),"Text - Converted to Date", IF(ISNUMBER(B561),"Valid","Check"))))</f>
        <v>Text - Converted to Date</v>
      </c>
      <c r="E561" s="5">
        <f t="shared" si="65"/>
        <v>4</v>
      </c>
      <c r="F561" s="5">
        <f t="shared" si="66"/>
        <v>2025</v>
      </c>
      <c r="G561" s="3" t="s">
        <v>90</v>
      </c>
      <c r="H561" s="9">
        <f>IFERROR(DATEVALUE(TEXT(G561,"DD/MM/YYYY")), IF(ISNUMBER(G561), G561, ""))</f>
        <v>45934</v>
      </c>
      <c r="I561" s="9" t="str">
        <f>IF(G561="","Missing", IF(AND(ISNUMBER(G561)=FALSE, H561=""),"Invalid - Could Not Parse", IF(AND(ISNUMBER(G561)=FALSE, H561&lt;&gt;""),"Text - Converted to Date", IF(ISNUMBER(G561),"Valid","Check"))))</f>
        <v>Text - Converted to Date</v>
      </c>
      <c r="J561" s="9" t="str">
        <f>IF(OR(C561="", H561=""), "Cannot Check - Date Missing", IF(H561&lt;C561, "Invalid - Ship Before Order", "Valid"))</f>
        <v>Valid</v>
      </c>
      <c r="K561" s="5">
        <f>IF(OR(C561="", H561=""), "", IF(H561&lt;C561, "", H561-C561))</f>
        <v>181</v>
      </c>
      <c r="L561" s="3" t="s">
        <v>1317</v>
      </c>
      <c r="M561" s="3" t="s">
        <v>72</v>
      </c>
      <c r="N561" s="4" t="str">
        <f>TRIM(SUBSTITUTE(M561,"_"," "))</f>
        <v>Ananya Rao</v>
      </c>
      <c r="O561" s="3" t="s">
        <v>108</v>
      </c>
      <c r="P561" s="6" t="str">
        <f>PROPER(TRIM(SUBSTITUTE(O561,".","")))</f>
        <v>Corporate</v>
      </c>
      <c r="Q561" s="3" t="s">
        <v>73</v>
      </c>
      <c r="R561" s="7" t="str">
        <f>PROPER(TRIM(SUBSTITUTE(Q561,"  "," ")))</f>
        <v>West</v>
      </c>
      <c r="S561" s="3" t="s">
        <v>235</v>
      </c>
      <c r="T561" s="6" t="str">
        <f>PROPER(TRIM(SUBSTITUTE(S561,"  "," ")))</f>
        <v>Gujarat</v>
      </c>
      <c r="U561" s="3" t="s">
        <v>236</v>
      </c>
      <c r="V561" s="6" t="str">
        <f>PROPER(TRIM(SUBSTITUTE(U561,"  "," ")))</f>
        <v>Ahmedabad</v>
      </c>
      <c r="W561" s="3" t="s">
        <v>45</v>
      </c>
      <c r="X561" s="6" t="str">
        <f>PROPER(TRIM(SUBSTITUTE(W561,"  "," ")))</f>
        <v>Furniture</v>
      </c>
      <c r="Y561" s="3" t="s">
        <v>46</v>
      </c>
      <c r="Z561" s="6" t="str">
        <f>PROPER(TRIM(SUBSTITUTE(Y561,"  "," ")))</f>
        <v>Tables</v>
      </c>
      <c r="AA561" s="3" t="s">
        <v>1318</v>
      </c>
      <c r="AB561" s="3" t="s">
        <v>33</v>
      </c>
      <c r="AC561" s="6" t="str">
        <f>PROPER(TRIM(SUBSTITUTE(AB561,"  "," ")))</f>
        <v>Second Class</v>
      </c>
      <c r="AD561" s="3">
        <v>6</v>
      </c>
      <c r="AE561" s="3">
        <v>1022.16</v>
      </c>
      <c r="AF561" s="3">
        <v>0</v>
      </c>
      <c r="AG561" s="17">
        <v>0</v>
      </c>
      <c r="AH561" s="6" t="str">
        <f t="shared" si="67"/>
        <v>Valid</v>
      </c>
      <c r="AI561" s="3">
        <v>6132.96</v>
      </c>
      <c r="AJ561" s="3">
        <v>4881.1000000000004</v>
      </c>
      <c r="AK561" s="3">
        <v>1251.8599999999999</v>
      </c>
      <c r="AL561" s="3" t="s">
        <v>34</v>
      </c>
      <c r="AM561" s="6" t="str">
        <f>PROPER(TRIM(SUBSTITUTE(AL561,".","")))</f>
        <v>Paid</v>
      </c>
      <c r="AN561" s="3" t="s">
        <v>35</v>
      </c>
      <c r="AO561" s="8" t="str">
        <f>PROPER(TRIM(SUBSTITUTE(AN561,".","")))</f>
        <v>Completed</v>
      </c>
      <c r="AP561" t="str">
        <f>IF(COUNTIF($A$2:$A$933, A561) &gt; 1, "Duplicate ID", "Unique")</f>
        <v>Unique</v>
      </c>
      <c r="AR561">
        <f t="shared" si="68"/>
        <v>6132.96</v>
      </c>
      <c r="AS561">
        <f t="shared" si="69"/>
        <v>1251.8599999999997</v>
      </c>
      <c r="AT561" s="15">
        <f t="shared" si="70"/>
        <v>0.20412003339333692</v>
      </c>
      <c r="AU561" t="str">
        <f t="shared" si="71"/>
        <v>Clean</v>
      </c>
      <c r="AV561" s="8" t="str">
        <f t="shared" si="72"/>
        <v>Active</v>
      </c>
    </row>
    <row r="562" spans="1:48">
      <c r="A562" s="3" t="s">
        <v>2911</v>
      </c>
      <c r="B562" s="3" t="s">
        <v>2912</v>
      </c>
      <c r="C562" s="9">
        <f>IFERROR(DATEVALUE(TEXT(B562,"DD/MM/YYYY")), IF(ISNUMBER(B562), B562, ""))</f>
        <v>45753</v>
      </c>
      <c r="D562" s="9" t="str">
        <f>IF(B562="","Missing", IF(AND(ISNUMBER(B562)=FALSE, C562=""),"Invalid - Could Not Parse", IF(AND(ISNUMBER(B562)=FALSE, C562&lt;&gt;""),"Text - Converted to Date", IF(ISNUMBER(B562),"Valid","Check"))))</f>
        <v>Text - Converted to Date</v>
      </c>
      <c r="E562" s="5">
        <f t="shared" si="65"/>
        <v>4</v>
      </c>
      <c r="F562" s="5">
        <f t="shared" si="66"/>
        <v>2025</v>
      </c>
      <c r="G562" s="3" t="s">
        <v>2913</v>
      </c>
      <c r="H562" s="9">
        <f>IFERROR(DATEVALUE(TEXT(G562,"DD/MM/YYYY")), IF(ISNUMBER(G562), G562, ""))</f>
        <v>45760</v>
      </c>
      <c r="I562" s="9" t="str">
        <f>IF(G562="","Missing", IF(AND(ISNUMBER(G562)=FALSE, H562=""),"Invalid - Could Not Parse", IF(AND(ISNUMBER(G562)=FALSE, H562&lt;&gt;""),"Text - Converted to Date", IF(ISNUMBER(G562),"Valid","Check"))))</f>
        <v>Text - Converted to Date</v>
      </c>
      <c r="J562" s="9" t="str">
        <f>IF(OR(C562="", H562=""), "Cannot Check - Date Missing", IF(H562&lt;C562, "Invalid - Ship Before Order", "Valid"))</f>
        <v>Valid</v>
      </c>
      <c r="K562" s="5">
        <f>IF(OR(C562="", H562=""), "", IF(H562&lt;C562, "", H562-C562))</f>
        <v>7</v>
      </c>
      <c r="L562" s="3" t="s">
        <v>2914</v>
      </c>
      <c r="M562" s="3" t="s">
        <v>107</v>
      </c>
      <c r="N562" s="4" t="str">
        <f>TRIM(SUBSTITUTE(M562,"_"," "))</f>
        <v>Aditi Sen</v>
      </c>
      <c r="O562" s="3" t="s">
        <v>26</v>
      </c>
      <c r="P562" s="6" t="str">
        <f>PROPER(TRIM(SUBSTITUTE(O562,".","")))</f>
        <v>Consumer</v>
      </c>
      <c r="Q562" s="3"/>
      <c r="R562" s="6" t="str">
        <f>IF(ISBLANK(Q562), "Unknown", Q562)</f>
        <v>Unknown</v>
      </c>
      <c r="S562" s="3" t="s">
        <v>43</v>
      </c>
      <c r="T562" s="6" t="str">
        <f>PROPER(TRIM(SUBSTITUTE(S562,"  "," ")))</f>
        <v>Odisha</v>
      </c>
      <c r="U562" s="3" t="s">
        <v>44</v>
      </c>
      <c r="V562" s="6" t="str">
        <f>PROPER(TRIM(SUBSTITUTE(U562,"  "," ")))</f>
        <v>Bhubaneswar</v>
      </c>
      <c r="W562" s="3" t="s">
        <v>86</v>
      </c>
      <c r="X562" s="6" t="str">
        <f>PROPER(TRIM(SUBSTITUTE(W562,"  "," ")))</f>
        <v>Technology</v>
      </c>
      <c r="Y562" s="3" t="s">
        <v>223</v>
      </c>
      <c r="Z562" s="6" t="str">
        <f>PROPER(TRIM(SUBSTITUTE(Y562,"  "," ")))</f>
        <v>Phones</v>
      </c>
      <c r="AA562" s="3" t="s">
        <v>2915</v>
      </c>
      <c r="AB562" s="3" t="s">
        <v>67</v>
      </c>
      <c r="AC562" s="6" t="str">
        <f>PROPER(TRIM(SUBSTITUTE(AB562,"  "," ")))</f>
        <v>Standard Class</v>
      </c>
      <c r="AD562" s="3">
        <v>1</v>
      </c>
      <c r="AE562" s="3">
        <v>3844.01</v>
      </c>
      <c r="AF562" s="3">
        <v>0</v>
      </c>
      <c r="AG562" s="17">
        <v>0</v>
      </c>
      <c r="AH562" s="6" t="str">
        <f t="shared" si="67"/>
        <v>Valid</v>
      </c>
      <c r="AI562" s="3">
        <v>3844.01</v>
      </c>
      <c r="AJ562" s="3">
        <v>2195.79</v>
      </c>
      <c r="AK562" s="3">
        <v>1648.22</v>
      </c>
      <c r="AL562" s="3" t="s">
        <v>34</v>
      </c>
      <c r="AM562" s="6" t="str">
        <f>PROPER(TRIM(SUBSTITUTE(AL562,".","")))</f>
        <v>Paid</v>
      </c>
      <c r="AN562" s="3" t="s">
        <v>35</v>
      </c>
      <c r="AO562" s="8" t="str">
        <f>PROPER(TRIM(SUBSTITUTE(AN562,".","")))</f>
        <v>Completed</v>
      </c>
      <c r="AP562" t="str">
        <f>IF(COUNTIF($A$2:$A$933, A562) &gt; 1, "Duplicate ID", "Unique")</f>
        <v>Unique</v>
      </c>
      <c r="AR562">
        <f t="shared" si="68"/>
        <v>3844.01</v>
      </c>
      <c r="AS562">
        <f t="shared" si="69"/>
        <v>1648.2200000000003</v>
      </c>
      <c r="AT562" s="15">
        <f t="shared" si="70"/>
        <v>0.42877619985379856</v>
      </c>
      <c r="AU562" t="str">
        <f t="shared" si="71"/>
        <v>Clean</v>
      </c>
      <c r="AV562" s="8" t="str">
        <f t="shared" si="72"/>
        <v>Active</v>
      </c>
    </row>
    <row r="563" spans="1:48">
      <c r="A563" s="3" t="s">
        <v>3497</v>
      </c>
      <c r="B563" s="3" t="s">
        <v>3498</v>
      </c>
      <c r="C563" s="9">
        <f>IFERROR(DATEVALUE(TEXT(B563,"DD/MM/YYYY")), IF(ISNUMBER(B563), B563, ""))</f>
        <v>45753</v>
      </c>
      <c r="D563" s="9" t="str">
        <f>IF(B563="","Missing", IF(AND(ISNUMBER(B563)=FALSE, C563=""),"Invalid - Could Not Parse", IF(AND(ISNUMBER(B563)=FALSE, C563&lt;&gt;""),"Text - Converted to Date", IF(ISNUMBER(B563),"Valid","Check"))))</f>
        <v>Text - Converted to Date</v>
      </c>
      <c r="E563" s="5">
        <f t="shared" si="65"/>
        <v>4</v>
      </c>
      <c r="F563" s="5">
        <f t="shared" si="66"/>
        <v>2025</v>
      </c>
      <c r="G563" s="3" t="s">
        <v>3498</v>
      </c>
      <c r="H563" s="9">
        <f>IFERROR(DATEVALUE(TEXT(G563,"DD/MM/YYYY")), IF(ISNUMBER(G563), G563, ""))</f>
        <v>45753</v>
      </c>
      <c r="I563" s="9" t="str">
        <f>IF(G563="","Missing", IF(AND(ISNUMBER(G563)=FALSE, H563=""),"Invalid - Could Not Parse", IF(AND(ISNUMBER(G563)=FALSE, H563&lt;&gt;""),"Text - Converted to Date", IF(ISNUMBER(G563),"Valid","Check"))))</f>
        <v>Text - Converted to Date</v>
      </c>
      <c r="J563" s="9" t="str">
        <f>IF(OR(C563="", H563=""), "Cannot Check - Date Missing", IF(H563&lt;C563, "Invalid - Ship Before Order", "Valid"))</f>
        <v>Valid</v>
      </c>
      <c r="K563" s="5">
        <f>IF(OR(C563="", H563=""), "", IF(H563&lt;C563, "", H563-C563))</f>
        <v>0</v>
      </c>
      <c r="L563" s="3" t="s">
        <v>3499</v>
      </c>
      <c r="M563" s="3" t="s">
        <v>93</v>
      </c>
      <c r="N563" s="4" t="str">
        <f>TRIM(SUBSTITUTE(M563,"_"," "))</f>
        <v>Neha Gupta</v>
      </c>
      <c r="O563" s="3" t="s">
        <v>108</v>
      </c>
      <c r="P563" s="6" t="str">
        <f>PROPER(TRIM(SUBSTITUTE(O563,".","")))</f>
        <v>Corporate</v>
      </c>
      <c r="Q563" s="3" t="s">
        <v>62</v>
      </c>
      <c r="R563" s="7" t="str">
        <f>PROPER(TRIM(SUBSTITUTE(Q563,"  "," ")))</f>
        <v>South</v>
      </c>
      <c r="S563" s="3" t="s">
        <v>242</v>
      </c>
      <c r="T563" s="6" t="str">
        <f>PROPER(TRIM(SUBSTITUTE(S563,"  "," ")))</f>
        <v>Kerala</v>
      </c>
      <c r="U563" s="3" t="s">
        <v>243</v>
      </c>
      <c r="V563" s="6" t="str">
        <f>PROPER(TRIM(SUBSTITUTE(U563,"  "," ")))</f>
        <v>Kochi</v>
      </c>
      <c r="W563" s="3" t="s">
        <v>30</v>
      </c>
      <c r="X563" s="6" t="str">
        <f>PROPER(TRIM(SUBSTITUTE(W563,"  "," ")))</f>
        <v>Office Supplies</v>
      </c>
      <c r="Y563" s="3" t="s">
        <v>156</v>
      </c>
      <c r="Z563" s="6" t="str">
        <f>PROPER(TRIM(SUBSTITUTE(Y563,"  "," ")))</f>
        <v>Storage</v>
      </c>
      <c r="AA563" s="3" t="s">
        <v>3500</v>
      </c>
      <c r="AB563" s="3" t="s">
        <v>67</v>
      </c>
      <c r="AC563" s="6" t="str">
        <f>PROPER(TRIM(SUBSTITUTE(AB563,"  "," ")))</f>
        <v>Standard Class</v>
      </c>
      <c r="AD563" s="3">
        <v>4</v>
      </c>
      <c r="AE563" s="3">
        <v>891.34</v>
      </c>
      <c r="AF563" s="3">
        <v>0.25</v>
      </c>
      <c r="AG563" s="17">
        <v>0.25</v>
      </c>
      <c r="AH563" s="6" t="str">
        <f t="shared" si="67"/>
        <v>Valid</v>
      </c>
      <c r="AI563" s="3">
        <v>2674.02</v>
      </c>
      <c r="AJ563" s="3">
        <v>2207.5700000000002</v>
      </c>
      <c r="AK563" s="3">
        <v>466.45</v>
      </c>
      <c r="AL563" s="3" t="s">
        <v>34</v>
      </c>
      <c r="AM563" s="6" t="str">
        <f>PROPER(TRIM(SUBSTITUTE(AL563,".","")))</f>
        <v>Paid</v>
      </c>
      <c r="AN563" s="3" t="s">
        <v>35</v>
      </c>
      <c r="AO563" s="8" t="str">
        <f>PROPER(TRIM(SUBSTITUTE(AN563,".","")))</f>
        <v>Completed</v>
      </c>
      <c r="AP563" t="str">
        <f>IF(COUNTIF($A$2:$A$933, A563) &gt; 1, "Duplicate ID", "Unique")</f>
        <v>Unique</v>
      </c>
      <c r="AR563">
        <f t="shared" si="68"/>
        <v>2674.02</v>
      </c>
      <c r="AS563">
        <f t="shared" si="69"/>
        <v>466.44999999999982</v>
      </c>
      <c r="AT563" s="15">
        <f t="shared" si="70"/>
        <v>0.17443773793763689</v>
      </c>
      <c r="AU563" t="str">
        <f t="shared" si="71"/>
        <v>Warning</v>
      </c>
      <c r="AV563" s="8" t="str">
        <f t="shared" si="72"/>
        <v>Active</v>
      </c>
    </row>
    <row r="564" spans="1:48">
      <c r="A564" s="3" t="s">
        <v>3704</v>
      </c>
      <c r="B564" s="3" t="s">
        <v>1316</v>
      </c>
      <c r="C564" s="9">
        <f>IFERROR(DATEVALUE(TEXT(B564,"DD/MM/YYYY")), IF(ISNUMBER(B564), B564, ""))</f>
        <v>45753</v>
      </c>
      <c r="D564" s="9" t="str">
        <f>IF(B564="","Missing", IF(AND(ISNUMBER(B564)=FALSE, C564=""),"Invalid - Could Not Parse", IF(AND(ISNUMBER(B564)=FALSE, C564&lt;&gt;""),"Text - Converted to Date", IF(ISNUMBER(B564),"Valid","Check"))))</f>
        <v>Text - Converted to Date</v>
      </c>
      <c r="E564" s="5">
        <f t="shared" si="65"/>
        <v>4</v>
      </c>
      <c r="F564" s="5">
        <f t="shared" si="66"/>
        <v>2025</v>
      </c>
      <c r="G564" s="3" t="s">
        <v>1063</v>
      </c>
      <c r="H564" s="9">
        <f>IFERROR(DATEVALUE(TEXT(G564,"DD/MM/YYYY")), IF(ISNUMBER(G564), G564, ""))</f>
        <v>45754</v>
      </c>
      <c r="I564" s="9" t="str">
        <f>IF(G564="","Missing", IF(AND(ISNUMBER(G564)=FALSE, H564=""),"Invalid - Could Not Parse", IF(AND(ISNUMBER(G564)=FALSE, H564&lt;&gt;""),"Text - Converted to Date", IF(ISNUMBER(G564),"Valid","Check"))))</f>
        <v>Text - Converted to Date</v>
      </c>
      <c r="J564" s="9" t="str">
        <f>IF(OR(C564="", H564=""), "Cannot Check - Date Missing", IF(H564&lt;C564, "Invalid - Ship Before Order", "Valid"))</f>
        <v>Valid</v>
      </c>
      <c r="K564" s="5">
        <f>IF(OR(C564="", H564=""), "", IF(H564&lt;C564, "", H564-C564))</f>
        <v>1</v>
      </c>
      <c r="L564" s="3" t="s">
        <v>3520</v>
      </c>
      <c r="M564" s="3" t="s">
        <v>142</v>
      </c>
      <c r="N564" s="4" t="str">
        <f>TRIM(SUBSTITUTE(M564,"_"," "))</f>
        <v>Priya Menon</v>
      </c>
      <c r="O564" s="3" t="s">
        <v>115</v>
      </c>
      <c r="P564" s="6" t="str">
        <f>PROPER(TRIM(SUBSTITUTE(O564,".","")))</f>
        <v>Home Office</v>
      </c>
      <c r="Q564" s="3" t="s">
        <v>42</v>
      </c>
      <c r="R564" s="7" t="str">
        <f>PROPER(TRIM(SUBSTITUTE(Q564,"  "," ")))</f>
        <v>East</v>
      </c>
      <c r="S564" s="3" t="s">
        <v>216</v>
      </c>
      <c r="T564" s="6" t="str">
        <f>PROPER(TRIM(SUBSTITUTE(S564,"  "," ")))</f>
        <v>Assam</v>
      </c>
      <c r="U564" s="3" t="s">
        <v>217</v>
      </c>
      <c r="V564" s="6" t="str">
        <f>PROPER(TRIM(SUBSTITUTE(U564,"  "," ")))</f>
        <v>Guwahati</v>
      </c>
      <c r="W564" s="3" t="s">
        <v>30</v>
      </c>
      <c r="X564" s="6" t="str">
        <f>PROPER(TRIM(SUBSTITUTE(W564,"  "," ")))</f>
        <v>Office Supplies</v>
      </c>
      <c r="Y564" s="3" t="s">
        <v>198</v>
      </c>
      <c r="Z564" s="6" t="str">
        <f>PROPER(TRIM(SUBSTITUTE(Y564,"  "," ")))</f>
        <v>Binders</v>
      </c>
      <c r="AA564" s="3" t="s">
        <v>3705</v>
      </c>
      <c r="AB564" s="3" t="s">
        <v>33</v>
      </c>
      <c r="AC564" s="6" t="str">
        <f>PROPER(TRIM(SUBSTITUTE(AB564,"  "," ")))</f>
        <v>Second Class</v>
      </c>
      <c r="AD564" s="3">
        <v>2</v>
      </c>
      <c r="AE564" s="3">
        <v>2030.06</v>
      </c>
      <c r="AF564" s="3">
        <v>0.25</v>
      </c>
      <c r="AG564" s="17">
        <v>0.25</v>
      </c>
      <c r="AH564" s="6" t="str">
        <f t="shared" si="67"/>
        <v>Valid</v>
      </c>
      <c r="AI564" s="3">
        <v>3045.09</v>
      </c>
      <c r="AJ564" s="3">
        <v>2601.09</v>
      </c>
      <c r="AK564" s="3">
        <v>444</v>
      </c>
      <c r="AL564" s="3" t="s">
        <v>34</v>
      </c>
      <c r="AM564" s="6" t="str">
        <f>PROPER(TRIM(SUBSTITUTE(AL564,".","")))</f>
        <v>Paid</v>
      </c>
      <c r="AN564" s="3" t="s">
        <v>35</v>
      </c>
      <c r="AO564" s="8" t="str">
        <f>PROPER(TRIM(SUBSTITUTE(AN564,".","")))</f>
        <v>Completed</v>
      </c>
      <c r="AP564" t="str">
        <f>IF(COUNTIF($A$2:$A$933, A564) &gt; 1, "Duplicate ID", "Unique")</f>
        <v>Unique</v>
      </c>
      <c r="AR564">
        <f t="shared" si="68"/>
        <v>3045.09</v>
      </c>
      <c r="AS564">
        <f t="shared" si="69"/>
        <v>444</v>
      </c>
      <c r="AT564" s="15">
        <f t="shared" si="70"/>
        <v>0.14580849827098705</v>
      </c>
      <c r="AU564" t="str">
        <f t="shared" si="71"/>
        <v>Clean</v>
      </c>
      <c r="AV564" s="8" t="str">
        <f t="shared" si="72"/>
        <v>Active</v>
      </c>
    </row>
    <row r="565" spans="1:48">
      <c r="A565" s="3" t="s">
        <v>2603</v>
      </c>
      <c r="B565" s="3" t="s">
        <v>1216</v>
      </c>
      <c r="C565" s="9">
        <f>IFERROR(DATEVALUE(TEXT(B565,"DD/MM/YYYY")), IF(ISNUMBER(B565), B565, ""))</f>
        <v>45754</v>
      </c>
      <c r="D565" s="9" t="str">
        <f>IF(B565="","Missing", IF(AND(ISNUMBER(B565)=FALSE, C565=""),"Invalid - Could Not Parse", IF(AND(ISNUMBER(B565)=FALSE, C565&lt;&gt;""),"Text - Converted to Date", IF(ISNUMBER(B565),"Valid","Check"))))</f>
        <v>Text - Converted to Date</v>
      </c>
      <c r="E565" s="5">
        <f t="shared" si="65"/>
        <v>4</v>
      </c>
      <c r="F565" s="5">
        <f t="shared" si="66"/>
        <v>2025</v>
      </c>
      <c r="G565" s="3" t="s">
        <v>2415</v>
      </c>
      <c r="H565" s="9">
        <f>IFERROR(DATEVALUE(TEXT(G565,"DD/MM/YYYY")), IF(ISNUMBER(G565), G565, ""))</f>
        <v>45842</v>
      </c>
      <c r="I565" s="9" t="str">
        <f>IF(G565="","Missing", IF(AND(ISNUMBER(G565)=FALSE, H565=""),"Invalid - Could Not Parse", IF(AND(ISNUMBER(G565)=FALSE, H565&lt;&gt;""),"Text - Converted to Date", IF(ISNUMBER(G565),"Valid","Check"))))</f>
        <v>Text - Converted to Date</v>
      </c>
      <c r="J565" s="9" t="str">
        <f>IF(OR(C565="", H565=""), "Cannot Check - Date Missing", IF(H565&lt;C565, "Invalid - Ship Before Order", "Valid"))</f>
        <v>Valid</v>
      </c>
      <c r="K565" s="5">
        <f>IF(OR(C565="", H565=""), "", IF(H565&lt;C565, "", H565-C565))</f>
        <v>88</v>
      </c>
      <c r="L565" s="3" t="s">
        <v>2604</v>
      </c>
      <c r="M565" s="3" t="s">
        <v>2605</v>
      </c>
      <c r="N565" s="4" t="str">
        <f>TRIM(SUBSTITUTE(M565,"_"," "))</f>
        <v>mira das</v>
      </c>
      <c r="O565" s="3" t="s">
        <v>41</v>
      </c>
      <c r="P565" s="6" t="str">
        <f>PROPER(TRIM(SUBSTITUTE(O565,".","")))</f>
        <v>Small Business</v>
      </c>
      <c r="Q565" s="3" t="s">
        <v>62</v>
      </c>
      <c r="R565" s="7" t="str">
        <f>PROPER(TRIM(SUBSTITUTE(Q565,"  "," ")))</f>
        <v>South</v>
      </c>
      <c r="S565" s="3" t="s">
        <v>339</v>
      </c>
      <c r="T565" s="6" t="str">
        <f>PROPER(TRIM(SUBSTITUTE(S565,"  "," ")))</f>
        <v>Tamil Nadu</v>
      </c>
      <c r="U565" s="3" t="s">
        <v>340</v>
      </c>
      <c r="V565" s="6" t="str">
        <f>PROPER(TRIM(SUBSTITUTE(U565,"  "," ")))</f>
        <v>Chennai</v>
      </c>
      <c r="W565" s="3" t="s">
        <v>45</v>
      </c>
      <c r="X565" s="6" t="str">
        <f>PROPER(TRIM(SUBSTITUTE(W565,"  "," ")))</f>
        <v>Furniture</v>
      </c>
      <c r="Y565" s="3" t="s">
        <v>76</v>
      </c>
      <c r="Z565" s="6" t="str">
        <f>PROPER(TRIM(SUBSTITUTE(Y565,"  "," ")))</f>
        <v>Chairs</v>
      </c>
      <c r="AA565" s="3" t="s">
        <v>2606</v>
      </c>
      <c r="AB565" s="3" t="s">
        <v>67</v>
      </c>
      <c r="AC565" s="6" t="str">
        <f>PROPER(TRIM(SUBSTITUTE(AB565,"  "," ")))</f>
        <v>Standard Class</v>
      </c>
      <c r="AD565" s="3">
        <v>3</v>
      </c>
      <c r="AE565" s="3">
        <v>705.35</v>
      </c>
      <c r="AF565" s="3">
        <v>0.1</v>
      </c>
      <c r="AG565" s="17">
        <v>0.1</v>
      </c>
      <c r="AH565" s="6" t="str">
        <f t="shared" si="67"/>
        <v>Valid</v>
      </c>
      <c r="AI565" s="3">
        <v>1904.45</v>
      </c>
      <c r="AJ565" s="3">
        <v>1316.54</v>
      </c>
      <c r="AK565" s="3">
        <v>587.91</v>
      </c>
      <c r="AL565" s="3" t="s">
        <v>34</v>
      </c>
      <c r="AM565" s="6" t="str">
        <f>PROPER(TRIM(SUBSTITUTE(AL565,".","")))</f>
        <v>Paid</v>
      </c>
      <c r="AN565" s="3" t="s">
        <v>78</v>
      </c>
      <c r="AO565" s="8" t="str">
        <f>PROPER(TRIM(SUBSTITUTE(AN565,".","")))</f>
        <v>Cancelled</v>
      </c>
      <c r="AP565" t="str">
        <f>IF(COUNTIF($A$2:$A$933, A565) &gt; 1, "Duplicate ID", "Unique")</f>
        <v>Unique</v>
      </c>
      <c r="AR565">
        <f t="shared" si="68"/>
        <v>1904.4450000000002</v>
      </c>
      <c r="AS565">
        <f t="shared" si="69"/>
        <v>587.9050000000002</v>
      </c>
      <c r="AT565" s="15">
        <f t="shared" si="70"/>
        <v>0.30870148520960183</v>
      </c>
      <c r="AU565" t="str">
        <f t="shared" si="71"/>
        <v>Clean</v>
      </c>
      <c r="AV565" s="8" t="str">
        <f t="shared" si="72"/>
        <v>Cancelled</v>
      </c>
    </row>
    <row r="566" spans="1:48">
      <c r="A566" s="3" t="s">
        <v>3035</v>
      </c>
      <c r="B566" s="3" t="s">
        <v>3036</v>
      </c>
      <c r="C566" s="9">
        <f>IFERROR(DATEVALUE(TEXT(B566,"DD/MM/YYYY")), IF(ISNUMBER(B566), B566, ""))</f>
        <v>45756</v>
      </c>
      <c r="D566" s="9" t="str">
        <f>IF(B566="","Missing", IF(AND(ISNUMBER(B566)=FALSE, C566=""),"Invalid - Could Not Parse", IF(AND(ISNUMBER(B566)=FALSE, C566&lt;&gt;""),"Text - Converted to Date", IF(ISNUMBER(B566),"Valid","Check"))))</f>
        <v>Text - Converted to Date</v>
      </c>
      <c r="E566" s="5">
        <f t="shared" si="65"/>
        <v>4</v>
      </c>
      <c r="F566" s="5">
        <f t="shared" si="66"/>
        <v>2025</v>
      </c>
      <c r="G566" s="3" t="s">
        <v>1962</v>
      </c>
      <c r="H566" s="9">
        <f>IFERROR(DATEVALUE(TEXT(G566,"DD/MM/YYYY")), IF(ISNUMBER(G566), G566, ""))</f>
        <v>45761</v>
      </c>
      <c r="I566" s="9" t="str">
        <f>IF(G566="","Missing", IF(AND(ISNUMBER(G566)=FALSE, H566=""),"Invalid - Could Not Parse", IF(AND(ISNUMBER(G566)=FALSE, H566&lt;&gt;""),"Text - Converted to Date", IF(ISNUMBER(G566),"Valid","Check"))))</f>
        <v>Text - Converted to Date</v>
      </c>
      <c r="J566" s="9" t="str">
        <f>IF(OR(C566="", H566=""), "Cannot Check - Date Missing", IF(H566&lt;C566, "Invalid - Ship Before Order", "Valid"))</f>
        <v>Valid</v>
      </c>
      <c r="K566" s="5">
        <f>IF(OR(C566="", H566=""), "", IF(H566&lt;C566, "", H566-C566))</f>
        <v>5</v>
      </c>
      <c r="L566" s="3" t="s">
        <v>3037</v>
      </c>
      <c r="M566" s="3" t="s">
        <v>25</v>
      </c>
      <c r="N566" s="4" t="str">
        <f>TRIM(SUBSTITUTE(M566,"_"," "))</f>
        <v>Karan Malhotra</v>
      </c>
      <c r="O566" s="3" t="s">
        <v>26</v>
      </c>
      <c r="P566" s="6" t="str">
        <f>PROPER(TRIM(SUBSTITUTE(O566,".","")))</f>
        <v>Consumer</v>
      </c>
      <c r="Q566" s="3" t="s">
        <v>27</v>
      </c>
      <c r="R566" s="7" t="str">
        <f>PROPER(TRIM(SUBSTITUTE(Q566,"  "," ")))</f>
        <v>North</v>
      </c>
      <c r="S566" s="3" t="s">
        <v>506</v>
      </c>
      <c r="T566" s="6" t="str">
        <f>PROPER(TRIM(SUBSTITUTE(S566,"  "," ")))</f>
        <v>Delhi</v>
      </c>
      <c r="U566" s="3" t="s">
        <v>507</v>
      </c>
      <c r="V566" s="6" t="str">
        <f>PROPER(TRIM(SUBSTITUTE(U566,"  "," ")))</f>
        <v>New Delhi</v>
      </c>
      <c r="W566" s="3" t="s">
        <v>45</v>
      </c>
      <c r="X566" s="6" t="str">
        <f>PROPER(TRIM(SUBSTITUTE(W566,"  "," ")))</f>
        <v>Furniture</v>
      </c>
      <c r="Y566" s="3" t="s">
        <v>65</v>
      </c>
      <c r="Z566" s="6" t="str">
        <f>PROPER(TRIM(SUBSTITUTE(Y566,"  "," ")))</f>
        <v>Furnishings</v>
      </c>
      <c r="AA566" s="3" t="s">
        <v>3038</v>
      </c>
      <c r="AB566" s="3" t="s">
        <v>48</v>
      </c>
      <c r="AC566" s="6" t="str">
        <f>PROPER(TRIM(SUBSTITUTE(AB566,"  "," ")))</f>
        <v>Same Day</v>
      </c>
      <c r="AD566" s="3">
        <v>2</v>
      </c>
      <c r="AE566" s="3">
        <v>3202.87</v>
      </c>
      <c r="AF566" s="3">
        <v>0</v>
      </c>
      <c r="AG566" s="17">
        <v>0</v>
      </c>
      <c r="AH566" s="6" t="str">
        <f t="shared" si="67"/>
        <v>Valid</v>
      </c>
      <c r="AI566" s="3">
        <v>6405.74</v>
      </c>
      <c r="AJ566" s="3">
        <v>3561.87</v>
      </c>
      <c r="AK566" s="3">
        <v>2843.87</v>
      </c>
      <c r="AL566" s="3" t="s">
        <v>34</v>
      </c>
      <c r="AM566" s="6" t="str">
        <f>PROPER(TRIM(SUBSTITUTE(AL566,".","")))</f>
        <v>Paid</v>
      </c>
      <c r="AN566" s="3" t="s">
        <v>35</v>
      </c>
      <c r="AO566" s="8" t="str">
        <f>PROPER(TRIM(SUBSTITUTE(AN566,".","")))</f>
        <v>Completed</v>
      </c>
      <c r="AP566" t="str">
        <f>IF(COUNTIF($A$2:$A$933, A566) &gt; 1, "Duplicate ID", "Unique")</f>
        <v>Unique</v>
      </c>
      <c r="AR566">
        <f t="shared" si="68"/>
        <v>6405.74</v>
      </c>
      <c r="AS566">
        <f t="shared" si="69"/>
        <v>2843.87</v>
      </c>
      <c r="AT566" s="15">
        <f t="shared" si="70"/>
        <v>0.44395651400150488</v>
      </c>
      <c r="AU566" t="str">
        <f t="shared" si="71"/>
        <v>Clean</v>
      </c>
      <c r="AV566" s="8" t="str">
        <f t="shared" si="72"/>
        <v>Active</v>
      </c>
    </row>
    <row r="567" spans="1:48">
      <c r="A567" s="3" t="s">
        <v>1199</v>
      </c>
      <c r="B567" s="3" t="s">
        <v>1200</v>
      </c>
      <c r="C567" s="9">
        <f>IFERROR(DATEVALUE(TEXT(B567,"DD/MM/YYYY")), IF(ISNUMBER(B567), B567, ""))</f>
        <v>45757</v>
      </c>
      <c r="D567" s="9" t="str">
        <f>IF(B567="","Missing", IF(AND(ISNUMBER(B567)=FALSE, C567=""),"Invalid - Could Not Parse", IF(AND(ISNUMBER(B567)=FALSE, C567&lt;&gt;""),"Text - Converted to Date", IF(ISNUMBER(B567),"Valid","Check"))))</f>
        <v>Text - Converted to Date</v>
      </c>
      <c r="E567" s="5">
        <f t="shared" si="65"/>
        <v>4</v>
      </c>
      <c r="F567" s="5">
        <f t="shared" si="66"/>
        <v>2025</v>
      </c>
      <c r="G567" s="3" t="s">
        <v>1153</v>
      </c>
      <c r="H567" s="9">
        <f>IFERROR(DATEVALUE(TEXT(G567,"DD/MM/YYYY")), IF(ISNUMBER(G567), G567, ""))</f>
        <v>45762</v>
      </c>
      <c r="I567" s="9" t="str">
        <f>IF(G567="","Missing", IF(AND(ISNUMBER(G567)=FALSE, H567=""),"Invalid - Could Not Parse", IF(AND(ISNUMBER(G567)=FALSE, H567&lt;&gt;""),"Text - Converted to Date", IF(ISNUMBER(G567),"Valid","Check"))))</f>
        <v>Text - Converted to Date</v>
      </c>
      <c r="J567" s="9" t="str">
        <f>IF(OR(C567="", H567=""), "Cannot Check - Date Missing", IF(H567&lt;C567, "Invalid - Ship Before Order", "Valid"))</f>
        <v>Valid</v>
      </c>
      <c r="K567" s="5">
        <f>IF(OR(C567="", H567=""), "", IF(H567&lt;C567, "", H567-C567))</f>
        <v>5</v>
      </c>
      <c r="L567" s="3" t="s">
        <v>1201</v>
      </c>
      <c r="M567" s="3" t="s">
        <v>210</v>
      </c>
      <c r="N567" s="4" t="str">
        <f>TRIM(SUBSTITUTE(M567,"_"," "))</f>
        <v>Diya Patel</v>
      </c>
      <c r="O567" s="3" t="s">
        <v>115</v>
      </c>
      <c r="P567" s="6" t="str">
        <f>PROPER(TRIM(SUBSTITUTE(O567,".","")))</f>
        <v>Home Office</v>
      </c>
      <c r="Q567" s="3"/>
      <c r="R567" s="6" t="str">
        <f>IF(ISBLANK(Q567), "Unknown", Q567)</f>
        <v>Unknown</v>
      </c>
      <c r="S567" s="3" t="s">
        <v>242</v>
      </c>
      <c r="T567" s="6" t="str">
        <f>PROPER(TRIM(SUBSTITUTE(S567,"  "," ")))</f>
        <v>Kerala</v>
      </c>
      <c r="U567" s="3" t="s">
        <v>243</v>
      </c>
      <c r="V567" s="6" t="str">
        <f>PROPER(TRIM(SUBSTITUTE(U567,"  "," ")))</f>
        <v>Kochi</v>
      </c>
      <c r="W567" s="3" t="s">
        <v>86</v>
      </c>
      <c r="X567" s="6" t="str">
        <f>PROPER(TRIM(SUBSTITUTE(W567,"  "," ")))</f>
        <v>Technology</v>
      </c>
      <c r="Y567" s="3" t="s">
        <v>94</v>
      </c>
      <c r="Z567" s="6" t="str">
        <f>PROPER(TRIM(SUBSTITUTE(Y567,"  "," ")))</f>
        <v>Copiers</v>
      </c>
      <c r="AA567" s="3" t="s">
        <v>1202</v>
      </c>
      <c r="AB567" s="3" t="s">
        <v>48</v>
      </c>
      <c r="AC567" s="6" t="str">
        <f>PROPER(TRIM(SUBSTITUTE(AB567,"  "," ")))</f>
        <v>Same Day</v>
      </c>
      <c r="AD567" s="3">
        <v>1</v>
      </c>
      <c r="AE567" s="3">
        <v>2208.27</v>
      </c>
      <c r="AF567" s="3">
        <v>0.1</v>
      </c>
      <c r="AG567" s="17">
        <v>0.1</v>
      </c>
      <c r="AH567" s="6" t="str">
        <f t="shared" si="67"/>
        <v>Valid</v>
      </c>
      <c r="AI567" s="3">
        <v>1987.44</v>
      </c>
      <c r="AJ567" s="3">
        <v>1110.23</v>
      </c>
      <c r="AK567" s="3">
        <v>877.21</v>
      </c>
      <c r="AL567" s="3" t="s">
        <v>34</v>
      </c>
      <c r="AM567" s="6" t="str">
        <f>PROPER(TRIM(SUBSTITUTE(AL567,".","")))</f>
        <v>Paid</v>
      </c>
      <c r="AN567" s="3" t="s">
        <v>35</v>
      </c>
      <c r="AO567" s="8" t="str">
        <f>PROPER(TRIM(SUBSTITUTE(AN567,".","")))</f>
        <v>Completed</v>
      </c>
      <c r="AP567" t="str">
        <f>IF(COUNTIF($A$2:$A$933, A567) &gt; 1, "Duplicate ID", "Unique")</f>
        <v>Unique</v>
      </c>
      <c r="AR567">
        <f t="shared" si="68"/>
        <v>1987.443</v>
      </c>
      <c r="AS567">
        <f t="shared" si="69"/>
        <v>877.21299999999997</v>
      </c>
      <c r="AT567" s="15">
        <f t="shared" si="70"/>
        <v>0.44137768982556985</v>
      </c>
      <c r="AU567" t="str">
        <f t="shared" si="71"/>
        <v>Clean</v>
      </c>
      <c r="AV567" s="8" t="str">
        <f t="shared" si="72"/>
        <v>Active</v>
      </c>
    </row>
    <row r="568" spans="1:48">
      <c r="A568" s="3" t="s">
        <v>2590</v>
      </c>
      <c r="B568" s="3" t="s">
        <v>2591</v>
      </c>
      <c r="C568" s="9">
        <f>IFERROR(DATEVALUE(TEXT(B568,"DD/MM/YYYY")), IF(ISNUMBER(B568), B568, ""))</f>
        <v>45757</v>
      </c>
      <c r="D568" s="9" t="str">
        <f>IF(B568="","Missing", IF(AND(ISNUMBER(B568)=FALSE, C568=""),"Invalid - Could Not Parse", IF(AND(ISNUMBER(B568)=FALSE, C568&lt;&gt;""),"Text - Converted to Date", IF(ISNUMBER(B568),"Valid","Check"))))</f>
        <v>Text - Converted to Date</v>
      </c>
      <c r="E568" s="5">
        <f t="shared" si="65"/>
        <v>4</v>
      </c>
      <c r="F568" s="5">
        <f t="shared" si="66"/>
        <v>2025</v>
      </c>
      <c r="G568" s="3" t="s">
        <v>2592</v>
      </c>
      <c r="H568" s="9">
        <f>IFERROR(DATEVALUE(TEXT(G568,"DD/MM/YYYY")), IF(ISNUMBER(G568), G568, ""))</f>
        <v>45764</v>
      </c>
      <c r="I568" s="9" t="str">
        <f>IF(G568="","Missing", IF(AND(ISNUMBER(G568)=FALSE, H568=""),"Invalid - Could Not Parse", IF(AND(ISNUMBER(G568)=FALSE, H568&lt;&gt;""),"Text - Converted to Date", IF(ISNUMBER(G568),"Valid","Check"))))</f>
        <v>Text - Converted to Date</v>
      </c>
      <c r="J568" s="9" t="str">
        <f>IF(OR(C568="", H568=""), "Cannot Check - Date Missing", IF(H568&lt;C568, "Invalid - Ship Before Order", "Valid"))</f>
        <v>Valid</v>
      </c>
      <c r="K568" s="5">
        <f>IF(OR(C568="", H568=""), "", IF(H568&lt;C568, "", H568-C568))</f>
        <v>7</v>
      </c>
      <c r="L568" s="3" t="s">
        <v>2593</v>
      </c>
      <c r="M568" s="3" t="s">
        <v>72</v>
      </c>
      <c r="N568" s="4" t="str">
        <f>TRIM(SUBSTITUTE(M568,"_"," "))</f>
        <v>Ananya Rao</v>
      </c>
      <c r="O568" s="3" t="s">
        <v>41</v>
      </c>
      <c r="P568" s="6" t="str">
        <f>PROPER(TRIM(SUBSTITUTE(O568,".","")))</f>
        <v>Small Business</v>
      </c>
      <c r="Q568" s="3" t="s">
        <v>73</v>
      </c>
      <c r="R568" s="7" t="str">
        <f>PROPER(TRIM(SUBSTITUTE(Q568,"  "," ")))</f>
        <v>West</v>
      </c>
      <c r="S568" s="3" t="s">
        <v>28</v>
      </c>
      <c r="T568" s="6" t="str">
        <f>PROPER(TRIM(SUBSTITUTE(S568,"  "," ")))</f>
        <v>Rajasthan</v>
      </c>
      <c r="U568" s="3" t="s">
        <v>135</v>
      </c>
      <c r="V568" s="6" t="str">
        <f>PROPER(TRIM(SUBSTITUTE(U568,"  "," ")))</f>
        <v>Udaipur</v>
      </c>
      <c r="W568" s="3" t="s">
        <v>45</v>
      </c>
      <c r="X568" s="6" t="str">
        <f>PROPER(TRIM(SUBSTITUTE(W568,"  "," ")))</f>
        <v>Furniture</v>
      </c>
      <c r="Y568" s="3" t="s">
        <v>76</v>
      </c>
      <c r="Z568" s="6" t="str">
        <f>PROPER(TRIM(SUBSTITUTE(Y568,"  "," ")))</f>
        <v>Chairs</v>
      </c>
      <c r="AA568" s="3" t="s">
        <v>2594</v>
      </c>
      <c r="AB568" s="3" t="s">
        <v>56</v>
      </c>
      <c r="AC568" s="6" t="str">
        <f>PROPER(TRIM(SUBSTITUTE(AB568,"  "," ")))</f>
        <v>First Class</v>
      </c>
      <c r="AD568" s="3">
        <v>7</v>
      </c>
      <c r="AE568" s="3">
        <v>3788.9</v>
      </c>
      <c r="AF568" s="3">
        <v>0.25</v>
      </c>
      <c r="AG568" s="17">
        <v>0.25</v>
      </c>
      <c r="AH568" s="6" t="str">
        <f t="shared" si="67"/>
        <v>Valid</v>
      </c>
      <c r="AI568" s="3">
        <v>19891.72</v>
      </c>
      <c r="AJ568" s="3">
        <v>12295.76</v>
      </c>
      <c r="AK568" s="3">
        <v>7595.96</v>
      </c>
      <c r="AL568" s="3" t="s">
        <v>200</v>
      </c>
      <c r="AM568" s="6" t="str">
        <f>PROPER(TRIM(SUBSTITUTE(AL568,".","")))</f>
        <v>Failed</v>
      </c>
      <c r="AN568" s="3" t="s">
        <v>78</v>
      </c>
      <c r="AO568" s="8" t="str">
        <f>PROPER(TRIM(SUBSTITUTE(AN568,".","")))</f>
        <v>Cancelled</v>
      </c>
      <c r="AP568" t="str">
        <f>IF(COUNTIF($A$2:$A$933, A568) &gt; 1, "Duplicate ID", "Unique")</f>
        <v>Unique</v>
      </c>
      <c r="AR568">
        <f t="shared" si="68"/>
        <v>19891.724999999999</v>
      </c>
      <c r="AS568">
        <f t="shared" si="69"/>
        <v>7595.9649999999983</v>
      </c>
      <c r="AT568" s="15">
        <f t="shared" si="70"/>
        <v>0.38186557475533162</v>
      </c>
      <c r="AU568" t="str">
        <f t="shared" si="71"/>
        <v>Warning</v>
      </c>
      <c r="AV568" s="8" t="str">
        <f t="shared" si="72"/>
        <v>Cancelled</v>
      </c>
    </row>
    <row r="569" spans="1:48">
      <c r="A569" s="3" t="s">
        <v>3047</v>
      </c>
      <c r="B569" s="3" t="s">
        <v>2591</v>
      </c>
      <c r="C569" s="9">
        <f>IFERROR(DATEVALUE(TEXT(B569,"DD/MM/YYYY")), IF(ISNUMBER(B569), B569, ""))</f>
        <v>45757</v>
      </c>
      <c r="D569" s="9" t="str">
        <f>IF(B569="","Missing", IF(AND(ISNUMBER(B569)=FALSE, C569=""),"Invalid - Could Not Parse", IF(AND(ISNUMBER(B569)=FALSE, C569&lt;&gt;""),"Text - Converted to Date", IF(ISNUMBER(B569),"Valid","Check"))))</f>
        <v>Text - Converted to Date</v>
      </c>
      <c r="E569" s="5">
        <f t="shared" si="65"/>
        <v>4</v>
      </c>
      <c r="F569" s="5">
        <f t="shared" si="66"/>
        <v>2025</v>
      </c>
      <c r="G569" s="3" t="s">
        <v>3048</v>
      </c>
      <c r="H569" s="9">
        <f>IFERROR(DATEVALUE(MID(G569,4,2) &amp; "/" &amp; LEFT(G569,2) &amp; "/" &amp; RIGHT(G569,4)), IF(ISNUMBER(G569), G569, IFERROR(DATEVALUE(G569), "")))</f>
        <v>45764</v>
      </c>
      <c r="I569" s="9" t="str">
        <f>IF(G569="","Missing", IF(AND(ISNUMBER(G569)=FALSE, H569=""),"Invalid - Could Not Parse", IF(AND(ISNUMBER(G569)=FALSE, H569&lt;&gt;""),"Text - Converted to Date", IF(ISNUMBER(G569),"Valid","Check"))))</f>
        <v>Text - Converted to Date</v>
      </c>
      <c r="J569" s="9" t="str">
        <f>IF(OR(C569="", H569=""), "Cannot Check - Date Missing", IF(H569&lt;C569, "Invalid - Ship Before Order", "Valid"))</f>
        <v>Valid</v>
      </c>
      <c r="K569" s="5">
        <f>IF(OR(C569="", H569=""), "", IF(H569&lt;C569, "", H569-C569))</f>
        <v>7</v>
      </c>
      <c r="L569" s="3" t="s">
        <v>3049</v>
      </c>
      <c r="M569" s="3" t="s">
        <v>83</v>
      </c>
      <c r="N569" s="4" t="str">
        <f>TRIM(SUBSTITUTE(M569,"_"," "))</f>
        <v>Vikram Iyer</v>
      </c>
      <c r="O569" s="3" t="s">
        <v>26</v>
      </c>
      <c r="P569" s="6" t="str">
        <f>PROPER(TRIM(SUBSTITUTE(O569,".","")))</f>
        <v>Consumer</v>
      </c>
      <c r="Q569" s="3" t="s">
        <v>42</v>
      </c>
      <c r="R569" s="7" t="str">
        <f>PROPER(TRIM(SUBSTITUTE(Q569,"  "," ")))</f>
        <v>East</v>
      </c>
      <c r="S569" s="3" t="s">
        <v>121</v>
      </c>
      <c r="T569" s="6" t="str">
        <f>PROPER(TRIM(SUBSTITUTE(S569,"  "," ")))</f>
        <v>West Bengal</v>
      </c>
      <c r="U569" s="3" t="s">
        <v>122</v>
      </c>
      <c r="V569" s="6" t="str">
        <f>PROPER(TRIM(SUBSTITUTE(U569,"  "," ")))</f>
        <v>Kolkata</v>
      </c>
      <c r="W569" s="3" t="s">
        <v>45</v>
      </c>
      <c r="X569" s="6" t="str">
        <f>PROPER(TRIM(SUBSTITUTE(W569,"  "," ")))</f>
        <v>Furniture</v>
      </c>
      <c r="Y569" s="3" t="s">
        <v>76</v>
      </c>
      <c r="Z569" s="6" t="str">
        <f>PROPER(TRIM(SUBSTITUTE(Y569,"  "," ")))</f>
        <v>Chairs</v>
      </c>
      <c r="AA569" s="3" t="s">
        <v>3050</v>
      </c>
      <c r="AB569" s="3" t="s">
        <v>67</v>
      </c>
      <c r="AC569" s="6" t="str">
        <f>PROPER(TRIM(SUBSTITUTE(AB569,"  "," ")))</f>
        <v>Standard Class</v>
      </c>
      <c r="AD569" s="3">
        <v>4</v>
      </c>
      <c r="AE569" s="3">
        <v>3750.02</v>
      </c>
      <c r="AF569" s="3">
        <v>0.05</v>
      </c>
      <c r="AG569" s="17">
        <v>0.05</v>
      </c>
      <c r="AH569" s="6" t="str">
        <f t="shared" si="67"/>
        <v>Valid</v>
      </c>
      <c r="AI569" s="3">
        <v>14250.08</v>
      </c>
      <c r="AJ569" s="3">
        <v>10914.92</v>
      </c>
      <c r="AK569" s="3">
        <v>3335.16</v>
      </c>
      <c r="AL569" s="3" t="s">
        <v>34</v>
      </c>
      <c r="AM569" s="6" t="str">
        <f>PROPER(TRIM(SUBSTITUTE(AL569,".","")))</f>
        <v>Paid</v>
      </c>
      <c r="AN569" s="3" t="s">
        <v>35</v>
      </c>
      <c r="AO569" s="8" t="str">
        <f>PROPER(TRIM(SUBSTITUTE(AN569,".","")))</f>
        <v>Completed</v>
      </c>
      <c r="AP569" t="str">
        <f>IF(COUNTIF($A$2:$A$933, A569) &gt; 1, "Duplicate ID", "Unique")</f>
        <v>Unique</v>
      </c>
      <c r="AR569">
        <f t="shared" si="68"/>
        <v>14250.075999999999</v>
      </c>
      <c r="AS569">
        <f t="shared" si="69"/>
        <v>3335.155999999999</v>
      </c>
      <c r="AT569" s="15">
        <f t="shared" si="70"/>
        <v>0.23404478684885605</v>
      </c>
      <c r="AU569" t="str">
        <f t="shared" si="71"/>
        <v>Clean</v>
      </c>
      <c r="AV569" s="8" t="str">
        <f t="shared" si="72"/>
        <v>Active</v>
      </c>
    </row>
    <row r="570" spans="1:48">
      <c r="A570" s="3" t="s">
        <v>3619</v>
      </c>
      <c r="B570" s="3" t="s">
        <v>3620</v>
      </c>
      <c r="C570" s="9">
        <f>IFERROR(DATEVALUE(TEXT(B570,"DD/MM/YYYY")), IF(ISNUMBER(B570), B570, ""))</f>
        <v>45757</v>
      </c>
      <c r="D570" s="9" t="str">
        <f>IF(B570="","Missing", IF(AND(ISNUMBER(B570)=FALSE, C570=""),"Invalid - Could Not Parse", IF(AND(ISNUMBER(B570)=FALSE, C570&lt;&gt;""),"Text - Converted to Date", IF(ISNUMBER(B570),"Valid","Check"))))</f>
        <v>Text - Converted to Date</v>
      </c>
      <c r="E570" s="5">
        <f t="shared" si="65"/>
        <v>4</v>
      </c>
      <c r="F570" s="5">
        <f t="shared" si="66"/>
        <v>2025</v>
      </c>
      <c r="G570" s="3" t="s">
        <v>2553</v>
      </c>
      <c r="H570" s="9">
        <f>IFERROR(DATEVALUE(TEXT(G570,"DD/MM/YYYY")), IF(ISNUMBER(G570), G570, ""))</f>
        <v>45935</v>
      </c>
      <c r="I570" s="9" t="str">
        <f>IF(G570="","Missing", IF(AND(ISNUMBER(G570)=FALSE, H570=""),"Invalid - Could Not Parse", IF(AND(ISNUMBER(G570)=FALSE, H570&lt;&gt;""),"Text - Converted to Date", IF(ISNUMBER(G570),"Valid","Check"))))</f>
        <v>Text - Converted to Date</v>
      </c>
      <c r="J570" s="9" t="str">
        <f>IF(OR(C570="", H570=""), "Cannot Check - Date Missing", IF(H570&lt;C570, "Invalid - Ship Before Order", "Valid"))</f>
        <v>Valid</v>
      </c>
      <c r="K570" s="5">
        <f>IF(OR(C570="", H570=""), "", IF(H570&lt;C570, "", H570-C570))</f>
        <v>178</v>
      </c>
      <c r="L570" s="3" t="s">
        <v>3621</v>
      </c>
      <c r="M570" s="3" t="s">
        <v>142</v>
      </c>
      <c r="N570" s="4" t="str">
        <f>TRIM(SUBSTITUTE(M570,"_"," "))</f>
        <v>Priya Menon</v>
      </c>
      <c r="O570" s="3" t="s">
        <v>108</v>
      </c>
      <c r="P570" s="6" t="str">
        <f>PROPER(TRIM(SUBSTITUTE(O570,".","")))</f>
        <v>Corporate</v>
      </c>
      <c r="Q570" s="3" t="s">
        <v>3622</v>
      </c>
      <c r="R570" s="7" t="str">
        <f>PROPER(TRIM(SUBSTITUTE(Q570,"  "," ")))</f>
        <v>North</v>
      </c>
      <c r="S570" s="3" t="s">
        <v>154</v>
      </c>
      <c r="T570" s="6" t="str">
        <f>PROPER(TRIM(SUBSTITUTE(S570,"  "," ")))</f>
        <v>Punjab</v>
      </c>
      <c r="U570" s="3" t="s">
        <v>155</v>
      </c>
      <c r="V570" s="6" t="str">
        <f>PROPER(TRIM(SUBSTITUTE(U570,"  "," ")))</f>
        <v>Ludhiana</v>
      </c>
      <c r="W570" s="3" t="s">
        <v>86</v>
      </c>
      <c r="X570" s="6" t="str">
        <f>PROPER(TRIM(SUBSTITUTE(W570,"  "," ")))</f>
        <v>Technology</v>
      </c>
      <c r="Y570" s="3" t="s">
        <v>94</v>
      </c>
      <c r="Z570" s="6" t="str">
        <f>PROPER(TRIM(SUBSTITUTE(Y570,"  "," ")))</f>
        <v>Copiers</v>
      </c>
      <c r="AA570" s="3" t="s">
        <v>3623</v>
      </c>
      <c r="AB570" s="3" t="s">
        <v>56</v>
      </c>
      <c r="AC570" s="6" t="str">
        <f>PROPER(TRIM(SUBSTITUTE(AB570,"  "," ")))</f>
        <v>First Class</v>
      </c>
      <c r="AD570" s="3">
        <v>4</v>
      </c>
      <c r="AE570" s="3">
        <v>418.18</v>
      </c>
      <c r="AF570" s="3">
        <v>0.05</v>
      </c>
      <c r="AG570" s="17">
        <v>0.05</v>
      </c>
      <c r="AH570" s="6" t="str">
        <f t="shared" si="67"/>
        <v>Valid</v>
      </c>
      <c r="AI570" s="3">
        <v>1589.08</v>
      </c>
      <c r="AJ570" s="3">
        <v>1084.6600000000001</v>
      </c>
      <c r="AK570" s="3">
        <v>504.42</v>
      </c>
      <c r="AL570" s="3" t="s">
        <v>34</v>
      </c>
      <c r="AM570" s="6" t="str">
        <f>PROPER(TRIM(SUBSTITUTE(AL570,".","")))</f>
        <v>Paid</v>
      </c>
      <c r="AN570" s="3" t="s">
        <v>35</v>
      </c>
      <c r="AO570" s="8" t="str">
        <f>PROPER(TRIM(SUBSTITUTE(AN570,".","")))</f>
        <v>Completed</v>
      </c>
      <c r="AP570" t="str">
        <f>IF(COUNTIF($A$2:$A$933, A570) &gt; 1, "Duplicate ID", "Unique")</f>
        <v>Unique</v>
      </c>
      <c r="AR570">
        <f t="shared" si="68"/>
        <v>1589.0840000000001</v>
      </c>
      <c r="AS570">
        <f t="shared" si="69"/>
        <v>504.42399999999998</v>
      </c>
      <c r="AT570" s="15">
        <f t="shared" si="70"/>
        <v>0.31743067075120002</v>
      </c>
      <c r="AU570" t="str">
        <f t="shared" si="71"/>
        <v>Clean</v>
      </c>
      <c r="AV570" s="8" t="str">
        <f t="shared" si="72"/>
        <v>Active</v>
      </c>
    </row>
    <row r="571" spans="1:48">
      <c r="A571" s="3" t="s">
        <v>813</v>
      </c>
      <c r="B571" s="3" t="s">
        <v>814</v>
      </c>
      <c r="C571" s="9">
        <f>IFERROR(DATEVALUE(TEXT(B571,"DD/MM/YYYY")), IF(ISNUMBER(B571), B571, ""))</f>
        <v>45758</v>
      </c>
      <c r="D571" s="9" t="str">
        <f>IF(B571="","Missing", IF(AND(ISNUMBER(B571)=FALSE, C571=""),"Invalid - Could Not Parse", IF(AND(ISNUMBER(B571)=FALSE, C571&lt;&gt;""),"Text - Converted to Date", IF(ISNUMBER(B571),"Valid","Check"))))</f>
        <v>Text - Converted to Date</v>
      </c>
      <c r="E571" s="5">
        <f t="shared" si="65"/>
        <v>4</v>
      </c>
      <c r="F571" s="5">
        <f t="shared" si="66"/>
        <v>2025</v>
      </c>
      <c r="G571" s="3" t="s">
        <v>815</v>
      </c>
      <c r="H571" s="9">
        <f>IFERROR(DATEVALUE(MID(G571,4,2) &amp; "/" &amp; LEFT(G571,2) &amp; "/" &amp; RIGHT(G571,4)), IF(ISNUMBER(G571), G571, IFERROR(DATEVALUE(G571), "")))</f>
        <v>45760</v>
      </c>
      <c r="I571" s="9" t="str">
        <f>IF(G571="","Missing", IF(AND(ISNUMBER(G571)=FALSE, H571=""),"Invalid - Could Not Parse", IF(AND(ISNUMBER(G571)=FALSE, H571&lt;&gt;""),"Text - Converted to Date", IF(ISNUMBER(G571),"Valid","Check"))))</f>
        <v>Text - Converted to Date</v>
      </c>
      <c r="J571" s="9" t="str">
        <f>IF(OR(C571="", H571=""), "Cannot Check - Date Missing", IF(H571&lt;C571, "Invalid - Ship Before Order", "Valid"))</f>
        <v>Valid</v>
      </c>
      <c r="K571" s="5">
        <f>IF(OR(C571="", H571=""), "", IF(H571&lt;C571, "", H571-C571))</f>
        <v>2</v>
      </c>
      <c r="L571" s="3" t="s">
        <v>816</v>
      </c>
      <c r="M571" s="3" t="s">
        <v>40</v>
      </c>
      <c r="N571" s="4" t="str">
        <f>TRIM(SUBSTITUTE(M571,"_"," "))</f>
        <v>Mira Das</v>
      </c>
      <c r="O571" s="3" t="s">
        <v>41</v>
      </c>
      <c r="P571" s="6" t="str">
        <f>PROPER(TRIM(SUBSTITUTE(O571,".","")))</f>
        <v>Small Business</v>
      </c>
      <c r="Q571" s="3" t="s">
        <v>73</v>
      </c>
      <c r="R571" s="7" t="str">
        <f>PROPER(TRIM(SUBSTITUTE(Q571,"  "," ")))</f>
        <v>West</v>
      </c>
      <c r="S571" s="3" t="s">
        <v>249</v>
      </c>
      <c r="T571" s="6" t="str">
        <f>PROPER(TRIM(SUBSTITUTE(S571,"  "," ")))</f>
        <v>Goa</v>
      </c>
      <c r="U571" s="3" t="s">
        <v>250</v>
      </c>
      <c r="V571" s="6" t="str">
        <f>PROPER(TRIM(SUBSTITUTE(U571,"  "," ")))</f>
        <v>Panaji</v>
      </c>
      <c r="W571" s="3" t="s">
        <v>30</v>
      </c>
      <c r="X571" s="6" t="str">
        <f>PROPER(TRIM(SUBSTITUTE(W571,"  "," ")))</f>
        <v>Office Supplies</v>
      </c>
      <c r="Y571" s="3" t="s">
        <v>31</v>
      </c>
      <c r="Z571" s="6" t="str">
        <f>PROPER(TRIM(SUBSTITUTE(Y571,"  "," ")))</f>
        <v>Paper</v>
      </c>
      <c r="AA571" s="3" t="s">
        <v>817</v>
      </c>
      <c r="AB571" s="3" t="s">
        <v>67</v>
      </c>
      <c r="AC571" s="6" t="str">
        <f>PROPER(TRIM(SUBSTITUTE(AB571,"  "," ")))</f>
        <v>Standard Class</v>
      </c>
      <c r="AD571" s="3">
        <v>4</v>
      </c>
      <c r="AE571" s="3">
        <v>4182.1499999999996</v>
      </c>
      <c r="AF571" s="3">
        <v>0.1</v>
      </c>
      <c r="AG571" s="17">
        <v>0.1</v>
      </c>
      <c r="AH571" s="6" t="str">
        <f t="shared" si="67"/>
        <v>Valid</v>
      </c>
      <c r="AI571" s="3">
        <v>15055.74</v>
      </c>
      <c r="AJ571" s="3">
        <v>9808.83</v>
      </c>
      <c r="AK571" s="3">
        <v>5246.91</v>
      </c>
      <c r="AL571" s="3" t="s">
        <v>34</v>
      </c>
      <c r="AM571" s="6" t="str">
        <f>PROPER(TRIM(SUBSTITUTE(AL571,".","")))</f>
        <v>Paid</v>
      </c>
      <c r="AN571" s="3" t="s">
        <v>35</v>
      </c>
      <c r="AO571" s="8" t="str">
        <f>PROPER(TRIM(SUBSTITUTE(AN571,".","")))</f>
        <v>Completed</v>
      </c>
      <c r="AP571" t="str">
        <f>IF(COUNTIF($A$2:$A$933, A571) &gt; 1, "Duplicate ID", "Unique")</f>
        <v>Unique</v>
      </c>
      <c r="AR571">
        <f t="shared" si="68"/>
        <v>15055.74</v>
      </c>
      <c r="AS571">
        <f t="shared" si="69"/>
        <v>5246.91</v>
      </c>
      <c r="AT571" s="15">
        <f t="shared" si="70"/>
        <v>0.34849897779850075</v>
      </c>
      <c r="AU571" t="str">
        <f t="shared" si="71"/>
        <v>Clean</v>
      </c>
      <c r="AV571" s="8" t="str">
        <f t="shared" si="72"/>
        <v>Active</v>
      </c>
    </row>
    <row r="572" spans="1:48">
      <c r="A572" s="3" t="s">
        <v>3964</v>
      </c>
      <c r="B572" s="3" t="s">
        <v>814</v>
      </c>
      <c r="C572" s="9">
        <f>IFERROR(DATEVALUE(TEXT(B572,"DD/MM/YYYY")), IF(ISNUMBER(B572), B572, ""))</f>
        <v>45758</v>
      </c>
      <c r="D572" s="9" t="str">
        <f>IF(B572="","Missing", IF(AND(ISNUMBER(B572)=FALSE, C572=""),"Invalid - Could Not Parse", IF(AND(ISNUMBER(B572)=FALSE, C572&lt;&gt;""),"Text - Converted to Date", IF(ISNUMBER(B572),"Valid","Check"))))</f>
        <v>Text - Converted to Date</v>
      </c>
      <c r="E572" s="5">
        <f t="shared" si="65"/>
        <v>4</v>
      </c>
      <c r="F572" s="5">
        <f t="shared" si="66"/>
        <v>2025</v>
      </c>
      <c r="G572" s="3" t="s">
        <v>2143</v>
      </c>
      <c r="H572" s="9">
        <f>IFERROR(DATEVALUE(TEXT(G572,"DD/MM/YYYY")), IF(ISNUMBER(G572), G572, ""))</f>
        <v>45762</v>
      </c>
      <c r="I572" s="9" t="str">
        <f>IF(G572="","Missing", IF(AND(ISNUMBER(G572)=FALSE, H572=""),"Invalid - Could Not Parse", IF(AND(ISNUMBER(G572)=FALSE, H572&lt;&gt;""),"Text - Converted to Date", IF(ISNUMBER(G572),"Valid","Check"))))</f>
        <v>Text - Converted to Date</v>
      </c>
      <c r="J572" s="9" t="str">
        <f>IF(OR(C572="", H572=""), "Cannot Check - Date Missing", IF(H572&lt;C572, "Invalid - Ship Before Order", "Valid"))</f>
        <v>Valid</v>
      </c>
      <c r="K572" s="5">
        <f>IF(OR(C572="", H572=""), "", IF(H572&lt;C572, "", H572-C572))</f>
        <v>4</v>
      </c>
      <c r="L572" s="3" t="s">
        <v>3965</v>
      </c>
      <c r="M572" s="3" t="s">
        <v>83</v>
      </c>
      <c r="N572" s="4" t="str">
        <f>TRIM(SUBSTITUTE(M572,"_"," "))</f>
        <v>Vikram Iyer</v>
      </c>
      <c r="O572" s="3" t="s">
        <v>115</v>
      </c>
      <c r="P572" s="6" t="str">
        <f>PROPER(TRIM(SUBSTITUTE(O572,".","")))</f>
        <v>Home Office</v>
      </c>
      <c r="Q572" s="3" t="s">
        <v>62</v>
      </c>
      <c r="R572" s="7" t="str">
        <f>PROPER(TRIM(SUBSTITUTE(Q572,"  "," ")))</f>
        <v>South</v>
      </c>
      <c r="S572" s="3" t="s">
        <v>229</v>
      </c>
      <c r="T572" s="6" t="str">
        <f>PROPER(TRIM(SUBSTITUTE(S572,"  "," ")))</f>
        <v>Karnataka</v>
      </c>
      <c r="U572" s="3" t="s">
        <v>230</v>
      </c>
      <c r="V572" s="6" t="str">
        <f>PROPER(TRIM(SUBSTITUTE(U572,"  "," ")))</f>
        <v>Bengaluru</v>
      </c>
      <c r="W572" s="3" t="s">
        <v>30</v>
      </c>
      <c r="X572" s="6" t="str">
        <f>PROPER(TRIM(SUBSTITUTE(W572,"  "," ")))</f>
        <v>Office Supplies</v>
      </c>
      <c r="Y572" s="3" t="s">
        <v>156</v>
      </c>
      <c r="Z572" s="6" t="str">
        <f>PROPER(TRIM(SUBSTITUTE(Y572,"  "," ")))</f>
        <v>Storage</v>
      </c>
      <c r="AA572" s="3" t="s">
        <v>3966</v>
      </c>
      <c r="AB572" s="3" t="s">
        <v>48</v>
      </c>
      <c r="AC572" s="6" t="str">
        <f>PROPER(TRIM(SUBSTITUTE(AB572,"  "," ")))</f>
        <v>Same Day</v>
      </c>
      <c r="AD572" s="3">
        <v>9</v>
      </c>
      <c r="AE572" s="3">
        <v>224.94</v>
      </c>
      <c r="AF572" s="3">
        <v>0.05</v>
      </c>
      <c r="AG572" s="17">
        <v>0.05</v>
      </c>
      <c r="AH572" s="6" t="str">
        <f t="shared" si="67"/>
        <v>Valid</v>
      </c>
      <c r="AI572" s="3">
        <v>1923.24</v>
      </c>
      <c r="AJ572" s="3">
        <v>1093.6600000000001</v>
      </c>
      <c r="AK572" s="3">
        <v>829.58</v>
      </c>
      <c r="AL572" s="3" t="s">
        <v>34</v>
      </c>
      <c r="AM572" s="6" t="str">
        <f>PROPER(TRIM(SUBSTITUTE(AL572,".","")))</f>
        <v>Paid</v>
      </c>
      <c r="AN572" s="3" t="s">
        <v>35</v>
      </c>
      <c r="AO572" s="8" t="str">
        <f>PROPER(TRIM(SUBSTITUTE(AN572,".","")))</f>
        <v>Completed</v>
      </c>
      <c r="AP572" t="str">
        <f>IF(COUNTIF($A$2:$A$933, A572) &gt; 1, "Duplicate ID", "Unique")</f>
        <v>Unique</v>
      </c>
      <c r="AR572">
        <f t="shared" si="68"/>
        <v>1923.2369999999999</v>
      </c>
      <c r="AS572">
        <f t="shared" si="69"/>
        <v>829.57699999999977</v>
      </c>
      <c r="AT572" s="15">
        <f t="shared" si="70"/>
        <v>0.43134413491420964</v>
      </c>
      <c r="AU572" t="str">
        <f t="shared" si="71"/>
        <v>Clean</v>
      </c>
      <c r="AV572" s="8" t="str">
        <f t="shared" si="72"/>
        <v>Active</v>
      </c>
    </row>
    <row r="573" spans="1:48">
      <c r="A573" s="3" t="s">
        <v>2146</v>
      </c>
      <c r="B573" s="3" t="s">
        <v>2147</v>
      </c>
      <c r="C573" s="9">
        <f>IFERROR(DATEVALUE(TEXT(B573,"DD/MM/YYYY")), IF(ISNUMBER(B573), B573, ""))</f>
        <v>45759</v>
      </c>
      <c r="D573" s="9" t="str">
        <f>IF(B573="","Missing", IF(AND(ISNUMBER(B573)=FALSE, C573=""),"Invalid - Could Not Parse", IF(AND(ISNUMBER(B573)=FALSE, C573&lt;&gt;""),"Text - Converted to Date", IF(ISNUMBER(B573),"Valid","Check"))))</f>
        <v>Text - Converted to Date</v>
      </c>
      <c r="E573" s="5">
        <f t="shared" si="65"/>
        <v>4</v>
      </c>
      <c r="F573" s="5">
        <f t="shared" si="66"/>
        <v>2025</v>
      </c>
      <c r="G573" s="3" t="s">
        <v>1028</v>
      </c>
      <c r="H573" s="9">
        <f>IFERROR(DATEVALUE(TEXT(G573,"DD/MM/YYYY")), IF(ISNUMBER(G573), G573, ""))</f>
        <v>45767</v>
      </c>
      <c r="I573" s="9" t="str">
        <f>IF(G573="","Missing", IF(AND(ISNUMBER(G573)=FALSE, H573=""),"Invalid - Could Not Parse", IF(AND(ISNUMBER(G573)=FALSE, H573&lt;&gt;""),"Text - Converted to Date", IF(ISNUMBER(G573),"Valid","Check"))))</f>
        <v>Text - Converted to Date</v>
      </c>
      <c r="J573" s="9" t="str">
        <f>IF(OR(C573="", H573=""), "Cannot Check - Date Missing", IF(H573&lt;C573, "Invalid - Ship Before Order", "Valid"))</f>
        <v>Valid</v>
      </c>
      <c r="K573" s="5">
        <f>IF(OR(C573="", H573=""), "", IF(H573&lt;C573, "", H573-C573))</f>
        <v>8</v>
      </c>
      <c r="L573" s="3" t="s">
        <v>2148</v>
      </c>
      <c r="M573" s="3" t="s">
        <v>366</v>
      </c>
      <c r="N573" s="4" t="str">
        <f>TRIM(SUBSTITUTE(M573,"_"," "))</f>
        <v>Kabir Singh</v>
      </c>
      <c r="O573" s="3" t="s">
        <v>115</v>
      </c>
      <c r="P573" s="6" t="str">
        <f>PROPER(TRIM(SUBSTITUTE(O573,".","")))</f>
        <v>Home Office</v>
      </c>
      <c r="Q573" s="3" t="s">
        <v>27</v>
      </c>
      <c r="R573" s="7" t="str">
        <f>PROPER(TRIM(SUBSTITUTE(Q573,"  "," ")))</f>
        <v>North</v>
      </c>
      <c r="S573" s="3" t="s">
        <v>506</v>
      </c>
      <c r="T573" s="6" t="str">
        <f>PROPER(TRIM(SUBSTITUTE(S573,"  "," ")))</f>
        <v>Delhi</v>
      </c>
      <c r="U573" s="3" t="s">
        <v>507</v>
      </c>
      <c r="V573" s="6" t="str">
        <f>PROPER(TRIM(SUBSTITUTE(U573,"  "," ")))</f>
        <v>New Delhi</v>
      </c>
      <c r="W573" s="3" t="s">
        <v>86</v>
      </c>
      <c r="X573" s="6" t="str">
        <f>PROPER(TRIM(SUBSTITUTE(W573,"  "," ")))</f>
        <v>Technology</v>
      </c>
      <c r="Y573" s="3" t="s">
        <v>382</v>
      </c>
      <c r="Z573" s="6" t="str">
        <f>PROPER(TRIM(SUBSTITUTE(Y573,"  "," ")))</f>
        <v>Machines</v>
      </c>
      <c r="AA573" s="3" t="s">
        <v>2149</v>
      </c>
      <c r="AB573" s="3" t="s">
        <v>67</v>
      </c>
      <c r="AC573" s="6" t="str">
        <f>PROPER(TRIM(SUBSTITUTE(AB573,"  "," ")))</f>
        <v>Standard Class</v>
      </c>
      <c r="AD573" s="3">
        <v>1</v>
      </c>
      <c r="AE573" s="3">
        <v>2737.71</v>
      </c>
      <c r="AF573" s="3">
        <v>0.15</v>
      </c>
      <c r="AG573" s="17">
        <v>0.15</v>
      </c>
      <c r="AH573" s="6" t="str">
        <f t="shared" si="67"/>
        <v>Valid</v>
      </c>
      <c r="AI573" s="3">
        <v>2327.0500000000002</v>
      </c>
      <c r="AJ573" s="3">
        <v>1919.42</v>
      </c>
      <c r="AK573" s="3">
        <v>407.63</v>
      </c>
      <c r="AL573" s="3" t="s">
        <v>34</v>
      </c>
      <c r="AM573" s="6" t="str">
        <f>PROPER(TRIM(SUBSTITUTE(AL573,".","")))</f>
        <v>Paid</v>
      </c>
      <c r="AN573" s="3" t="s">
        <v>78</v>
      </c>
      <c r="AO573" s="8" t="str">
        <f>PROPER(TRIM(SUBSTITUTE(AN573,".","")))</f>
        <v>Cancelled</v>
      </c>
      <c r="AP573" t="str">
        <f>IF(COUNTIF($A$2:$A$933, A573) &gt; 1, "Duplicate ID", "Unique")</f>
        <v>Unique</v>
      </c>
      <c r="AR573">
        <f t="shared" si="68"/>
        <v>2327.0535</v>
      </c>
      <c r="AS573">
        <f t="shared" si="69"/>
        <v>407.63349999999991</v>
      </c>
      <c r="AT573" s="15">
        <f t="shared" si="70"/>
        <v>0.17517152055163318</v>
      </c>
      <c r="AU573" t="str">
        <f t="shared" si="71"/>
        <v>Clean</v>
      </c>
      <c r="AV573" s="8" t="str">
        <f t="shared" si="72"/>
        <v>Cancelled</v>
      </c>
    </row>
    <row r="574" spans="1:48">
      <c r="A574" s="3" t="s">
        <v>2805</v>
      </c>
      <c r="B574" s="3" t="s">
        <v>2806</v>
      </c>
      <c r="C574" s="9">
        <f>IFERROR(DATEVALUE(TEXT(B574,"DD/MM/YYYY")), IF(ISNUMBER(B574), B574, ""))</f>
        <v>45759</v>
      </c>
      <c r="D574" s="9" t="str">
        <f>IF(B574="","Missing", IF(AND(ISNUMBER(B574)=FALSE, C574=""),"Invalid - Could Not Parse", IF(AND(ISNUMBER(B574)=FALSE, C574&lt;&gt;""),"Text - Converted to Date", IF(ISNUMBER(B574),"Valid","Check"))))</f>
        <v>Text - Converted to Date</v>
      </c>
      <c r="E574" s="5">
        <f t="shared" si="65"/>
        <v>4</v>
      </c>
      <c r="F574" s="5">
        <f t="shared" si="66"/>
        <v>2025</v>
      </c>
      <c r="G574" s="3" t="s">
        <v>2807</v>
      </c>
      <c r="H574" s="9">
        <f>IFERROR(DATEVALUE(TEXT(G574,"DD/MM/YYYY")), IF(ISNUMBER(G574), G574, ""))</f>
        <v>45759</v>
      </c>
      <c r="I574" s="9" t="str">
        <f>IF(G574="","Missing", IF(AND(ISNUMBER(G574)=FALSE, H574=""),"Invalid - Could Not Parse", IF(AND(ISNUMBER(G574)=FALSE, H574&lt;&gt;""),"Text - Converted to Date", IF(ISNUMBER(G574),"Valid","Check"))))</f>
        <v>Text - Converted to Date</v>
      </c>
      <c r="J574" s="9" t="str">
        <f>IF(OR(C574="", H574=""), "Cannot Check - Date Missing", IF(H574&lt;C574, "Invalid - Ship Before Order", "Valid"))</f>
        <v>Valid</v>
      </c>
      <c r="K574" s="5">
        <f>IF(OR(C574="", H574=""), "", IF(H574&lt;C574, "", H574-C574))</f>
        <v>0</v>
      </c>
      <c r="L574" s="3" t="s">
        <v>2808</v>
      </c>
      <c r="M574" s="3" t="s">
        <v>40</v>
      </c>
      <c r="N574" s="4" t="str">
        <f>TRIM(SUBSTITUTE(M574,"_"," "))</f>
        <v>Mira Das</v>
      </c>
      <c r="O574" s="3" t="s">
        <v>115</v>
      </c>
      <c r="P574" s="6" t="str">
        <f>PROPER(TRIM(SUBSTITUTE(O574,".","")))</f>
        <v>Home Office</v>
      </c>
      <c r="Q574" s="3" t="s">
        <v>27</v>
      </c>
      <c r="R574" s="7" t="str">
        <f>PROPER(TRIM(SUBSTITUTE(Q574,"  "," ")))</f>
        <v>North</v>
      </c>
      <c r="S574" s="3" t="s">
        <v>154</v>
      </c>
      <c r="T574" s="6" t="str">
        <f>PROPER(TRIM(SUBSTITUTE(S574,"  "," ")))</f>
        <v>Punjab</v>
      </c>
      <c r="U574" s="3" t="s">
        <v>155</v>
      </c>
      <c r="V574" s="6" t="str">
        <f>PROPER(TRIM(SUBSTITUTE(U574,"  "," ")))</f>
        <v>Ludhiana</v>
      </c>
      <c r="W574" s="3" t="s">
        <v>30</v>
      </c>
      <c r="X574" s="6" t="str">
        <f>PROPER(TRIM(SUBSTITUTE(W574,"  "," ")))</f>
        <v>Office Supplies</v>
      </c>
      <c r="Y574" s="3" t="s">
        <v>198</v>
      </c>
      <c r="Z574" s="6" t="str">
        <f>PROPER(TRIM(SUBSTITUTE(Y574,"  "," ")))</f>
        <v>Binders</v>
      </c>
      <c r="AA574" s="3" t="s">
        <v>2809</v>
      </c>
      <c r="AB574" s="3" t="s">
        <v>33</v>
      </c>
      <c r="AC574" s="6" t="str">
        <f>PROPER(TRIM(SUBSTITUTE(AB574,"  "," ")))</f>
        <v>Second Class</v>
      </c>
      <c r="AD574" s="3">
        <v>7</v>
      </c>
      <c r="AE574" s="3">
        <v>1334.2</v>
      </c>
      <c r="AF574" s="3">
        <v>0.2</v>
      </c>
      <c r="AG574" s="17">
        <v>0.2</v>
      </c>
      <c r="AH574" s="6" t="str">
        <f t="shared" si="67"/>
        <v>Valid</v>
      </c>
      <c r="AI574" s="3">
        <v>7471.52</v>
      </c>
      <c r="AJ574" s="3">
        <v>6184.32</v>
      </c>
      <c r="AK574" s="3">
        <v>1287.2</v>
      </c>
      <c r="AL574" s="3" t="s">
        <v>34</v>
      </c>
      <c r="AM574" s="6" t="str">
        <f>PROPER(TRIM(SUBSTITUTE(AL574,".","")))</f>
        <v>Paid</v>
      </c>
      <c r="AN574" s="3" t="s">
        <v>35</v>
      </c>
      <c r="AO574" s="8" t="str">
        <f>PROPER(TRIM(SUBSTITUTE(AN574,".","")))</f>
        <v>Completed</v>
      </c>
      <c r="AP574" t="str">
        <f>IF(COUNTIF($A$2:$A$933, A574) &gt; 1, "Duplicate ID", "Unique")</f>
        <v>Unique</v>
      </c>
      <c r="AR574">
        <f t="shared" si="68"/>
        <v>7471.52</v>
      </c>
      <c r="AS574">
        <f t="shared" si="69"/>
        <v>1287.2000000000007</v>
      </c>
      <c r="AT574" s="15">
        <f t="shared" si="70"/>
        <v>0.17228087457438387</v>
      </c>
      <c r="AU574" t="str">
        <f t="shared" si="71"/>
        <v>Clean</v>
      </c>
      <c r="AV574" s="8" t="str">
        <f t="shared" si="72"/>
        <v>Active</v>
      </c>
    </row>
    <row r="575" spans="1:48">
      <c r="A575" s="3" t="s">
        <v>3540</v>
      </c>
      <c r="B575" s="3" t="s">
        <v>1862</v>
      </c>
      <c r="C575" s="9">
        <f>IFERROR(DATEVALUE(TEXT(B575,"DD/MM/YYYY")), IF(ISNUMBER(B575), B575, ""))</f>
        <v>45760</v>
      </c>
      <c r="D575" s="9" t="str">
        <f>IF(B575="","Missing", IF(AND(ISNUMBER(B575)=FALSE, C575=""),"Invalid - Could Not Parse", IF(AND(ISNUMBER(B575)=FALSE, C575&lt;&gt;""),"Text - Converted to Date", IF(ISNUMBER(B575),"Valid","Check"))))</f>
        <v>Text - Converted to Date</v>
      </c>
      <c r="E575" s="5">
        <f t="shared" si="65"/>
        <v>4</v>
      </c>
      <c r="F575" s="5">
        <f t="shared" si="66"/>
        <v>2025</v>
      </c>
      <c r="G575" s="3" t="s">
        <v>2913</v>
      </c>
      <c r="H575" s="9">
        <f>IFERROR(DATEVALUE(TEXT(G575,"DD/MM/YYYY")), IF(ISNUMBER(G575), G575, ""))</f>
        <v>45760</v>
      </c>
      <c r="I575" s="9" t="str">
        <f>IF(G575="","Missing", IF(AND(ISNUMBER(G575)=FALSE, H575=""),"Invalid - Could Not Parse", IF(AND(ISNUMBER(G575)=FALSE, H575&lt;&gt;""),"Text - Converted to Date", IF(ISNUMBER(G575),"Valid","Check"))))</f>
        <v>Text - Converted to Date</v>
      </c>
      <c r="J575" s="9" t="str">
        <f>IF(OR(C575="", H575=""), "Cannot Check - Date Missing", IF(H575&lt;C575, "Invalid - Ship Before Order", "Valid"))</f>
        <v>Valid</v>
      </c>
      <c r="K575" s="5">
        <f>IF(OR(C575="", H575=""), "", IF(H575&lt;C575, "", H575-C575))</f>
        <v>0</v>
      </c>
      <c r="L575" s="3" t="s">
        <v>1354</v>
      </c>
      <c r="M575" s="3" t="s">
        <v>142</v>
      </c>
      <c r="N575" s="4" t="str">
        <f>TRIM(SUBSTITUTE(M575,"_"," "))</f>
        <v>Priya Menon</v>
      </c>
      <c r="O575" s="3" t="s">
        <v>108</v>
      </c>
      <c r="P575" s="6" t="str">
        <f>PROPER(TRIM(SUBSTITUTE(O575,".","")))</f>
        <v>Corporate</v>
      </c>
      <c r="Q575" s="3" t="s">
        <v>62</v>
      </c>
      <c r="R575" s="7" t="str">
        <f>PROPER(TRIM(SUBSTITUTE(Q575,"  "," ")))</f>
        <v>South</v>
      </c>
      <c r="S575" s="3" t="s">
        <v>242</v>
      </c>
      <c r="T575" s="6" t="str">
        <f>PROPER(TRIM(SUBSTITUTE(S575,"  "," ")))</f>
        <v>Kerala</v>
      </c>
      <c r="U575" s="3" t="s">
        <v>243</v>
      </c>
      <c r="V575" s="6" t="str">
        <f>PROPER(TRIM(SUBSTITUTE(U575,"  "," ")))</f>
        <v>Kochi</v>
      </c>
      <c r="W575" s="3" t="s">
        <v>45</v>
      </c>
      <c r="X575" s="6" t="str">
        <f>PROPER(TRIM(SUBSTITUTE(W575,"  "," ")))</f>
        <v>Furniture</v>
      </c>
      <c r="Y575" s="3" t="s">
        <v>204</v>
      </c>
      <c r="Z575" s="6" t="str">
        <f>PROPER(TRIM(SUBSTITUTE(Y575,"  "," ")))</f>
        <v>Bookcases</v>
      </c>
      <c r="AA575" s="3" t="s">
        <v>3541</v>
      </c>
      <c r="AB575" s="3" t="s">
        <v>56</v>
      </c>
      <c r="AC575" s="6" t="str">
        <f>PROPER(TRIM(SUBSTITUTE(AB575,"  "," ")))</f>
        <v>First Class</v>
      </c>
      <c r="AD575" s="3">
        <v>6</v>
      </c>
      <c r="AE575" s="3">
        <v>4414</v>
      </c>
      <c r="AF575" s="3">
        <v>0.05</v>
      </c>
      <c r="AG575" s="17">
        <v>0.05</v>
      </c>
      <c r="AH575" s="6" t="str">
        <f t="shared" si="67"/>
        <v>Valid</v>
      </c>
      <c r="AI575" s="3">
        <v>25159.8</v>
      </c>
      <c r="AJ575" s="3">
        <v>21606.83</v>
      </c>
      <c r="AK575" s="3">
        <v>3552.97</v>
      </c>
      <c r="AL575" s="3" t="s">
        <v>34</v>
      </c>
      <c r="AM575" s="6" t="str">
        <f>PROPER(TRIM(SUBSTITUTE(AL575,".","")))</f>
        <v>Paid</v>
      </c>
      <c r="AN575" s="3" t="s">
        <v>35</v>
      </c>
      <c r="AO575" s="8" t="str">
        <f>PROPER(TRIM(SUBSTITUTE(AN575,".","")))</f>
        <v>Completed</v>
      </c>
      <c r="AP575" t="str">
        <f>IF(COUNTIF($A$2:$A$933, A575) &gt; 1, "Duplicate ID", "Unique")</f>
        <v>Unique</v>
      </c>
      <c r="AR575">
        <f t="shared" si="68"/>
        <v>25159.8</v>
      </c>
      <c r="AS575">
        <f t="shared" si="69"/>
        <v>3552.9699999999975</v>
      </c>
      <c r="AT575" s="15">
        <f t="shared" si="70"/>
        <v>0.14121614639226057</v>
      </c>
      <c r="AU575" t="str">
        <f t="shared" si="71"/>
        <v>Clean</v>
      </c>
      <c r="AV575" s="8" t="str">
        <f t="shared" si="72"/>
        <v>Active</v>
      </c>
    </row>
    <row r="576" spans="1:48">
      <c r="A576" s="3" t="s">
        <v>3330</v>
      </c>
      <c r="B576" s="3" t="s">
        <v>2129</v>
      </c>
      <c r="C576" s="9">
        <f>IFERROR(DATEVALUE(TEXT(B576,"DD/MM/YYYY")), IF(ISNUMBER(B576), B576, ""))</f>
        <v>45332</v>
      </c>
      <c r="D576" s="9" t="str">
        <f>IF(B576="","Missing", IF(AND(ISNUMBER(B576)=FALSE, C576=""),"Invalid - Could Not Parse", IF(AND(ISNUMBER(B576)=FALSE, C576&lt;&gt;""),"Text - Converted to Date", IF(ISNUMBER(B576),"Valid","Check"))))</f>
        <v>Text - Converted to Date</v>
      </c>
      <c r="E576" s="5">
        <f t="shared" si="65"/>
        <v>2</v>
      </c>
      <c r="F576" s="5">
        <f t="shared" si="66"/>
        <v>2024</v>
      </c>
      <c r="G576" s="3" t="s">
        <v>3331</v>
      </c>
      <c r="H576" s="9">
        <f>IFERROR(DATEVALUE(TEXT(G576,"DD/MM/YYYY")), IF(ISNUMBER(G576), G576, ""))</f>
        <v>45340</v>
      </c>
      <c r="I576" s="9" t="str">
        <f>IF(G576="","Missing", IF(AND(ISNUMBER(G576)=FALSE, H576=""),"Invalid - Could Not Parse", IF(AND(ISNUMBER(G576)=FALSE, H576&lt;&gt;""),"Text - Converted to Date", IF(ISNUMBER(G576),"Valid","Check"))))</f>
        <v>Text - Converted to Date</v>
      </c>
      <c r="J576" s="9" t="str">
        <f>IF(OR(C576="", H576=""), "Cannot Check - Date Missing", IF(H576&lt;C576, "Invalid - Ship Before Order", "Valid"))</f>
        <v>Valid</v>
      </c>
      <c r="K576" s="5">
        <f>IF(OR(C576="", H576=""), "", IF(H576&lt;C576, "", H576-C576))</f>
        <v>8</v>
      </c>
      <c r="L576" s="3" t="s">
        <v>3332</v>
      </c>
      <c r="M576" s="3" t="s">
        <v>53</v>
      </c>
      <c r="N576" s="4" t="str">
        <f>TRIM(SUBSTITUTE(M576,"_"," "))</f>
        <v>Isha Nair</v>
      </c>
      <c r="O576" s="3" t="s">
        <v>115</v>
      </c>
      <c r="P576" s="6" t="str">
        <f>PROPER(TRIM(SUBSTITUTE(O576,".","")))</f>
        <v>Home Office</v>
      </c>
      <c r="Q576" s="3" t="s">
        <v>73</v>
      </c>
      <c r="R576" s="7" t="str">
        <f>PROPER(TRIM(SUBSTITUTE(Q576,"  "," ")))</f>
        <v>West</v>
      </c>
      <c r="S576" s="3" t="s">
        <v>84</v>
      </c>
      <c r="T576" s="6" t="str">
        <f>PROPER(TRIM(SUBSTITUTE(S576,"  "," ")))</f>
        <v>Madhya Pradesh</v>
      </c>
      <c r="U576" s="3" t="s">
        <v>85</v>
      </c>
      <c r="V576" s="6" t="str">
        <f>PROPER(TRIM(SUBSTITUTE(U576,"  "," ")))</f>
        <v>Indore</v>
      </c>
      <c r="W576" s="3" t="s">
        <v>45</v>
      </c>
      <c r="X576" s="6" t="str">
        <f>PROPER(TRIM(SUBSTITUTE(W576,"  "," ")))</f>
        <v>Furniture</v>
      </c>
      <c r="Y576" s="3" t="s">
        <v>76</v>
      </c>
      <c r="Z576" s="6" t="str">
        <f>PROPER(TRIM(SUBSTITUTE(Y576,"  "," ")))</f>
        <v>Chairs</v>
      </c>
      <c r="AA576" s="3" t="s">
        <v>3333</v>
      </c>
      <c r="AB576" s="3" t="s">
        <v>56</v>
      </c>
      <c r="AC576" s="6" t="str">
        <f>PROPER(TRIM(SUBSTITUTE(AB576,"  "," ")))</f>
        <v>First Class</v>
      </c>
      <c r="AD576" s="3">
        <v>7</v>
      </c>
      <c r="AE576" s="3">
        <v>1382.86</v>
      </c>
      <c r="AF576" s="3">
        <v>0</v>
      </c>
      <c r="AG576" s="17">
        <v>0</v>
      </c>
      <c r="AH576" s="6" t="str">
        <f t="shared" si="67"/>
        <v>Valid</v>
      </c>
      <c r="AI576" s="3">
        <v>9680.02</v>
      </c>
      <c r="AJ576" s="3">
        <v>6876.66</v>
      </c>
      <c r="AK576" s="3">
        <v>2803.36</v>
      </c>
      <c r="AL576" s="3" t="s">
        <v>34</v>
      </c>
      <c r="AM576" s="6" t="str">
        <f>PROPER(TRIM(SUBSTITUTE(AL576,".","")))</f>
        <v>Paid</v>
      </c>
      <c r="AN576" s="3" t="s">
        <v>35</v>
      </c>
      <c r="AO576" s="8" t="str">
        <f>PROPER(TRIM(SUBSTITUTE(AN576,".","")))</f>
        <v>Completed</v>
      </c>
      <c r="AP576" t="str">
        <f>IF(COUNTIF($A$2:$A$933, A576) &gt; 1, "Duplicate ID", "Unique")</f>
        <v>Unique</v>
      </c>
      <c r="AR576">
        <f t="shared" si="68"/>
        <v>9680.0199999999986</v>
      </c>
      <c r="AS576">
        <f t="shared" si="69"/>
        <v>2803.3599999999988</v>
      </c>
      <c r="AT576" s="15">
        <f t="shared" si="70"/>
        <v>0.28960270743242256</v>
      </c>
      <c r="AU576" t="str">
        <f t="shared" si="71"/>
        <v>Clean</v>
      </c>
      <c r="AV576" s="8" t="str">
        <f t="shared" si="72"/>
        <v>Active</v>
      </c>
    </row>
    <row r="577" spans="1:48">
      <c r="A577" s="3" t="s">
        <v>1961</v>
      </c>
      <c r="B577" s="3" t="s">
        <v>1962</v>
      </c>
      <c r="C577" s="9">
        <f>IFERROR(DATEVALUE(TEXT(B577,"DD/MM/YYYY")), IF(ISNUMBER(B577), B577, ""))</f>
        <v>45761</v>
      </c>
      <c r="D577" s="9" t="str">
        <f>IF(B577="","Missing", IF(AND(ISNUMBER(B577)=FALSE, C577=""),"Invalid - Could Not Parse", IF(AND(ISNUMBER(B577)=FALSE, C577&lt;&gt;""),"Text - Converted to Date", IF(ISNUMBER(B577),"Valid","Check"))))</f>
        <v>Text - Converted to Date</v>
      </c>
      <c r="E577" s="5">
        <f t="shared" si="65"/>
        <v>4</v>
      </c>
      <c r="F577" s="5">
        <f t="shared" si="66"/>
        <v>2025</v>
      </c>
      <c r="G577" s="3" t="s">
        <v>1963</v>
      </c>
      <c r="H577" s="9">
        <f>IFERROR(DATEVALUE(TEXT(G577,"DD/MM/YYYY")), IF(ISNUMBER(G577), G577, ""))</f>
        <v>45769</v>
      </c>
      <c r="I577" s="9" t="str">
        <f>IF(G577="","Missing", IF(AND(ISNUMBER(G577)=FALSE, H577=""),"Invalid - Could Not Parse", IF(AND(ISNUMBER(G577)=FALSE, H577&lt;&gt;""),"Text - Converted to Date", IF(ISNUMBER(G577),"Valid","Check"))))</f>
        <v>Text - Converted to Date</v>
      </c>
      <c r="J577" s="9" t="str">
        <f>IF(OR(C577="", H577=""), "Cannot Check - Date Missing", IF(H577&lt;C577, "Invalid - Ship Before Order", "Valid"))</f>
        <v>Valid</v>
      </c>
      <c r="K577" s="5">
        <f>IF(OR(C577="", H577=""), "", IF(H577&lt;C577, "", H577-C577))</f>
        <v>8</v>
      </c>
      <c r="L577" s="3" t="s">
        <v>1964</v>
      </c>
      <c r="M577" s="3" t="s">
        <v>107</v>
      </c>
      <c r="N577" s="4" t="str">
        <f>TRIM(SUBSTITUTE(M577,"_"," "))</f>
        <v>Aditi Sen</v>
      </c>
      <c r="O577" s="3" t="s">
        <v>41</v>
      </c>
      <c r="P577" s="6" t="str">
        <f>PROPER(TRIM(SUBSTITUTE(O577,".","")))</f>
        <v>Small Business</v>
      </c>
      <c r="Q577" s="3" t="s">
        <v>62</v>
      </c>
      <c r="R577" s="7" t="str">
        <f>PROPER(TRIM(SUBSTITUTE(Q577,"  "," ")))</f>
        <v>South</v>
      </c>
      <c r="S577" s="3" t="s">
        <v>229</v>
      </c>
      <c r="T577" s="6" t="str">
        <f>PROPER(TRIM(SUBSTITUTE(S577,"  "," ")))</f>
        <v>Karnataka</v>
      </c>
      <c r="U577" s="3" t="s">
        <v>230</v>
      </c>
      <c r="V577" s="6" t="str">
        <f>PROPER(TRIM(SUBSTITUTE(U577,"  "," ")))</f>
        <v>Bengaluru</v>
      </c>
      <c r="W577" s="3" t="s">
        <v>86</v>
      </c>
      <c r="X577" s="6" t="str">
        <f>PROPER(TRIM(SUBSTITUTE(W577,"  "," ")))</f>
        <v>Technology</v>
      </c>
      <c r="Y577" s="3" t="s">
        <v>382</v>
      </c>
      <c r="Z577" s="6" t="str">
        <f>PROPER(TRIM(SUBSTITUTE(Y577,"  "," ")))</f>
        <v>Machines</v>
      </c>
      <c r="AA577" s="3" t="s">
        <v>1965</v>
      </c>
      <c r="AB577" s="3" t="s">
        <v>67</v>
      </c>
      <c r="AC577" s="6" t="str">
        <f>PROPER(TRIM(SUBSTITUTE(AB577,"  "," ")))</f>
        <v>Standard Class</v>
      </c>
      <c r="AD577" s="3">
        <v>2</v>
      </c>
      <c r="AE577" s="3">
        <v>638.73</v>
      </c>
      <c r="AF577" s="3">
        <v>0.05</v>
      </c>
      <c r="AG577" s="17">
        <v>0.05</v>
      </c>
      <c r="AH577" s="6" t="str">
        <f t="shared" si="67"/>
        <v>Valid</v>
      </c>
      <c r="AI577" s="3">
        <v>1213.5899999999999</v>
      </c>
      <c r="AJ577" s="3">
        <v>956.22</v>
      </c>
      <c r="AK577" s="3">
        <v>257.37</v>
      </c>
      <c r="AL577" s="3" t="s">
        <v>34</v>
      </c>
      <c r="AM577" s="6" t="str">
        <f>PROPER(TRIM(SUBSTITUTE(AL577,".","")))</f>
        <v>Paid</v>
      </c>
      <c r="AN577" s="3" t="s">
        <v>35</v>
      </c>
      <c r="AO577" s="8" t="str">
        <f>PROPER(TRIM(SUBSTITUTE(AN577,".","")))</f>
        <v>Completed</v>
      </c>
      <c r="AP577" t="str">
        <f>IF(COUNTIF($A$2:$A$933, A577) &gt; 1, "Duplicate ID", "Unique")</f>
        <v>Unique</v>
      </c>
      <c r="AR577">
        <f t="shared" si="68"/>
        <v>1213.587</v>
      </c>
      <c r="AS577">
        <f t="shared" si="69"/>
        <v>257.36699999999996</v>
      </c>
      <c r="AT577" s="15">
        <f t="shared" si="70"/>
        <v>0.21207132245154239</v>
      </c>
      <c r="AU577" t="str">
        <f t="shared" si="71"/>
        <v>Clean</v>
      </c>
      <c r="AV577" s="8" t="str">
        <f t="shared" si="72"/>
        <v>Active</v>
      </c>
    </row>
    <row r="578" spans="1:48">
      <c r="A578" s="3" t="s">
        <v>2465</v>
      </c>
      <c r="B578" s="3" t="s">
        <v>2143</v>
      </c>
      <c r="C578" s="9">
        <f>IFERROR(DATEVALUE(TEXT(B578,"DD/MM/YYYY")), IF(ISNUMBER(B578), B578, ""))</f>
        <v>45762</v>
      </c>
      <c r="D578" s="9" t="str">
        <f>IF(B578="","Missing", IF(AND(ISNUMBER(B578)=FALSE, C578=""),"Invalid - Could Not Parse", IF(AND(ISNUMBER(B578)=FALSE, C578&lt;&gt;""),"Text - Converted to Date", IF(ISNUMBER(B578),"Valid","Check"))))</f>
        <v>Text - Converted to Date</v>
      </c>
      <c r="E578" s="5">
        <f t="shared" si="65"/>
        <v>4</v>
      </c>
      <c r="F578" s="5">
        <f t="shared" si="66"/>
        <v>2025</v>
      </c>
      <c r="G578" s="3" t="s">
        <v>2109</v>
      </c>
      <c r="H578" s="9">
        <f>IFERROR(DATEVALUE(TEXT(G578,"DD/MM/YYYY")), IF(ISNUMBER(G578), G578, ""))</f>
        <v>45769</v>
      </c>
      <c r="I578" s="9" t="str">
        <f>IF(G578="","Missing", IF(AND(ISNUMBER(G578)=FALSE, H578=""),"Invalid - Could Not Parse", IF(AND(ISNUMBER(G578)=FALSE, H578&lt;&gt;""),"Text - Converted to Date", IF(ISNUMBER(G578),"Valid","Check"))))</f>
        <v>Text - Converted to Date</v>
      </c>
      <c r="J578" s="9" t="str">
        <f>IF(OR(C578="", H578=""), "Cannot Check - Date Missing", IF(H578&lt;C578, "Invalid - Ship Before Order", "Valid"))</f>
        <v>Valid</v>
      </c>
      <c r="K578" s="5">
        <f>IF(OR(C578="", H578=""), "", IF(H578&lt;C578, "", H578-C578))</f>
        <v>7</v>
      </c>
      <c r="L578" s="3" t="s">
        <v>2466</v>
      </c>
      <c r="M578" s="3" t="s">
        <v>53</v>
      </c>
      <c r="N578" s="4" t="str">
        <f>TRIM(SUBSTITUTE(M578,"_"," "))</f>
        <v>Isha Nair</v>
      </c>
      <c r="O578" s="3" t="s">
        <v>41</v>
      </c>
      <c r="P578" s="6" t="str">
        <f>PROPER(TRIM(SUBSTITUTE(O578,".","")))</f>
        <v>Small Business</v>
      </c>
      <c r="Q578" s="3" t="s">
        <v>27</v>
      </c>
      <c r="R578" s="7" t="str">
        <f>PROPER(TRIM(SUBSTITUTE(Q578,"  "," ")))</f>
        <v>North</v>
      </c>
      <c r="S578" s="3" t="s">
        <v>323</v>
      </c>
      <c r="T578" s="6" t="str">
        <f>PROPER(TRIM(SUBSTITUTE(S578,"  "," ")))</f>
        <v>Haryana</v>
      </c>
      <c r="U578" s="3" t="s">
        <v>324</v>
      </c>
      <c r="V578" s="6" t="str">
        <f>PROPER(TRIM(SUBSTITUTE(U578,"  "," ")))</f>
        <v>Gurugram</v>
      </c>
      <c r="W578" s="3" t="s">
        <v>30</v>
      </c>
      <c r="X578" s="6" t="str">
        <f>PROPER(TRIM(SUBSTITUTE(W578,"  "," ")))</f>
        <v>Office Supplies</v>
      </c>
      <c r="Y578" s="3" t="s">
        <v>198</v>
      </c>
      <c r="Z578" s="6" t="str">
        <f>PROPER(TRIM(SUBSTITUTE(Y578,"  "," ")))</f>
        <v>Binders</v>
      </c>
      <c r="AA578" s="3" t="s">
        <v>2467</v>
      </c>
      <c r="AB578" s="3" t="s">
        <v>48</v>
      </c>
      <c r="AC578" s="6" t="str">
        <f>PROPER(TRIM(SUBSTITUTE(AB578,"  "," ")))</f>
        <v>Same Day</v>
      </c>
      <c r="AD578" s="3">
        <v>4</v>
      </c>
      <c r="AE578" s="3">
        <v>2990.42</v>
      </c>
      <c r="AF578" s="3">
        <v>0.25</v>
      </c>
      <c r="AG578" s="17">
        <v>0.25</v>
      </c>
      <c r="AH578" s="6" t="str">
        <f t="shared" si="67"/>
        <v>Valid</v>
      </c>
      <c r="AI578" s="3">
        <v>8971.26</v>
      </c>
      <c r="AJ578" s="3">
        <v>6814.35</v>
      </c>
      <c r="AK578" s="3">
        <v>2156.91</v>
      </c>
      <c r="AL578" s="3" t="s">
        <v>34</v>
      </c>
      <c r="AM578" s="6" t="str">
        <f>PROPER(TRIM(SUBSTITUTE(AL578,".","")))</f>
        <v>Paid</v>
      </c>
      <c r="AN578" s="3" t="s">
        <v>35</v>
      </c>
      <c r="AO578" s="8" t="str">
        <f>PROPER(TRIM(SUBSTITUTE(AN578,".","")))</f>
        <v>Completed</v>
      </c>
      <c r="AP578" t="str">
        <f>IF(COUNTIF($A$2:$A$933, A578) &gt; 1, "Duplicate ID", "Unique")</f>
        <v>Unique</v>
      </c>
      <c r="AR578">
        <f t="shared" si="68"/>
        <v>8971.26</v>
      </c>
      <c r="AS578">
        <f t="shared" si="69"/>
        <v>2156.91</v>
      </c>
      <c r="AT578" s="15">
        <f t="shared" si="70"/>
        <v>0.24042442198754688</v>
      </c>
      <c r="AU578" t="str">
        <f t="shared" si="71"/>
        <v>Clean</v>
      </c>
      <c r="AV578" s="8" t="str">
        <f t="shared" si="72"/>
        <v>Active</v>
      </c>
    </row>
    <row r="579" spans="1:48">
      <c r="A579" s="3" t="s">
        <v>3890</v>
      </c>
      <c r="B579" s="3" t="s">
        <v>3891</v>
      </c>
      <c r="C579" s="9">
        <f>IFERROR(DATEVALUE(TEXT(B579,"DD/MM/YYYY")), IF(ISNUMBER(B579), B579, ""))</f>
        <v>45357</v>
      </c>
      <c r="D579" s="9" t="str">
        <f>IF(B579="","Missing", IF(AND(ISNUMBER(B579)=FALSE, C579=""),"Invalid - Could Not Parse", IF(AND(ISNUMBER(B579)=FALSE, C579&lt;&gt;""),"Text - Converted to Date", IF(ISNUMBER(B579),"Valid","Check"))))</f>
        <v>Text - Converted to Date</v>
      </c>
      <c r="E579" s="5">
        <f t="shared" ref="E579:E642" si="73">IFERROR(MONTH(C579), "")</f>
        <v>3</v>
      </c>
      <c r="F579" s="5">
        <f t="shared" ref="F579:F642" si="74">IFERROR(YEAR(C579), "")</f>
        <v>2024</v>
      </c>
      <c r="G579" s="3" t="s">
        <v>1071</v>
      </c>
      <c r="H579" s="9">
        <f>IFERROR(DATEVALUE(TEXT(G579,"DD/MM/YYYY")), IF(ISNUMBER(G579), G579, ""))</f>
        <v>45363</v>
      </c>
      <c r="I579" s="9" t="str">
        <f>IF(G579="","Missing", IF(AND(ISNUMBER(G579)=FALSE, H579=""),"Invalid - Could Not Parse", IF(AND(ISNUMBER(G579)=FALSE, H579&lt;&gt;""),"Text - Converted to Date", IF(ISNUMBER(G579),"Valid","Check"))))</f>
        <v>Text - Converted to Date</v>
      </c>
      <c r="J579" s="9" t="str">
        <f>IF(OR(C579="", H579=""), "Cannot Check - Date Missing", IF(H579&lt;C579, "Invalid - Ship Before Order", "Valid"))</f>
        <v>Valid</v>
      </c>
      <c r="K579" s="5">
        <f>IF(OR(C579="", H579=""), "", IF(H579&lt;C579, "", H579-C579))</f>
        <v>6</v>
      </c>
      <c r="L579" s="3" t="s">
        <v>3892</v>
      </c>
      <c r="M579" s="3" t="s">
        <v>53</v>
      </c>
      <c r="N579" s="4" t="str">
        <f>TRIM(SUBSTITUTE(M579,"_"," "))</f>
        <v>Isha Nair</v>
      </c>
      <c r="O579" s="3" t="s">
        <v>115</v>
      </c>
      <c r="P579" s="6" t="str">
        <f>PROPER(TRIM(SUBSTITUTE(O579,".","")))</f>
        <v>Home Office</v>
      </c>
      <c r="Q579" s="3" t="s">
        <v>73</v>
      </c>
      <c r="R579" s="7" t="str">
        <f>PROPER(TRIM(SUBSTITUTE(Q579,"  "," ")))</f>
        <v>West</v>
      </c>
      <c r="S579" s="3" t="s">
        <v>235</v>
      </c>
      <c r="T579" s="6" t="str">
        <f>PROPER(TRIM(SUBSTITUTE(S579,"  "," ")))</f>
        <v>Gujarat</v>
      </c>
      <c r="U579" s="3" t="s">
        <v>236</v>
      </c>
      <c r="V579" s="6" t="str">
        <f>PROPER(TRIM(SUBSTITUTE(U579,"  "," ")))</f>
        <v>Ahmedabad</v>
      </c>
      <c r="W579" s="3" t="s">
        <v>45</v>
      </c>
      <c r="X579" s="6" t="str">
        <f>PROPER(TRIM(SUBSTITUTE(W579,"  "," ")))</f>
        <v>Furniture</v>
      </c>
      <c r="Y579" s="3" t="s">
        <v>204</v>
      </c>
      <c r="Z579" s="6" t="str">
        <f>PROPER(TRIM(SUBSTITUTE(Y579,"  "," ")))</f>
        <v>Bookcases</v>
      </c>
      <c r="AA579" s="3" t="s">
        <v>3893</v>
      </c>
      <c r="AB579" s="3" t="s">
        <v>67</v>
      </c>
      <c r="AC579" s="6" t="str">
        <f>PROPER(TRIM(SUBSTITUTE(AB579,"  "," ")))</f>
        <v>Standard Class</v>
      </c>
      <c r="AD579" s="3">
        <v>3</v>
      </c>
      <c r="AE579" s="3">
        <v>679.63</v>
      </c>
      <c r="AF579" s="3">
        <v>0.2</v>
      </c>
      <c r="AG579" s="17">
        <v>0.2</v>
      </c>
      <c r="AH579" s="6" t="str">
        <f t="shared" ref="AH579:AH642" si="75">IF(ISBLANK(AF579), "Missing", IF(AF579 &lt; 0, "Invalid - Negative", IF(AF579 &gt; 0.5, "Invalid - Above Range", "Valid")))</f>
        <v>Valid</v>
      </c>
      <c r="AI579" s="3">
        <v>1631.11</v>
      </c>
      <c r="AJ579" s="3">
        <v>898.73</v>
      </c>
      <c r="AK579" s="3">
        <v>396.58</v>
      </c>
      <c r="AL579" s="3" t="s">
        <v>34</v>
      </c>
      <c r="AM579" s="6" t="str">
        <f>PROPER(TRIM(SUBSTITUTE(AL579,".","")))</f>
        <v>Paid</v>
      </c>
      <c r="AN579" s="3" t="s">
        <v>35</v>
      </c>
      <c r="AO579" s="8" t="str">
        <f>PROPER(TRIM(SUBSTITUTE(AN579,".","")))</f>
        <v>Completed</v>
      </c>
      <c r="AP579" t="str">
        <f>IF(COUNTIF($A$2:$A$933, A579) &gt; 1, "Duplicate ID", "Unique")</f>
        <v>Unique</v>
      </c>
      <c r="AR579">
        <f t="shared" ref="AR579:AR642" si="76">AD579 * AE579 * (1 - AG579)</f>
        <v>1631.1120000000001</v>
      </c>
      <c r="AS579">
        <f t="shared" ref="AS579:AS642" si="77">AR579-AJ579</f>
        <v>732.38200000000006</v>
      </c>
      <c r="AT579" s="15">
        <f t="shared" ref="AT579:AT642" si="78">IFERROR(AS579 / AR579, "")</f>
        <v>0.44900779345624336</v>
      </c>
      <c r="AU579" t="str">
        <f t="shared" ref="AU579:AU642" si="79">IF(OR(AH579="Invalid - Negative",AH579="Invalid - Above Range", J579="Invalid - Ship Before Order", AQ579="Conflicting Duplicate - Flagged"), "Invalid", IF(OR(R578="Unknown", AC578="Unknown", AH579="Missing"), "Warning", "Clean"))</f>
        <v>Clean</v>
      </c>
      <c r="AV579" s="8" t="str">
        <f t="shared" ref="AV579:AV642" si="80">IF(AM579 = "Refunded", "Refund", IF(AO579 = "Cancelled", "Cancelled", "Active"))</f>
        <v>Active</v>
      </c>
    </row>
    <row r="580" spans="1:48">
      <c r="A580" s="3" t="s">
        <v>458</v>
      </c>
      <c r="B580" s="3" t="s">
        <v>91</v>
      </c>
      <c r="C580" s="9">
        <v>45763</v>
      </c>
      <c r="D580" s="9" t="str">
        <f>IF(B580="","Missing", IF(AND(ISNUMBER(B580)=FALSE, C580=""),"Invalid - Could Not Parse", IF(AND(ISNUMBER(B580)=FALSE, C580&lt;&gt;""),"Text - Converted to Date", IF(ISNUMBER(B580),"Valid","Check"))))</f>
        <v>Text - Converted to Date</v>
      </c>
      <c r="E580" s="5">
        <f t="shared" si="73"/>
        <v>4</v>
      </c>
      <c r="F580" s="5">
        <f t="shared" si="74"/>
        <v>2025</v>
      </c>
      <c r="G580" s="3" t="s">
        <v>459</v>
      </c>
      <c r="H580" s="9">
        <f>IFERROR(DATEVALUE(TEXT(G580,"DD/MM/YYYY")), IF(ISNUMBER(G580), G580, ""))</f>
        <v>45770</v>
      </c>
      <c r="I580" s="9" t="str">
        <f>IF(G580="","Missing", IF(AND(ISNUMBER(G580)=FALSE, H580=""),"Invalid - Could Not Parse", IF(AND(ISNUMBER(G580)=FALSE, H580&lt;&gt;""),"Text - Converted to Date", IF(ISNUMBER(G580),"Valid","Check"))))</f>
        <v>Text - Converted to Date</v>
      </c>
      <c r="J580" s="9" t="str">
        <f>IF(OR(C580="", H580=""), "Cannot Check - Date Missing", IF(H580&lt;C580, "Invalid - Ship Before Order", "Valid"))</f>
        <v>Valid</v>
      </c>
      <c r="K580" s="5">
        <f>IF(OR(C580="", H580=""), "", IF(H580&lt;C580, "", H580-C580))</f>
        <v>7</v>
      </c>
      <c r="L580" s="3" t="s">
        <v>460</v>
      </c>
      <c r="M580" s="3" t="s">
        <v>40</v>
      </c>
      <c r="N580" s="4" t="str">
        <f>TRIM(SUBSTITUTE(M580,"_"," "))</f>
        <v>Mira Das</v>
      </c>
      <c r="O580" s="3" t="s">
        <v>41</v>
      </c>
      <c r="P580" s="6" t="str">
        <f>PROPER(TRIM(SUBSTITUTE(O580,".","")))</f>
        <v>Small Business</v>
      </c>
      <c r="Q580" s="3" t="s">
        <v>73</v>
      </c>
      <c r="R580" s="7" t="str">
        <f>PROPER(TRIM(SUBSTITUTE(Q580,"  "," ")))</f>
        <v>West</v>
      </c>
      <c r="S580" s="3" t="s">
        <v>249</v>
      </c>
      <c r="T580" s="6" t="str">
        <f>PROPER(TRIM(SUBSTITUTE(S580,"  "," ")))</f>
        <v>Goa</v>
      </c>
      <c r="U580" s="3" t="s">
        <v>250</v>
      </c>
      <c r="V580" s="6" t="str">
        <f>PROPER(TRIM(SUBSTITUTE(U580,"  "," ")))</f>
        <v>Panaji</v>
      </c>
      <c r="W580" s="3" t="s">
        <v>86</v>
      </c>
      <c r="X580" s="6" t="str">
        <f>PROPER(TRIM(SUBSTITUTE(W580,"  "," ")))</f>
        <v>Technology</v>
      </c>
      <c r="Y580" s="3" t="s">
        <v>382</v>
      </c>
      <c r="Z580" s="6" t="str">
        <f>PROPER(TRIM(SUBSTITUTE(Y580,"  "," ")))</f>
        <v>Machines</v>
      </c>
      <c r="AA580" s="3" t="s">
        <v>461</v>
      </c>
      <c r="AB580" s="3" t="s">
        <v>67</v>
      </c>
      <c r="AC580" s="6" t="str">
        <f>PROPER(TRIM(SUBSTITUTE(AB580,"  "," ")))</f>
        <v>Standard Class</v>
      </c>
      <c r="AD580" s="3">
        <v>6</v>
      </c>
      <c r="AE580" s="3">
        <v>2027.32</v>
      </c>
      <c r="AF580" s="3">
        <v>0.1</v>
      </c>
      <c r="AG580" s="17">
        <v>0.1</v>
      </c>
      <c r="AH580" s="6" t="str">
        <f t="shared" si="75"/>
        <v>Valid</v>
      </c>
      <c r="AI580" s="3">
        <v>10947.53</v>
      </c>
      <c r="AJ580" s="3">
        <v>6447.36</v>
      </c>
      <c r="AK580" s="3">
        <v>4500.17</v>
      </c>
      <c r="AL580" s="3" t="s">
        <v>34</v>
      </c>
      <c r="AM580" s="6" t="str">
        <f>PROPER(TRIM(SUBSTITUTE(AL580,".","")))</f>
        <v>Paid</v>
      </c>
      <c r="AN580" s="3" t="s">
        <v>35</v>
      </c>
      <c r="AO580" s="8" t="str">
        <f>PROPER(TRIM(SUBSTITUTE(AN580,".","")))</f>
        <v>Completed</v>
      </c>
      <c r="AP580" t="str">
        <f>IF(COUNTIF($A$2:$A$933, A580) &gt; 1, "Duplicate ID", "Unique")</f>
        <v>Unique</v>
      </c>
      <c r="AR580">
        <f t="shared" si="76"/>
        <v>10947.528</v>
      </c>
      <c r="AS580">
        <f t="shared" si="77"/>
        <v>4500.1680000000006</v>
      </c>
      <c r="AT580" s="15">
        <f t="shared" si="78"/>
        <v>0.41106704636882413</v>
      </c>
      <c r="AU580" t="str">
        <f t="shared" si="79"/>
        <v>Clean</v>
      </c>
      <c r="AV580" s="8" t="str">
        <f t="shared" si="80"/>
        <v>Active</v>
      </c>
    </row>
    <row r="581" spans="1:48">
      <c r="A581" s="3" t="s">
        <v>3788</v>
      </c>
      <c r="B581" s="3" t="s">
        <v>3789</v>
      </c>
      <c r="C581" s="9">
        <f>IFERROR(DATEVALUE(TEXT(B581,"DD/MM/YYYY")), IF(ISNUMBER(B581), B581, ""))</f>
        <v>45763</v>
      </c>
      <c r="D581" s="9" t="str">
        <f>IF(B581="","Missing", IF(AND(ISNUMBER(B581)=FALSE, C581=""),"Invalid - Could Not Parse", IF(AND(ISNUMBER(B581)=FALSE, C581&lt;&gt;""),"Text - Converted to Date", IF(ISNUMBER(B581),"Valid","Check"))))</f>
        <v>Text - Converted to Date</v>
      </c>
      <c r="E581" s="5">
        <f t="shared" si="73"/>
        <v>4</v>
      </c>
      <c r="F581" s="5">
        <f t="shared" si="74"/>
        <v>2025</v>
      </c>
      <c r="G581" s="3" t="s">
        <v>3790</v>
      </c>
      <c r="H581" s="9">
        <f>IFERROR(DATEVALUE(TEXT(G581,"DD/MM/YYYY")), IF(ISNUMBER(G581), G581, ""))</f>
        <v>45764</v>
      </c>
      <c r="I581" s="9" t="str">
        <f>IF(G581="","Missing", IF(AND(ISNUMBER(G581)=FALSE, H581=""),"Invalid - Could Not Parse", IF(AND(ISNUMBER(G581)=FALSE, H581&lt;&gt;""),"Text - Converted to Date", IF(ISNUMBER(G581),"Valid","Check"))))</f>
        <v>Text - Converted to Date</v>
      </c>
      <c r="J581" s="9" t="str">
        <f>IF(OR(C581="", H581=""), "Cannot Check - Date Missing", IF(H581&lt;C581, "Invalid - Ship Before Order", "Valid"))</f>
        <v>Valid</v>
      </c>
      <c r="K581" s="5">
        <f>IF(OR(C581="", H581=""), "", IF(H581&lt;C581, "", H581-C581))</f>
        <v>1</v>
      </c>
      <c r="L581" s="3" t="s">
        <v>3791</v>
      </c>
      <c r="M581" s="3" t="s">
        <v>83</v>
      </c>
      <c r="N581" s="4" t="str">
        <f>TRIM(SUBSTITUTE(M581,"_"," "))</f>
        <v>Vikram Iyer</v>
      </c>
      <c r="O581" s="3" t="s">
        <v>41</v>
      </c>
      <c r="P581" s="6" t="str">
        <f>PROPER(TRIM(SUBSTITUTE(O581,".","")))</f>
        <v>Small Business</v>
      </c>
      <c r="Q581" s="3" t="s">
        <v>27</v>
      </c>
      <c r="R581" s="7" t="str">
        <f>PROPER(TRIM(SUBSTITUTE(Q581,"  "," ")))</f>
        <v>North</v>
      </c>
      <c r="S581" s="3" t="s">
        <v>174</v>
      </c>
      <c r="T581" s="6" t="str">
        <f>PROPER(TRIM(SUBSTITUTE(S581,"  "," ")))</f>
        <v>Uttar Pradesh</v>
      </c>
      <c r="U581" s="3" t="s">
        <v>175</v>
      </c>
      <c r="V581" s="6" t="str">
        <f>PROPER(TRIM(SUBSTITUTE(U581,"  "," ")))</f>
        <v>Noida</v>
      </c>
      <c r="W581" s="3" t="s">
        <v>86</v>
      </c>
      <c r="X581" s="6" t="str">
        <f>PROPER(TRIM(SUBSTITUTE(W581,"  "," ")))</f>
        <v>Technology</v>
      </c>
      <c r="Y581" s="3" t="s">
        <v>382</v>
      </c>
      <c r="Z581" s="6" t="str">
        <f>PROPER(TRIM(SUBSTITUTE(Y581,"  "," ")))</f>
        <v>Machines</v>
      </c>
      <c r="AA581" s="3" t="s">
        <v>3792</v>
      </c>
      <c r="AB581" s="3" t="s">
        <v>56</v>
      </c>
      <c r="AC581" s="6" t="str">
        <f>PROPER(TRIM(SUBSTITUTE(AB581,"  "," ")))</f>
        <v>First Class</v>
      </c>
      <c r="AD581" s="3">
        <v>1</v>
      </c>
      <c r="AE581" s="3">
        <v>2720.17</v>
      </c>
      <c r="AF581" s="3">
        <v>0</v>
      </c>
      <c r="AG581" s="17">
        <v>0</v>
      </c>
      <c r="AH581" s="6" t="str">
        <f t="shared" si="75"/>
        <v>Valid</v>
      </c>
      <c r="AI581" s="3">
        <v>2720.17</v>
      </c>
      <c r="AJ581" s="3">
        <v>1834.23</v>
      </c>
      <c r="AK581" s="3">
        <v>885.94</v>
      </c>
      <c r="AL581" s="3" t="s">
        <v>34</v>
      </c>
      <c r="AM581" s="6" t="str">
        <f>PROPER(TRIM(SUBSTITUTE(AL581,".","")))</f>
        <v>Paid</v>
      </c>
      <c r="AN581" s="3" t="s">
        <v>35</v>
      </c>
      <c r="AO581" s="8" t="str">
        <f>PROPER(TRIM(SUBSTITUTE(AN581,".","")))</f>
        <v>Completed</v>
      </c>
      <c r="AP581" t="str">
        <f>IF(COUNTIF($A$2:$A$933, A581) &gt; 1, "Duplicate ID", "Unique")</f>
        <v>Unique</v>
      </c>
      <c r="AR581">
        <f t="shared" si="76"/>
        <v>2720.17</v>
      </c>
      <c r="AS581">
        <f t="shared" si="77"/>
        <v>885.94</v>
      </c>
      <c r="AT581" s="15">
        <f t="shared" si="78"/>
        <v>0.3256928794891496</v>
      </c>
      <c r="AU581" t="str">
        <f t="shared" si="79"/>
        <v>Clean</v>
      </c>
      <c r="AV581" s="8" t="str">
        <f t="shared" si="80"/>
        <v>Active</v>
      </c>
    </row>
    <row r="582" spans="1:48">
      <c r="A582" s="3" t="s">
        <v>1027</v>
      </c>
      <c r="B582" s="3" t="s">
        <v>1028</v>
      </c>
      <c r="C582" s="9">
        <f>IFERROR(DATEVALUE(TEXT(B582,"DD/MM/YYYY")), IF(ISNUMBER(B582), B582, ""))</f>
        <v>45767</v>
      </c>
      <c r="D582" s="9" t="str">
        <f>IF(B582="","Missing", IF(AND(ISNUMBER(B582)=FALSE, C582=""),"Invalid - Could Not Parse", IF(AND(ISNUMBER(B582)=FALSE, C582&lt;&gt;""),"Text - Converted to Date", IF(ISNUMBER(B582),"Valid","Check"))))</f>
        <v>Text - Converted to Date</v>
      </c>
      <c r="E582" s="5">
        <f t="shared" si="73"/>
        <v>4</v>
      </c>
      <c r="F582" s="5">
        <f t="shared" si="74"/>
        <v>2025</v>
      </c>
      <c r="G582" s="3" t="s">
        <v>1029</v>
      </c>
      <c r="H582" s="9">
        <f>IFERROR(DATEVALUE(MID(G582,4,2) &amp; "/" &amp; LEFT(G582,2) &amp; "/" &amp; RIGHT(G582,4)), IF(ISNUMBER(G582), G582, IFERROR(DATEVALUE(G582), "")))</f>
        <v>45768</v>
      </c>
      <c r="I582" s="9" t="str">
        <f>IF(G582="","Missing", IF(AND(ISNUMBER(G582)=FALSE, H582=""),"Invalid - Could Not Parse", IF(AND(ISNUMBER(G582)=FALSE, H582&lt;&gt;""),"Text - Converted to Date", IF(ISNUMBER(G582),"Valid","Check"))))</f>
        <v>Text - Converted to Date</v>
      </c>
      <c r="J582" s="9" t="str">
        <f>IF(OR(C582="", H582=""), "Cannot Check - Date Missing", IF(H582&lt;C582, "Invalid - Ship Before Order", "Valid"))</f>
        <v>Valid</v>
      </c>
      <c r="K582" s="5">
        <f>IF(OR(C582="", H582=""), "", IF(H582&lt;C582, "", H582-C582))</f>
        <v>1</v>
      </c>
      <c r="L582" s="3" t="s">
        <v>1030</v>
      </c>
      <c r="M582" s="3" t="s">
        <v>107</v>
      </c>
      <c r="N582" s="4" t="str">
        <f>TRIM(SUBSTITUTE(M582,"_"," "))</f>
        <v>Aditi Sen</v>
      </c>
      <c r="O582" s="3" t="s">
        <v>26</v>
      </c>
      <c r="P582" s="6" t="str">
        <f>PROPER(TRIM(SUBSTITUTE(O582,".","")))</f>
        <v>Consumer</v>
      </c>
      <c r="Q582" s="3" t="s">
        <v>62</v>
      </c>
      <c r="R582" s="7" t="str">
        <f>PROPER(TRIM(SUBSTITUTE(Q582,"  "," ")))</f>
        <v>South</v>
      </c>
      <c r="S582" s="3" t="s">
        <v>339</v>
      </c>
      <c r="T582" s="6" t="str">
        <f>PROPER(TRIM(SUBSTITUTE(S582,"  "," ")))</f>
        <v>Tamil Nadu</v>
      </c>
      <c r="U582" s="3" t="s">
        <v>340</v>
      </c>
      <c r="V582" s="6" t="str">
        <f>PROPER(TRIM(SUBSTITUTE(U582,"  "," ")))</f>
        <v>Chennai</v>
      </c>
      <c r="W582" s="3" t="s">
        <v>30</v>
      </c>
      <c r="X582" s="6" t="str">
        <f>PROPER(TRIM(SUBSTITUTE(W582,"  "," ")))</f>
        <v>Office Supplies</v>
      </c>
      <c r="Y582" s="3" t="s">
        <v>156</v>
      </c>
      <c r="Z582" s="6" t="str">
        <f>PROPER(TRIM(SUBSTITUTE(Y582,"  "," ")))</f>
        <v>Storage</v>
      </c>
      <c r="AA582" s="3" t="s">
        <v>1031</v>
      </c>
      <c r="AB582" s="3" t="s">
        <v>56</v>
      </c>
      <c r="AC582" s="6" t="str">
        <f>PROPER(TRIM(SUBSTITUTE(AB582,"  "," ")))</f>
        <v>First Class</v>
      </c>
      <c r="AD582" s="3">
        <v>3</v>
      </c>
      <c r="AE582" s="3">
        <v>540.09</v>
      </c>
      <c r="AF582" s="3">
        <v>0.1</v>
      </c>
      <c r="AG582" s="17">
        <v>0.1</v>
      </c>
      <c r="AH582" s="6" t="str">
        <f t="shared" si="75"/>
        <v>Valid</v>
      </c>
      <c r="AI582" s="3">
        <v>1458.24</v>
      </c>
      <c r="AJ582" s="3">
        <v>943.32</v>
      </c>
      <c r="AK582" s="3">
        <v>514.91999999999996</v>
      </c>
      <c r="AL582" s="3" t="s">
        <v>34</v>
      </c>
      <c r="AM582" s="6" t="str">
        <f>PROPER(TRIM(SUBSTITUTE(AL582,".","")))</f>
        <v>Paid</v>
      </c>
      <c r="AN582" s="3" t="s">
        <v>35</v>
      </c>
      <c r="AO582" s="8" t="str">
        <f>PROPER(TRIM(SUBSTITUTE(AN582,".","")))</f>
        <v>Completed</v>
      </c>
      <c r="AP582" t="str">
        <f>IF(COUNTIF($A$2:$A$933, A582) &gt; 1, "Duplicate ID", "Unique")</f>
        <v>Unique</v>
      </c>
      <c r="AR582">
        <f t="shared" si="76"/>
        <v>1458.2429999999999</v>
      </c>
      <c r="AS582">
        <f t="shared" si="77"/>
        <v>514.92299999999989</v>
      </c>
      <c r="AT582" s="15">
        <f t="shared" si="78"/>
        <v>0.35311192990468659</v>
      </c>
      <c r="AU582" t="str">
        <f t="shared" si="79"/>
        <v>Clean</v>
      </c>
      <c r="AV582" s="8" t="str">
        <f t="shared" si="80"/>
        <v>Active</v>
      </c>
    </row>
    <row r="583" spans="1:48">
      <c r="A583" s="3" t="s">
        <v>1098</v>
      </c>
      <c r="B583" s="3" t="s">
        <v>1099</v>
      </c>
      <c r="C583" s="9">
        <f>IFERROR(DATEVALUE(TEXT(B583,"DD/MM/YYYY")), IF(ISNUMBER(B583), B583, ""))</f>
        <v>45768</v>
      </c>
      <c r="D583" s="9" t="str">
        <f>IF(B583="","Missing", IF(AND(ISNUMBER(B583)=FALSE, C583=""),"Invalid - Could Not Parse", IF(AND(ISNUMBER(B583)=FALSE, C583&lt;&gt;""),"Text - Converted to Date", IF(ISNUMBER(B583),"Valid","Check"))))</f>
        <v>Text - Converted to Date</v>
      </c>
      <c r="E583" s="5">
        <f t="shared" si="73"/>
        <v>4</v>
      </c>
      <c r="F583" s="5">
        <f t="shared" si="74"/>
        <v>2025</v>
      </c>
      <c r="G583" s="3" t="s">
        <v>1100</v>
      </c>
      <c r="H583" s="9">
        <f>IFERROR(DATEVALUE(MID(G583,4,2) &amp; "/" &amp; LEFT(G583,2) &amp; "/" &amp; RIGHT(G583,4)), IF(ISNUMBER(G583), G583, IFERROR(DATEVALUE(G583), "")))</f>
        <v>45773</v>
      </c>
      <c r="I583" s="9" t="str">
        <f>IF(G583="","Missing", IF(AND(ISNUMBER(G583)=FALSE, H583=""),"Invalid - Could Not Parse", IF(AND(ISNUMBER(G583)=FALSE, H583&lt;&gt;""),"Text - Converted to Date", IF(ISNUMBER(G583),"Valid","Check"))))</f>
        <v>Text - Converted to Date</v>
      </c>
      <c r="J583" s="9" t="str">
        <f>IF(OR(C583="", H583=""), "Cannot Check - Date Missing", IF(H583&lt;C583, "Invalid - Ship Before Order", "Valid"))</f>
        <v>Valid</v>
      </c>
      <c r="K583" s="5">
        <f>IF(OR(C583="", H583=""), "", IF(H583&lt;C583, "", H583-C583))</f>
        <v>5</v>
      </c>
      <c r="L583" s="3" t="s">
        <v>1101</v>
      </c>
      <c r="M583" s="3" t="s">
        <v>72</v>
      </c>
      <c r="N583" s="4" t="str">
        <f>TRIM(SUBSTITUTE(M583,"_"," "))</f>
        <v>Ananya Rao</v>
      </c>
      <c r="O583" s="3" t="s">
        <v>26</v>
      </c>
      <c r="P583" s="6" t="str">
        <f>PROPER(TRIM(SUBSTITUTE(O583,".","")))</f>
        <v>Consumer</v>
      </c>
      <c r="Q583" s="3" t="s">
        <v>73</v>
      </c>
      <c r="R583" s="7" t="str">
        <f>PROPER(TRIM(SUBSTITUTE(Q583,"  "," ")))</f>
        <v>West</v>
      </c>
      <c r="S583" s="3" t="s">
        <v>74</v>
      </c>
      <c r="T583" s="6" t="str">
        <f>PROPER(TRIM(SUBSTITUTE(S583,"  "," ")))</f>
        <v>Maharashtra</v>
      </c>
      <c r="U583" s="3" t="s">
        <v>75</v>
      </c>
      <c r="V583" s="6" t="str">
        <f>PROPER(TRIM(SUBSTITUTE(U583,"  "," ")))</f>
        <v>Mumbai</v>
      </c>
      <c r="W583" s="3" t="s">
        <v>918</v>
      </c>
      <c r="X583" s="6" t="str">
        <f>PROPER(TRIM(SUBSTITUTE(W583,"  "," ")))</f>
        <v>Office Supplies</v>
      </c>
      <c r="Y583" s="3" t="s">
        <v>109</v>
      </c>
      <c r="Z583" s="6" t="str">
        <f>PROPER(TRIM(SUBSTITUTE(Y583,"  "," ")))</f>
        <v>Labels</v>
      </c>
      <c r="AA583" s="3" t="s">
        <v>1102</v>
      </c>
      <c r="AB583" s="3" t="s">
        <v>48</v>
      </c>
      <c r="AC583" s="6" t="str">
        <f>PROPER(TRIM(SUBSTITUTE(AB583,"  "," ")))</f>
        <v>Same Day</v>
      </c>
      <c r="AD583" s="3">
        <v>6</v>
      </c>
      <c r="AE583" s="3">
        <v>873.59</v>
      </c>
      <c r="AF583" s="3">
        <v>0.2</v>
      </c>
      <c r="AG583" s="17">
        <v>0.2</v>
      </c>
      <c r="AH583" s="6" t="str">
        <f t="shared" si="75"/>
        <v>Valid</v>
      </c>
      <c r="AI583" s="3">
        <v>4193.2299999999996</v>
      </c>
      <c r="AJ583" s="3">
        <v>3329.99</v>
      </c>
      <c r="AK583" s="3">
        <v>863.24</v>
      </c>
      <c r="AL583" s="3" t="s">
        <v>34</v>
      </c>
      <c r="AM583" s="6" t="str">
        <f>PROPER(TRIM(SUBSTITUTE(AL583,".","")))</f>
        <v>Paid</v>
      </c>
      <c r="AN583" s="3" t="s">
        <v>35</v>
      </c>
      <c r="AO583" s="8" t="str">
        <f>PROPER(TRIM(SUBSTITUTE(AN583,".","")))</f>
        <v>Completed</v>
      </c>
      <c r="AP583" t="str">
        <f>IF(COUNTIF($A$2:$A$933, A583) &gt; 1, "Duplicate ID", "Unique")</f>
        <v>Unique</v>
      </c>
      <c r="AR583">
        <f t="shared" si="76"/>
        <v>4193.232</v>
      </c>
      <c r="AS583">
        <f t="shared" si="77"/>
        <v>863.24200000000019</v>
      </c>
      <c r="AT583" s="15">
        <f t="shared" si="78"/>
        <v>0.2058655471483572</v>
      </c>
      <c r="AU583" t="str">
        <f t="shared" si="79"/>
        <v>Clean</v>
      </c>
      <c r="AV583" s="8" t="str">
        <f t="shared" si="80"/>
        <v>Active</v>
      </c>
    </row>
    <row r="584" spans="1:48">
      <c r="A584" s="3" t="s">
        <v>2108</v>
      </c>
      <c r="B584" s="3" t="s">
        <v>2109</v>
      </c>
      <c r="C584" s="9">
        <f>IFERROR(DATEVALUE(TEXT(B584,"DD/MM/YYYY")), IF(ISNUMBER(B584), B584, ""))</f>
        <v>45769</v>
      </c>
      <c r="D584" s="9" t="str">
        <f>IF(B584="","Missing", IF(AND(ISNUMBER(B584)=FALSE, C584=""),"Invalid - Could Not Parse", IF(AND(ISNUMBER(B584)=FALSE, C584&lt;&gt;""),"Text - Converted to Date", IF(ISNUMBER(B584),"Valid","Check"))))</f>
        <v>Text - Converted to Date</v>
      </c>
      <c r="E584" s="5">
        <f t="shared" si="73"/>
        <v>4</v>
      </c>
      <c r="F584" s="5">
        <f t="shared" si="74"/>
        <v>2025</v>
      </c>
      <c r="G584" s="3" t="s">
        <v>2110</v>
      </c>
      <c r="H584" s="9">
        <f>IFERROR(DATEVALUE(TEXT(G584,"DD/MM/YYYY")), IF(ISNUMBER(G584), G584, ""))</f>
        <v>45771</v>
      </c>
      <c r="I584" s="9" t="str">
        <f>IF(G584="","Missing", IF(AND(ISNUMBER(G584)=FALSE, H584=""),"Invalid - Could Not Parse", IF(AND(ISNUMBER(G584)=FALSE, H584&lt;&gt;""),"Text - Converted to Date", IF(ISNUMBER(G584),"Valid","Check"))))</f>
        <v>Text - Converted to Date</v>
      </c>
      <c r="J584" s="9" t="str">
        <f>IF(OR(C584="", H584=""), "Cannot Check - Date Missing", IF(H584&lt;C584, "Invalid - Ship Before Order", "Valid"))</f>
        <v>Valid</v>
      </c>
      <c r="K584" s="5">
        <f>IF(OR(C584="", H584=""), "", IF(H584&lt;C584, "", H584-C584))</f>
        <v>2</v>
      </c>
      <c r="L584" s="3" t="s">
        <v>2111</v>
      </c>
      <c r="M584" s="3" t="s">
        <v>53</v>
      </c>
      <c r="N584" s="4" t="str">
        <f>TRIM(SUBSTITUTE(M584,"_"," "))</f>
        <v>Isha Nair</v>
      </c>
      <c r="O584" s="3" t="s">
        <v>108</v>
      </c>
      <c r="P584" s="6" t="str">
        <f>PROPER(TRIM(SUBSTITUTE(O584,".","")))</f>
        <v>Corporate</v>
      </c>
      <c r="Q584" s="3"/>
      <c r="R584" s="6" t="str">
        <f>IF(ISBLANK(Q584), "Unknown", Q584)</f>
        <v>Unknown</v>
      </c>
      <c r="S584" s="3" t="s">
        <v>311</v>
      </c>
      <c r="T584" s="6" t="str">
        <f>PROPER(TRIM(SUBSTITUTE(S584,"  "," ")))</f>
        <v>Jharkhand</v>
      </c>
      <c r="U584" s="3" t="s">
        <v>312</v>
      </c>
      <c r="V584" s="6" t="str">
        <f>PROPER(TRIM(SUBSTITUTE(U584,"  "," ")))</f>
        <v>Ranchi</v>
      </c>
      <c r="W584" s="3" t="s">
        <v>86</v>
      </c>
      <c r="X584" s="6" t="str">
        <f>PROPER(TRIM(SUBSTITUTE(W584,"  "," ")))</f>
        <v>Technology</v>
      </c>
      <c r="Y584" s="3" t="s">
        <v>87</v>
      </c>
      <c r="Z584" s="6" t="str">
        <f>PROPER(TRIM(SUBSTITUTE(Y584,"  "," ")))</f>
        <v>Accessories</v>
      </c>
      <c r="AA584" s="3" t="s">
        <v>2112</v>
      </c>
      <c r="AB584" s="3" t="s">
        <v>286</v>
      </c>
      <c r="AC584" s="6" t="str">
        <f>PROPER(TRIM(SUBSTITUTE(AB584,"  "," ")))</f>
        <v>Standard Class</v>
      </c>
      <c r="AD584" s="3">
        <v>9</v>
      </c>
      <c r="AE584" s="3">
        <v>2939.44</v>
      </c>
      <c r="AF584" s="3">
        <v>0</v>
      </c>
      <c r="AG584" s="17">
        <v>0</v>
      </c>
      <c r="AH584" s="6" t="str">
        <f t="shared" si="75"/>
        <v>Valid</v>
      </c>
      <c r="AI584" s="3">
        <v>26454.959999999999</v>
      </c>
      <c r="AJ584" s="3">
        <v>17630.25</v>
      </c>
      <c r="AK584" s="3">
        <v>8824.7099999999991</v>
      </c>
      <c r="AL584" s="3" t="s">
        <v>34</v>
      </c>
      <c r="AM584" s="6" t="str">
        <f>PROPER(TRIM(SUBSTITUTE(AL584,".","")))</f>
        <v>Paid</v>
      </c>
      <c r="AN584" s="3" t="s">
        <v>35</v>
      </c>
      <c r="AO584" s="8" t="str">
        <f>PROPER(TRIM(SUBSTITUTE(AN584,".","")))</f>
        <v>Completed</v>
      </c>
      <c r="AP584" t="str">
        <f>IF(COUNTIF($A$2:$A$933, A584) &gt; 1, "Duplicate ID", "Unique")</f>
        <v>Unique</v>
      </c>
      <c r="AR584">
        <f t="shared" si="76"/>
        <v>26454.959999999999</v>
      </c>
      <c r="AS584">
        <f t="shared" si="77"/>
        <v>8824.7099999999991</v>
      </c>
      <c r="AT584" s="15">
        <f t="shared" si="78"/>
        <v>0.33357487594008833</v>
      </c>
      <c r="AU584" t="str">
        <f t="shared" si="79"/>
        <v>Clean</v>
      </c>
      <c r="AV584" s="8" t="str">
        <f t="shared" si="80"/>
        <v>Active</v>
      </c>
    </row>
    <row r="585" spans="1:48">
      <c r="A585" s="3" t="s">
        <v>4035</v>
      </c>
      <c r="B585" s="3" t="s">
        <v>4036</v>
      </c>
      <c r="C585" s="9">
        <f>IFERROR(DATEVALUE(TEXT(B585,"DD/MM/YYYY")), IF(ISNUMBER(B585), B585, ""))</f>
        <v>45773</v>
      </c>
      <c r="D585" s="9" t="str">
        <f>IF(B585="","Missing", IF(AND(ISNUMBER(B585)=FALSE, C585=""),"Invalid - Could Not Parse", IF(AND(ISNUMBER(B585)=FALSE, C585&lt;&gt;""),"Text - Converted to Date", IF(ISNUMBER(B585),"Valid","Check"))))</f>
        <v>Text - Converted to Date</v>
      </c>
      <c r="E585" s="5">
        <f t="shared" si="73"/>
        <v>4</v>
      </c>
      <c r="F585" s="5">
        <f t="shared" si="74"/>
        <v>2025</v>
      </c>
      <c r="G585" s="3" t="s">
        <v>4037</v>
      </c>
      <c r="H585" s="9">
        <f>IFERROR(DATEVALUE(TEXT(G585,"DD/MM/YYYY")), IF(ISNUMBER(G585), G585, ""))</f>
        <v>45780</v>
      </c>
      <c r="I585" s="9" t="str">
        <f>IF(G585="","Missing", IF(AND(ISNUMBER(G585)=FALSE, H585=""),"Invalid - Could Not Parse", IF(AND(ISNUMBER(G585)=FALSE, H585&lt;&gt;""),"Text - Converted to Date", IF(ISNUMBER(G585),"Valid","Check"))))</f>
        <v>Text - Converted to Date</v>
      </c>
      <c r="J585" s="9" t="str">
        <f>IF(OR(C585="", H585=""), "Cannot Check - Date Missing", IF(H585&lt;C585, "Invalid - Ship Before Order", "Valid"))</f>
        <v>Valid</v>
      </c>
      <c r="K585" s="5">
        <f>IF(OR(C585="", H585=""), "", IF(H585&lt;C585, "", H585-C585))</f>
        <v>7</v>
      </c>
      <c r="L585" s="3" t="s">
        <v>4038</v>
      </c>
      <c r="M585" s="3" t="s">
        <v>61</v>
      </c>
      <c r="N585" s="4" t="str">
        <f>TRIM(SUBSTITUTE(M585,"_"," "))</f>
        <v>Arjun Bose</v>
      </c>
      <c r="O585" s="3" t="s">
        <v>115</v>
      </c>
      <c r="P585" s="6" t="str">
        <f>PROPER(TRIM(SUBSTITUTE(O585,".","")))</f>
        <v>Home Office</v>
      </c>
      <c r="Q585" s="3" t="s">
        <v>62</v>
      </c>
      <c r="R585" s="7" t="str">
        <f>PROPER(TRIM(SUBSTITUTE(Q585,"  "," ")))</f>
        <v>South</v>
      </c>
      <c r="S585" s="3" t="s">
        <v>339</v>
      </c>
      <c r="T585" s="6" t="str">
        <f>PROPER(TRIM(SUBSTITUTE(S585,"  "," ")))</f>
        <v>Tamil Nadu</v>
      </c>
      <c r="U585" s="3" t="s">
        <v>340</v>
      </c>
      <c r="V585" s="6" t="str">
        <f>PROPER(TRIM(SUBSTITUTE(U585,"  "," ")))</f>
        <v>Chennai</v>
      </c>
      <c r="W585" s="3" t="s">
        <v>86</v>
      </c>
      <c r="X585" s="6" t="str">
        <f>PROPER(TRIM(SUBSTITUTE(W585,"  "," ")))</f>
        <v>Technology</v>
      </c>
      <c r="Y585" s="3" t="s">
        <v>87</v>
      </c>
      <c r="Z585" s="6" t="str">
        <f>PROPER(TRIM(SUBSTITUTE(Y585,"  "," ")))</f>
        <v>Accessories</v>
      </c>
      <c r="AA585" s="3" t="s">
        <v>4039</v>
      </c>
      <c r="AB585" s="3" t="s">
        <v>56</v>
      </c>
      <c r="AC585" s="6" t="str">
        <f>PROPER(TRIM(SUBSTITUTE(AB585,"  "," ")))</f>
        <v>First Class</v>
      </c>
      <c r="AD585" s="3">
        <v>7</v>
      </c>
      <c r="AE585" s="3">
        <v>3989.9</v>
      </c>
      <c r="AF585" s="3">
        <v>0.15</v>
      </c>
      <c r="AG585" s="17">
        <v>0.15</v>
      </c>
      <c r="AH585" s="6" t="str">
        <f t="shared" si="75"/>
        <v>Valid</v>
      </c>
      <c r="AI585" s="3">
        <v>23739.9</v>
      </c>
      <c r="AJ585" s="3">
        <v>17716.52</v>
      </c>
      <c r="AK585" s="3">
        <v>6023.38</v>
      </c>
      <c r="AL585" s="3" t="s">
        <v>34</v>
      </c>
      <c r="AM585" s="6" t="str">
        <f>PROPER(TRIM(SUBSTITUTE(AL585,".","")))</f>
        <v>Paid</v>
      </c>
      <c r="AN585" s="3" t="s">
        <v>78</v>
      </c>
      <c r="AO585" s="8" t="str">
        <f>PROPER(TRIM(SUBSTITUTE(AN585,".","")))</f>
        <v>Cancelled</v>
      </c>
      <c r="AP585" t="str">
        <f>IF(COUNTIF($A$2:$A$933, A585) &gt; 1, "Duplicate ID", "Unique")</f>
        <v>Unique</v>
      </c>
      <c r="AR585">
        <f t="shared" si="76"/>
        <v>23739.904999999999</v>
      </c>
      <c r="AS585">
        <f t="shared" si="77"/>
        <v>6023.3849999999984</v>
      </c>
      <c r="AT585" s="15">
        <f t="shared" si="78"/>
        <v>0.25372405660427028</v>
      </c>
      <c r="AU585" t="str">
        <f t="shared" si="79"/>
        <v>Warning</v>
      </c>
      <c r="AV585" s="8" t="str">
        <f t="shared" si="80"/>
        <v>Cancelled</v>
      </c>
    </row>
    <row r="586" spans="1:48">
      <c r="A586" s="3" t="s">
        <v>4021</v>
      </c>
      <c r="B586" s="3" t="s">
        <v>4022</v>
      </c>
      <c r="C586" s="9">
        <f>IFERROR(DATEVALUE(TEXT(B586,"DD/MM/YYYY")), IF(ISNUMBER(B586), B586, ""))</f>
        <v>45775</v>
      </c>
      <c r="D586" s="9" t="str">
        <f>IF(B586="","Missing", IF(AND(ISNUMBER(B586)=FALSE, C586=""),"Invalid - Could Not Parse", IF(AND(ISNUMBER(B586)=FALSE, C586&lt;&gt;""),"Text - Converted to Date", IF(ISNUMBER(B586),"Valid","Check"))))</f>
        <v>Text - Converted to Date</v>
      </c>
      <c r="E586" s="5">
        <f t="shared" si="73"/>
        <v>4</v>
      </c>
      <c r="F586" s="5">
        <f t="shared" si="74"/>
        <v>2025</v>
      </c>
      <c r="G586" s="3" t="s">
        <v>4023</v>
      </c>
      <c r="H586" s="9">
        <f>IFERROR(DATEVALUE(TEXT(G586,"DD/MM/YYYY")), IF(ISNUMBER(G586), G586, ""))</f>
        <v>45662</v>
      </c>
      <c r="I586" s="9" t="str">
        <f>IF(G586="","Missing", IF(AND(ISNUMBER(G586)=FALSE, H586=""),"Invalid - Could Not Parse", IF(AND(ISNUMBER(G586)=FALSE, H586&lt;&gt;""),"Text - Converted to Date", IF(ISNUMBER(G586),"Valid","Check"))))</f>
        <v>Text - Converted to Date</v>
      </c>
      <c r="J586" s="9" t="str">
        <f>IF(OR(C586="", H586=""), "Cannot Check - Date Missing", IF(H586&lt;C586, "Invalid - Ship Before Order", "Valid"))</f>
        <v>Invalid - Ship Before Order</v>
      </c>
      <c r="K586" s="5" t="str">
        <f>IF(OR(C586="", H586=""), "", IF(H586&lt;C586, "", H586-C586))</f>
        <v/>
      </c>
      <c r="L586" s="3" t="s">
        <v>4024</v>
      </c>
      <c r="M586" s="3" t="s">
        <v>162</v>
      </c>
      <c r="N586" s="4" t="str">
        <f>TRIM(SUBSTITUTE(M586,"_"," "))</f>
        <v>Aarav Sharma</v>
      </c>
      <c r="O586" s="3" t="s">
        <v>41</v>
      </c>
      <c r="P586" s="6" t="str">
        <f>PROPER(TRIM(SUBSTITUTE(O586,".","")))</f>
        <v>Small Business</v>
      </c>
      <c r="Q586" s="3" t="s">
        <v>73</v>
      </c>
      <c r="R586" s="7" t="str">
        <f>PROPER(TRIM(SUBSTITUTE(Q586,"  "," ")))</f>
        <v>West</v>
      </c>
      <c r="S586" s="3" t="s">
        <v>249</v>
      </c>
      <c r="T586" s="6" t="str">
        <f>PROPER(TRIM(SUBSTITUTE(S586,"  "," ")))</f>
        <v>Goa</v>
      </c>
      <c r="U586" s="3" t="s">
        <v>250</v>
      </c>
      <c r="V586" s="6" t="str">
        <f>PROPER(TRIM(SUBSTITUTE(U586,"  "," ")))</f>
        <v>Panaji</v>
      </c>
      <c r="W586" s="3" t="s">
        <v>30</v>
      </c>
      <c r="X586" s="6" t="str">
        <f>PROPER(TRIM(SUBSTITUTE(W586,"  "," ")))</f>
        <v>Office Supplies</v>
      </c>
      <c r="Y586" s="3" t="s">
        <v>156</v>
      </c>
      <c r="Z586" s="6" t="str">
        <f>PROPER(TRIM(SUBSTITUTE(Y586,"  "," ")))</f>
        <v>Storage</v>
      </c>
      <c r="AA586" s="3" t="s">
        <v>4025</v>
      </c>
      <c r="AB586" s="3" t="s">
        <v>48</v>
      </c>
      <c r="AC586" s="6" t="str">
        <f>PROPER(TRIM(SUBSTITUTE(AB586,"  "," ")))</f>
        <v>Same Day</v>
      </c>
      <c r="AD586" s="3">
        <v>1</v>
      </c>
      <c r="AE586" s="3">
        <v>1620.87</v>
      </c>
      <c r="AF586" s="3">
        <v>0</v>
      </c>
      <c r="AG586" s="17">
        <v>0</v>
      </c>
      <c r="AH586" s="6" t="str">
        <f t="shared" si="75"/>
        <v>Valid</v>
      </c>
      <c r="AI586" s="3">
        <v>1620.87</v>
      </c>
      <c r="AJ586" s="3">
        <v>1103.6099999999999</v>
      </c>
      <c r="AK586" s="3">
        <v>517.26</v>
      </c>
      <c r="AL586" s="3" t="s">
        <v>34</v>
      </c>
      <c r="AM586" s="6" t="str">
        <f>PROPER(TRIM(SUBSTITUTE(AL586,".","")))</f>
        <v>Paid</v>
      </c>
      <c r="AN586" s="3" t="s">
        <v>35</v>
      </c>
      <c r="AO586" s="8" t="str">
        <f>PROPER(TRIM(SUBSTITUTE(AN586,".","")))</f>
        <v>Completed</v>
      </c>
      <c r="AP586" t="str">
        <f>IF(COUNTIF($A$2:$A$933, A586) &gt; 1, "Duplicate ID", "Unique")</f>
        <v>Unique</v>
      </c>
      <c r="AR586">
        <f t="shared" si="76"/>
        <v>1620.87</v>
      </c>
      <c r="AS586">
        <f t="shared" si="77"/>
        <v>517.26</v>
      </c>
      <c r="AT586" s="15">
        <f t="shared" si="78"/>
        <v>0.31912491439782342</v>
      </c>
      <c r="AU586" t="str">
        <f t="shared" si="79"/>
        <v>Invalid</v>
      </c>
      <c r="AV586" s="8" t="str">
        <f t="shared" si="80"/>
        <v>Active</v>
      </c>
    </row>
    <row r="587" spans="1:48">
      <c r="A587" s="3" t="s">
        <v>2391</v>
      </c>
      <c r="B587" s="3" t="s">
        <v>1978</v>
      </c>
      <c r="C587" s="9">
        <f>IFERROR(DATEVALUE(TEXT(B587,"DD/MM/YYYY")), IF(ISNUMBER(B587), B587, ""))</f>
        <v>45776</v>
      </c>
      <c r="D587" s="9" t="str">
        <f>IF(B587="","Missing", IF(AND(ISNUMBER(B587)=FALSE, C587=""),"Invalid - Could Not Parse", IF(AND(ISNUMBER(B587)=FALSE, C587&lt;&gt;""),"Text - Converted to Date", IF(ISNUMBER(B587),"Valid","Check"))))</f>
        <v>Text - Converted to Date</v>
      </c>
      <c r="E587" s="5">
        <f t="shared" si="73"/>
        <v>4</v>
      </c>
      <c r="F587" s="5">
        <f t="shared" si="74"/>
        <v>2025</v>
      </c>
      <c r="G587" s="3" t="s">
        <v>2392</v>
      </c>
      <c r="H587" s="9">
        <f>IFERROR(DATEVALUE(TEXT(G587,"DD/MM/YYYY")), IF(ISNUMBER(G587), G587, ""))</f>
        <v>45777</v>
      </c>
      <c r="I587" s="9" t="str">
        <f>IF(G587="","Missing", IF(AND(ISNUMBER(G587)=FALSE, H587=""),"Invalid - Could Not Parse", IF(AND(ISNUMBER(G587)=FALSE, H587&lt;&gt;""),"Text - Converted to Date", IF(ISNUMBER(G587),"Valid","Check"))))</f>
        <v>Text - Converted to Date</v>
      </c>
      <c r="J587" s="9" t="str">
        <f>IF(OR(C587="", H587=""), "Cannot Check - Date Missing", IF(H587&lt;C587, "Invalid - Ship Before Order", "Valid"))</f>
        <v>Valid</v>
      </c>
      <c r="K587" s="5">
        <f>IF(OR(C587="", H587=""), "", IF(H587&lt;C587, "", H587-C587))</f>
        <v>1</v>
      </c>
      <c r="L587" s="3" t="s">
        <v>2393</v>
      </c>
      <c r="M587" s="3" t="s">
        <v>40</v>
      </c>
      <c r="N587" s="4" t="str">
        <f>TRIM(SUBSTITUTE(M587,"_"," "))</f>
        <v>Mira Das</v>
      </c>
      <c r="O587" s="3" t="s">
        <v>108</v>
      </c>
      <c r="P587" s="6" t="str">
        <f>PROPER(TRIM(SUBSTITUTE(O587,".","")))</f>
        <v>Corporate</v>
      </c>
      <c r="Q587" s="3" t="s">
        <v>62</v>
      </c>
      <c r="R587" s="7" t="str">
        <f>PROPER(TRIM(SUBSTITUTE(Q587,"  "," ")))</f>
        <v>South</v>
      </c>
      <c r="S587" s="3" t="s">
        <v>242</v>
      </c>
      <c r="T587" s="6" t="str">
        <f>PROPER(TRIM(SUBSTITUTE(S587,"  "," ")))</f>
        <v>Kerala</v>
      </c>
      <c r="U587" s="3" t="s">
        <v>243</v>
      </c>
      <c r="V587" s="6" t="str">
        <f>PROPER(TRIM(SUBSTITUTE(U587,"  "," ")))</f>
        <v>Kochi</v>
      </c>
      <c r="W587" s="3" t="s">
        <v>86</v>
      </c>
      <c r="X587" s="6" t="str">
        <f>PROPER(TRIM(SUBSTITUTE(W587,"  "," ")))</f>
        <v>Technology</v>
      </c>
      <c r="Y587" s="3" t="s">
        <v>87</v>
      </c>
      <c r="Z587" s="6" t="str">
        <f>PROPER(TRIM(SUBSTITUTE(Y587,"  "," ")))</f>
        <v>Accessories</v>
      </c>
      <c r="AA587" s="3" t="s">
        <v>2394</v>
      </c>
      <c r="AB587" s="3" t="s">
        <v>67</v>
      </c>
      <c r="AC587" s="6" t="str">
        <f>PROPER(TRIM(SUBSTITUTE(AB587,"  "," ")))</f>
        <v>Standard Class</v>
      </c>
      <c r="AD587" s="3">
        <v>4</v>
      </c>
      <c r="AE587" s="3">
        <v>606.58000000000004</v>
      </c>
      <c r="AF587" s="3">
        <v>0.2</v>
      </c>
      <c r="AG587" s="17">
        <v>0.2</v>
      </c>
      <c r="AH587" s="6" t="str">
        <f t="shared" si="75"/>
        <v>Valid</v>
      </c>
      <c r="AI587" s="3">
        <v>1941.06</v>
      </c>
      <c r="AJ587" s="3">
        <v>1207.42</v>
      </c>
      <c r="AK587" s="3">
        <v>733.64</v>
      </c>
      <c r="AL587" s="3" t="s">
        <v>34</v>
      </c>
      <c r="AM587" s="6" t="str">
        <f>PROPER(TRIM(SUBSTITUTE(AL587,".","")))</f>
        <v>Paid</v>
      </c>
      <c r="AN587" s="3" t="s">
        <v>35</v>
      </c>
      <c r="AO587" s="8" t="str">
        <f>PROPER(TRIM(SUBSTITUTE(AN587,".","")))</f>
        <v>Completed</v>
      </c>
      <c r="AP587" t="str">
        <f>IF(COUNTIF($A$2:$A$933, A587) &gt; 1, "Duplicate ID", "Unique")</f>
        <v>Unique</v>
      </c>
      <c r="AR587">
        <f t="shared" si="76"/>
        <v>1941.0560000000003</v>
      </c>
      <c r="AS587">
        <f t="shared" si="77"/>
        <v>733.63600000000019</v>
      </c>
      <c r="AT587" s="15">
        <f t="shared" si="78"/>
        <v>0.37795715321969076</v>
      </c>
      <c r="AU587" t="str">
        <f t="shared" si="79"/>
        <v>Clean</v>
      </c>
      <c r="AV587" s="8" t="str">
        <f t="shared" si="80"/>
        <v>Active</v>
      </c>
    </row>
    <row r="588" spans="1:48">
      <c r="A588" s="3" t="s">
        <v>2510</v>
      </c>
      <c r="B588" s="3" t="s">
        <v>2392</v>
      </c>
      <c r="C588" s="9">
        <f>IFERROR(DATEVALUE(TEXT(B588,"DD/MM/YYYY")), IF(ISNUMBER(B588), B588, ""))</f>
        <v>45777</v>
      </c>
      <c r="D588" s="9" t="str">
        <f>IF(B588="","Missing", IF(AND(ISNUMBER(B588)=FALSE, C588=""),"Invalid - Could Not Parse", IF(AND(ISNUMBER(B588)=FALSE, C588&lt;&gt;""),"Text - Converted to Date", IF(ISNUMBER(B588),"Valid","Check"))))</f>
        <v>Text - Converted to Date</v>
      </c>
      <c r="E588" s="5">
        <f t="shared" si="73"/>
        <v>4</v>
      </c>
      <c r="F588" s="5">
        <f t="shared" si="74"/>
        <v>2025</v>
      </c>
      <c r="G588" s="3" t="s">
        <v>2511</v>
      </c>
      <c r="H588" s="9">
        <f>IFERROR(DATEVALUE(TEXT(G588,"DD/MM/YYYY")), IF(ISNUMBER(G588), G588, ""))</f>
        <v>45773</v>
      </c>
      <c r="I588" s="9" t="str">
        <f>IF(G588="","Missing", IF(AND(ISNUMBER(G588)=FALSE, H588=""),"Invalid - Could Not Parse", IF(AND(ISNUMBER(G588)=FALSE, H588&lt;&gt;""),"Text - Converted to Date", IF(ISNUMBER(G588),"Valid","Check"))))</f>
        <v>Text - Converted to Date</v>
      </c>
      <c r="J588" s="9" t="str">
        <f>IF(OR(C588="", H588=""), "Cannot Check - Date Missing", IF(H588&lt;C588, "Invalid - Ship Before Order", "Valid"))</f>
        <v>Invalid - Ship Before Order</v>
      </c>
      <c r="K588" s="5" t="str">
        <f>IF(OR(C588="", H588=""), "", IF(H588&lt;C588, "", H588-C588))</f>
        <v/>
      </c>
      <c r="L588" s="3" t="s">
        <v>2512</v>
      </c>
      <c r="M588" s="3" t="s">
        <v>210</v>
      </c>
      <c r="N588" s="4" t="str">
        <f>TRIM(SUBSTITUTE(M588,"_"," "))</f>
        <v>Diya Patel</v>
      </c>
      <c r="O588" s="3" t="s">
        <v>108</v>
      </c>
      <c r="P588" s="6" t="str">
        <f>PROPER(TRIM(SUBSTITUTE(O588,".","")))</f>
        <v>Corporate</v>
      </c>
      <c r="Q588" s="3" t="s">
        <v>42</v>
      </c>
      <c r="R588" s="7" t="str">
        <f>PROPER(TRIM(SUBSTITUTE(Q588,"  "," ")))</f>
        <v>East</v>
      </c>
      <c r="S588" s="3" t="s">
        <v>43</v>
      </c>
      <c r="T588" s="6" t="str">
        <f>PROPER(TRIM(SUBSTITUTE(S588,"  "," ")))</f>
        <v>Odisha</v>
      </c>
      <c r="U588" s="3" t="s">
        <v>44</v>
      </c>
      <c r="V588" s="6" t="str">
        <f>PROPER(TRIM(SUBSTITUTE(U588,"  "," ")))</f>
        <v>Bhubaneswar</v>
      </c>
      <c r="W588" s="3" t="s">
        <v>45</v>
      </c>
      <c r="X588" s="6" t="str">
        <f>PROPER(TRIM(SUBSTITUTE(W588,"  "," ")))</f>
        <v>Furniture</v>
      </c>
      <c r="Y588" s="3" t="s">
        <v>46</v>
      </c>
      <c r="Z588" s="6" t="str">
        <f>PROPER(TRIM(SUBSTITUTE(Y588,"  "," ")))</f>
        <v>Tables</v>
      </c>
      <c r="AA588" s="3" t="s">
        <v>2513</v>
      </c>
      <c r="AB588" s="3" t="s">
        <v>56</v>
      </c>
      <c r="AC588" s="6" t="str">
        <f>PROPER(TRIM(SUBSTITUTE(AB588,"  "," ")))</f>
        <v>First Class</v>
      </c>
      <c r="AD588" s="3">
        <v>7</v>
      </c>
      <c r="AE588" s="3">
        <v>1604.13</v>
      </c>
      <c r="AF588" s="3">
        <v>0.25</v>
      </c>
      <c r="AG588" s="17">
        <v>0.25</v>
      </c>
      <c r="AH588" s="6" t="str">
        <f t="shared" si="75"/>
        <v>Valid</v>
      </c>
      <c r="AI588" s="3">
        <v>8421.68</v>
      </c>
      <c r="AJ588" s="3">
        <v>6534.47</v>
      </c>
      <c r="AK588" s="3">
        <v>1887.21</v>
      </c>
      <c r="AL588" s="3" t="s">
        <v>34</v>
      </c>
      <c r="AM588" s="6" t="str">
        <f>PROPER(TRIM(SUBSTITUTE(AL588,".","")))</f>
        <v>Paid</v>
      </c>
      <c r="AN588" s="3" t="s">
        <v>78</v>
      </c>
      <c r="AO588" s="8" t="str">
        <f>PROPER(TRIM(SUBSTITUTE(AN588,".","")))</f>
        <v>Cancelled</v>
      </c>
      <c r="AP588" t="str">
        <f>IF(COUNTIF($A$2:$A$933, A588) &gt; 1, "Duplicate ID", "Unique")</f>
        <v>Unique</v>
      </c>
      <c r="AR588">
        <f t="shared" si="76"/>
        <v>8421.682499999999</v>
      </c>
      <c r="AS588">
        <f t="shared" si="77"/>
        <v>1887.2124999999987</v>
      </c>
      <c r="AT588" s="15">
        <f t="shared" si="78"/>
        <v>0.22408972316398759</v>
      </c>
      <c r="AU588" t="str">
        <f t="shared" si="79"/>
        <v>Invalid</v>
      </c>
      <c r="AV588" s="8" t="str">
        <f t="shared" si="80"/>
        <v>Cancelled</v>
      </c>
    </row>
    <row r="589" spans="1:48">
      <c r="A589" s="3" t="s">
        <v>1011</v>
      </c>
      <c r="B589" s="3" t="s">
        <v>1012</v>
      </c>
      <c r="C589" s="9">
        <f>IFERROR(DATEVALUE(TEXT(B589,"DD/MM/YYYY")), IF(ISNUMBER(B589), B589, ""))</f>
        <v>45778</v>
      </c>
      <c r="D589" s="9" t="str">
        <f>IF(B589="","Missing", IF(AND(ISNUMBER(B589)=FALSE, C589=""),"Invalid - Could Not Parse", IF(AND(ISNUMBER(B589)=FALSE, C589&lt;&gt;""),"Text - Converted to Date", IF(ISNUMBER(B589),"Valid","Check"))))</f>
        <v>Text - Converted to Date</v>
      </c>
      <c r="E589" s="5">
        <f t="shared" si="73"/>
        <v>5</v>
      </c>
      <c r="F589" s="5">
        <f t="shared" si="74"/>
        <v>2025</v>
      </c>
      <c r="G589" s="3" t="s">
        <v>1013</v>
      </c>
      <c r="H589" s="9">
        <f>IFERROR(DATEVALUE(TEXT(G589,"DD/MM/YYYY")), IF(ISNUMBER(G589), G589, ""))</f>
        <v>45779</v>
      </c>
      <c r="I589" s="9" t="str">
        <f>IF(G589="","Missing", IF(AND(ISNUMBER(G589)=FALSE, H589=""),"Invalid - Could Not Parse", IF(AND(ISNUMBER(G589)=FALSE, H589&lt;&gt;""),"Text - Converted to Date", IF(ISNUMBER(G589),"Valid","Check"))))</f>
        <v>Text - Converted to Date</v>
      </c>
      <c r="J589" s="9" t="str">
        <f>IF(OR(C589="", H589=""), "Cannot Check - Date Missing", IF(H589&lt;C589, "Invalid - Ship Before Order", "Valid"))</f>
        <v>Valid</v>
      </c>
      <c r="K589" s="5">
        <f>IF(OR(C589="", H589=""), "", IF(H589&lt;C589, "", H589-C589))</f>
        <v>1</v>
      </c>
      <c r="L589" s="3" t="s">
        <v>1014</v>
      </c>
      <c r="M589" s="3" t="s">
        <v>40</v>
      </c>
      <c r="N589" s="4" t="str">
        <f>TRIM(SUBSTITUTE(M589,"_"," "))</f>
        <v>Mira Das</v>
      </c>
      <c r="O589" s="3" t="s">
        <v>26</v>
      </c>
      <c r="P589" s="6" t="str">
        <f>PROPER(TRIM(SUBSTITUTE(O589,".","")))</f>
        <v>Consumer</v>
      </c>
      <c r="Q589" s="3" t="s">
        <v>73</v>
      </c>
      <c r="R589" s="7" t="str">
        <f>PROPER(TRIM(SUBSTITUTE(Q589,"  "," ")))</f>
        <v>West</v>
      </c>
      <c r="S589" s="3" t="s">
        <v>84</v>
      </c>
      <c r="T589" s="6" t="str">
        <f>PROPER(TRIM(SUBSTITUTE(S589,"  "," ")))</f>
        <v>Madhya Pradesh</v>
      </c>
      <c r="U589" s="3" t="s">
        <v>85</v>
      </c>
      <c r="V589" s="6" t="str">
        <f>PROPER(TRIM(SUBSTITUTE(U589,"  "," ")))</f>
        <v>Indore</v>
      </c>
      <c r="W589" s="3" t="s">
        <v>45</v>
      </c>
      <c r="X589" s="6" t="str">
        <f>PROPER(TRIM(SUBSTITUTE(W589,"  "," ")))</f>
        <v>Furniture</v>
      </c>
      <c r="Y589" s="3" t="s">
        <v>76</v>
      </c>
      <c r="Z589" s="6" t="str">
        <f>PROPER(TRIM(SUBSTITUTE(Y589,"  "," ")))</f>
        <v>Chairs</v>
      </c>
      <c r="AA589" s="3" t="s">
        <v>1015</v>
      </c>
      <c r="AB589" s="3" t="s">
        <v>48</v>
      </c>
      <c r="AC589" s="6" t="str">
        <f>PROPER(TRIM(SUBSTITUTE(AB589,"  "," ")))</f>
        <v>Same Day</v>
      </c>
      <c r="AD589" s="3">
        <v>3</v>
      </c>
      <c r="AE589" s="3">
        <v>2905.74</v>
      </c>
      <c r="AF589" s="3">
        <v>0</v>
      </c>
      <c r="AG589" s="17">
        <v>0</v>
      </c>
      <c r="AH589" s="6" t="str">
        <f t="shared" si="75"/>
        <v>Valid</v>
      </c>
      <c r="AI589" s="3">
        <v>8717.2199999999993</v>
      </c>
      <c r="AJ589" s="3">
        <v>6215.96</v>
      </c>
      <c r="AK589" s="3">
        <v>2501.2600000000002</v>
      </c>
      <c r="AL589" s="3" t="s">
        <v>34</v>
      </c>
      <c r="AM589" s="6" t="str">
        <f>PROPER(TRIM(SUBSTITUTE(AL589,".","")))</f>
        <v>Paid</v>
      </c>
      <c r="AN589" s="3" t="s">
        <v>125</v>
      </c>
      <c r="AO589" s="8" t="str">
        <f>PROPER(TRIM(SUBSTITUTE(AN589,".","")))</f>
        <v>Returned</v>
      </c>
      <c r="AP589" t="str">
        <f>IF(COUNTIF($A$2:$A$933, A589) &gt; 1, "Duplicate ID", "Unique")</f>
        <v>Unique</v>
      </c>
      <c r="AR589">
        <f t="shared" si="76"/>
        <v>8717.2199999999993</v>
      </c>
      <c r="AS589">
        <f t="shared" si="77"/>
        <v>2501.2599999999993</v>
      </c>
      <c r="AT589" s="15">
        <f t="shared" si="78"/>
        <v>0.28693321953558582</v>
      </c>
      <c r="AU589" t="str">
        <f t="shared" si="79"/>
        <v>Clean</v>
      </c>
      <c r="AV589" s="8" t="str">
        <f t="shared" si="80"/>
        <v>Active</v>
      </c>
    </row>
    <row r="590" spans="1:48">
      <c r="A590" s="3" t="s">
        <v>1383</v>
      </c>
      <c r="B590" s="3" t="s">
        <v>1384</v>
      </c>
      <c r="C590" s="9">
        <f>IFERROR(DATEVALUE(TEXT(B590,"DD/MM/YYYY")), IF(ISNUMBER(B590), B590, ""))</f>
        <v>45780</v>
      </c>
      <c r="D590" s="9" t="str">
        <f>IF(B590="","Missing", IF(AND(ISNUMBER(B590)=FALSE, C590=""),"Invalid - Could Not Parse", IF(AND(ISNUMBER(B590)=FALSE, C590&lt;&gt;""),"Text - Converted to Date", IF(ISNUMBER(B590),"Valid","Check"))))</f>
        <v>Text - Converted to Date</v>
      </c>
      <c r="E590" s="5">
        <f t="shared" si="73"/>
        <v>5</v>
      </c>
      <c r="F590" s="5">
        <f t="shared" si="74"/>
        <v>2025</v>
      </c>
      <c r="G590" s="3" t="s">
        <v>1385</v>
      </c>
      <c r="H590" s="9">
        <f>IFERROR(DATEVALUE(TEXT(G590,"DD/MM/YYYY")), IF(ISNUMBER(G590), G590, ""))</f>
        <v>45787</v>
      </c>
      <c r="I590" s="9" t="str">
        <f>IF(G590="","Missing", IF(AND(ISNUMBER(G590)=FALSE, H590=""),"Invalid - Could Not Parse", IF(AND(ISNUMBER(G590)=FALSE, H590&lt;&gt;""),"Text - Converted to Date", IF(ISNUMBER(G590),"Valid","Check"))))</f>
        <v>Text - Converted to Date</v>
      </c>
      <c r="J590" s="9" t="str">
        <f>IF(OR(C590="", H590=""), "Cannot Check - Date Missing", IF(H590&lt;C590, "Invalid - Ship Before Order", "Valid"))</f>
        <v>Valid</v>
      </c>
      <c r="K590" s="5">
        <f>IF(OR(C590="", H590=""), "", IF(H590&lt;C590, "", H590-C590))</f>
        <v>7</v>
      </c>
      <c r="L590" s="3" t="s">
        <v>1386</v>
      </c>
      <c r="M590" s="3" t="s">
        <v>93</v>
      </c>
      <c r="N590" s="4" t="str">
        <f>TRIM(SUBSTITUTE(M590,"_"," "))</f>
        <v>Neha Gupta</v>
      </c>
      <c r="O590" s="3" t="s">
        <v>115</v>
      </c>
      <c r="P590" s="6" t="str">
        <f>PROPER(TRIM(SUBSTITUTE(O590,".","")))</f>
        <v>Home Office</v>
      </c>
      <c r="Q590" s="3" t="s">
        <v>73</v>
      </c>
      <c r="R590" s="7" t="str">
        <f>PROPER(TRIM(SUBSTITUTE(Q590,"  "," ")))</f>
        <v>West</v>
      </c>
      <c r="S590" s="3" t="s">
        <v>74</v>
      </c>
      <c r="T590" s="6" t="str">
        <f>PROPER(TRIM(SUBSTITUTE(S590,"  "," ")))</f>
        <v>Maharashtra</v>
      </c>
      <c r="U590" s="3" t="s">
        <v>75</v>
      </c>
      <c r="V590" s="6" t="str">
        <f>PROPER(TRIM(SUBSTITUTE(U590,"  "," ")))</f>
        <v>Mumbai</v>
      </c>
      <c r="W590" s="3" t="s">
        <v>30</v>
      </c>
      <c r="X590" s="6" t="str">
        <f>PROPER(TRIM(SUBSTITUTE(W590,"  "," ")))</f>
        <v>Office Supplies</v>
      </c>
      <c r="Y590" s="3" t="s">
        <v>156</v>
      </c>
      <c r="Z590" s="6" t="str">
        <f>PROPER(TRIM(SUBSTITUTE(Y590,"  "," ")))</f>
        <v>Storage</v>
      </c>
      <c r="AA590" s="3" t="s">
        <v>1387</v>
      </c>
      <c r="AB590" s="3" t="s">
        <v>33</v>
      </c>
      <c r="AC590" s="6" t="str">
        <f>PROPER(TRIM(SUBSTITUTE(AB590,"  "," ")))</f>
        <v>Second Class</v>
      </c>
      <c r="AD590" s="3">
        <v>3</v>
      </c>
      <c r="AE590" s="3">
        <v>4339.24</v>
      </c>
      <c r="AF590" s="3">
        <v>0</v>
      </c>
      <c r="AG590" s="17">
        <v>0</v>
      </c>
      <c r="AH590" s="6" t="str">
        <f t="shared" si="75"/>
        <v>Valid</v>
      </c>
      <c r="AI590" s="3">
        <v>13017.72</v>
      </c>
      <c r="AJ590" s="3">
        <v>10170.57</v>
      </c>
      <c r="AK590" s="3">
        <v>2847.15</v>
      </c>
      <c r="AL590" s="3" t="s">
        <v>34</v>
      </c>
      <c r="AM590" s="6" t="str">
        <f>PROPER(TRIM(SUBSTITUTE(AL590,".","")))</f>
        <v>Paid</v>
      </c>
      <c r="AN590" s="3" t="s">
        <v>35</v>
      </c>
      <c r="AO590" s="8" t="str">
        <f>PROPER(TRIM(SUBSTITUTE(AN590,".","")))</f>
        <v>Completed</v>
      </c>
      <c r="AP590" t="str">
        <f>IF(COUNTIF($A$2:$A$933, A590) &gt; 1, "Duplicate ID", "Unique")</f>
        <v>Unique</v>
      </c>
      <c r="AR590">
        <f t="shared" si="76"/>
        <v>13017.72</v>
      </c>
      <c r="AS590">
        <f t="shared" si="77"/>
        <v>2847.1499999999996</v>
      </c>
      <c r="AT590" s="15">
        <f t="shared" si="78"/>
        <v>0.21871341525244051</v>
      </c>
      <c r="AU590" t="str">
        <f t="shared" si="79"/>
        <v>Clean</v>
      </c>
      <c r="AV590" s="8" t="str">
        <f t="shared" si="80"/>
        <v>Active</v>
      </c>
    </row>
    <row r="591" spans="1:48">
      <c r="A591" s="3" t="s">
        <v>1021</v>
      </c>
      <c r="B591" s="3" t="s">
        <v>1022</v>
      </c>
      <c r="C591" s="9">
        <f>IFERROR(DATEVALUE(TEXT(B591,"DD/MM/YYYY")), IF(ISNUMBER(B591), B591, ""))</f>
        <v>45783</v>
      </c>
      <c r="D591" s="9" t="str">
        <f>IF(B591="","Missing", IF(AND(ISNUMBER(B591)=FALSE, C591=""),"Invalid - Could Not Parse", IF(AND(ISNUMBER(B591)=FALSE, C591&lt;&gt;""),"Text - Converted to Date", IF(ISNUMBER(B591),"Valid","Check"))))</f>
        <v>Text - Converted to Date</v>
      </c>
      <c r="E591" s="5">
        <f t="shared" si="73"/>
        <v>5</v>
      </c>
      <c r="F591" s="5">
        <f t="shared" si="74"/>
        <v>2025</v>
      </c>
      <c r="G591" s="3" t="s">
        <v>1023</v>
      </c>
      <c r="H591" s="9">
        <f>IFERROR(DATEVALUE(TEXT(G591,"DD/MM/YYYY")), IF(ISNUMBER(G591), G591, ""))</f>
        <v>45784</v>
      </c>
      <c r="I591" s="9" t="str">
        <f>IF(G591="","Missing", IF(AND(ISNUMBER(G591)=FALSE, H591=""),"Invalid - Could Not Parse", IF(AND(ISNUMBER(G591)=FALSE, H591&lt;&gt;""),"Text - Converted to Date", IF(ISNUMBER(G591),"Valid","Check"))))</f>
        <v>Text - Converted to Date</v>
      </c>
      <c r="J591" s="9" t="str">
        <f>IF(OR(C591="", H591=""), "Cannot Check - Date Missing", IF(H591&lt;C591, "Invalid - Ship Before Order", "Valid"))</f>
        <v>Valid</v>
      </c>
      <c r="K591" s="5">
        <f>IF(OR(C591="", H591=""), "", IF(H591&lt;C591, "", H591-C591))</f>
        <v>1</v>
      </c>
      <c r="L591" s="3" t="s">
        <v>1024</v>
      </c>
      <c r="M591" s="3" t="s">
        <v>61</v>
      </c>
      <c r="N591" s="4" t="str">
        <f>TRIM(SUBSTITUTE(M591,"_"," "))</f>
        <v>Arjun Bose</v>
      </c>
      <c r="O591" s="3" t="s">
        <v>26</v>
      </c>
      <c r="P591" s="6" t="str">
        <f>PROPER(TRIM(SUBSTITUTE(O591,".","")))</f>
        <v>Consumer</v>
      </c>
      <c r="Q591" s="3" t="s">
        <v>73</v>
      </c>
      <c r="R591" s="7" t="str">
        <f>PROPER(TRIM(SUBSTITUTE(Q591,"  "," ")))</f>
        <v>West</v>
      </c>
      <c r="S591" s="3" t="s">
        <v>28</v>
      </c>
      <c r="T591" s="6" t="str">
        <f>PROPER(TRIM(SUBSTITUTE(S591,"  "," ")))</f>
        <v>Rajasthan</v>
      </c>
      <c r="U591" s="3" t="s">
        <v>135</v>
      </c>
      <c r="V591" s="6" t="str">
        <f>PROPER(TRIM(SUBSTITUTE(U591,"  "," ")))</f>
        <v>Udaipur</v>
      </c>
      <c r="W591" s="3" t="s">
        <v>45</v>
      </c>
      <c r="X591" s="6" t="str">
        <f>PROPER(TRIM(SUBSTITUTE(W591,"  "," ")))</f>
        <v>Furniture</v>
      </c>
      <c r="Y591" s="3" t="s">
        <v>204</v>
      </c>
      <c r="Z591" s="6" t="str">
        <f>PROPER(TRIM(SUBSTITUTE(Y591,"  "," ")))</f>
        <v>Bookcases</v>
      </c>
      <c r="AA591" s="3" t="s">
        <v>1025</v>
      </c>
      <c r="AB591" s="3" t="s">
        <v>56</v>
      </c>
      <c r="AC591" s="6" t="str">
        <f>PROPER(TRIM(SUBSTITUTE(AB591,"  "," ")))</f>
        <v>First Class</v>
      </c>
      <c r="AD591" s="3">
        <v>9</v>
      </c>
      <c r="AE591" s="3">
        <v>3318.24</v>
      </c>
      <c r="AF591" s="3"/>
      <c r="AG591" s="18">
        <f>IF(ISBLANK(AF591), 0, AF591)</f>
        <v>0</v>
      </c>
      <c r="AH591" s="6" t="str">
        <f t="shared" si="75"/>
        <v>Missing</v>
      </c>
      <c r="AI591" s="3">
        <v>25384.54</v>
      </c>
      <c r="AJ591" s="3">
        <v>16872.39</v>
      </c>
      <c r="AK591" s="3">
        <v>8512.15</v>
      </c>
      <c r="AL591" s="3" t="s">
        <v>34</v>
      </c>
      <c r="AM591" s="6" t="str">
        <f>PROPER(TRIM(SUBSTITUTE(AL591,".","")))</f>
        <v>Paid</v>
      </c>
      <c r="AN591" s="3" t="s">
        <v>1026</v>
      </c>
      <c r="AO591" s="8" t="str">
        <f>PROPER(TRIM(SUBSTITUTE(AN591,".","")))</f>
        <v>Completed</v>
      </c>
      <c r="AP591" t="str">
        <f>IF(COUNTIF($A$2:$A$933, A591) &gt; 1, "Duplicate ID", "Unique")</f>
        <v>Unique</v>
      </c>
      <c r="AR591">
        <f t="shared" si="76"/>
        <v>29864.159999999996</v>
      </c>
      <c r="AS591">
        <f t="shared" si="77"/>
        <v>12991.769999999997</v>
      </c>
      <c r="AT591" s="15">
        <f t="shared" si="78"/>
        <v>0.43502881045373448</v>
      </c>
      <c r="AU591" t="str">
        <f t="shared" si="79"/>
        <v>Warning</v>
      </c>
      <c r="AV591" s="8" t="str">
        <f t="shared" si="80"/>
        <v>Active</v>
      </c>
    </row>
    <row r="592" spans="1:48">
      <c r="A592" s="3" t="s">
        <v>2160</v>
      </c>
      <c r="B592" s="3" t="s">
        <v>1023</v>
      </c>
      <c r="C592" s="9">
        <f>IFERROR(DATEVALUE(TEXT(B592,"DD/MM/YYYY")), IF(ISNUMBER(B592), B592, ""))</f>
        <v>45784</v>
      </c>
      <c r="D592" s="9" t="str">
        <f>IF(B592="","Missing", IF(AND(ISNUMBER(B592)=FALSE, C592=""),"Invalid - Could Not Parse", IF(AND(ISNUMBER(B592)=FALSE, C592&lt;&gt;""),"Text - Converted to Date", IF(ISNUMBER(B592),"Valid","Check"))))</f>
        <v>Text - Converted to Date</v>
      </c>
      <c r="E592" s="5">
        <f t="shared" si="73"/>
        <v>5</v>
      </c>
      <c r="F592" s="5">
        <f t="shared" si="74"/>
        <v>2025</v>
      </c>
      <c r="G592" s="3" t="s">
        <v>2161</v>
      </c>
      <c r="H592" s="9">
        <f>IFERROR(DATEVALUE(TEXT(G592,"DD/MM/YYYY")), IF(ISNUMBER(G592), G592, ""))</f>
        <v>45782</v>
      </c>
      <c r="I592" s="9" t="str">
        <f>IF(G592="","Missing", IF(AND(ISNUMBER(G592)=FALSE, H592=""),"Invalid - Could Not Parse", IF(AND(ISNUMBER(G592)=FALSE, H592&lt;&gt;""),"Text - Converted to Date", IF(ISNUMBER(G592),"Valid","Check"))))</f>
        <v>Text - Converted to Date</v>
      </c>
      <c r="J592" s="9" t="str">
        <f>IF(OR(C592="", H592=""), "Cannot Check - Date Missing", IF(H592&lt;C592, "Invalid - Ship Before Order", "Valid"))</f>
        <v>Invalid - Ship Before Order</v>
      </c>
      <c r="K592" s="5" t="str">
        <f>IF(OR(C592="", H592=""), "", IF(H592&lt;C592, "", H592-C592))</f>
        <v/>
      </c>
      <c r="L592" s="3" t="s">
        <v>2162</v>
      </c>
      <c r="M592" s="3" t="s">
        <v>93</v>
      </c>
      <c r="N592" s="4" t="str">
        <f>TRIM(SUBSTITUTE(M592,"_"," "))</f>
        <v>Neha Gupta</v>
      </c>
      <c r="O592" s="3" t="s">
        <v>108</v>
      </c>
      <c r="P592" s="6" t="str">
        <f>PROPER(TRIM(SUBSTITUTE(O592,".","")))</f>
        <v>Corporate</v>
      </c>
      <c r="Q592" s="3" t="s">
        <v>42</v>
      </c>
      <c r="R592" s="7" t="str">
        <f>PROPER(TRIM(SUBSTITUTE(Q592,"  "," ")))</f>
        <v>East</v>
      </c>
      <c r="S592" s="3" t="s">
        <v>311</v>
      </c>
      <c r="T592" s="6" t="str">
        <f>PROPER(TRIM(SUBSTITUTE(S592,"  "," ")))</f>
        <v>Jharkhand</v>
      </c>
      <c r="U592" s="3" t="s">
        <v>312</v>
      </c>
      <c r="V592" s="6" t="str">
        <f>PROPER(TRIM(SUBSTITUTE(U592,"  "," ")))</f>
        <v>Ranchi</v>
      </c>
      <c r="W592" s="3" t="s">
        <v>86</v>
      </c>
      <c r="X592" s="6" t="str">
        <f>PROPER(TRIM(SUBSTITUTE(W592,"  "," ")))</f>
        <v>Technology</v>
      </c>
      <c r="Y592" s="3" t="s">
        <v>223</v>
      </c>
      <c r="Z592" s="6" t="str">
        <f>PROPER(TRIM(SUBSTITUTE(Y592,"  "," ")))</f>
        <v>Phones</v>
      </c>
      <c r="AA592" s="3" t="s">
        <v>2163</v>
      </c>
      <c r="AB592" s="3" t="s">
        <v>67</v>
      </c>
      <c r="AC592" s="6" t="str">
        <f>PROPER(TRIM(SUBSTITUTE(AB592,"  "," ")))</f>
        <v>Standard Class</v>
      </c>
      <c r="AD592" s="3">
        <v>1</v>
      </c>
      <c r="AE592" s="3">
        <v>2266.4699999999998</v>
      </c>
      <c r="AF592" s="3">
        <v>0.2</v>
      </c>
      <c r="AG592" s="17">
        <v>0.2</v>
      </c>
      <c r="AH592" s="6" t="str">
        <f t="shared" si="75"/>
        <v>Valid</v>
      </c>
      <c r="AI592" s="3">
        <v>1813.18</v>
      </c>
      <c r="AJ592" s="3">
        <v>1363.64</v>
      </c>
      <c r="AK592" s="3">
        <v>449.54</v>
      </c>
      <c r="AL592" s="3" t="s">
        <v>34</v>
      </c>
      <c r="AM592" s="6" t="str">
        <f>PROPER(TRIM(SUBSTITUTE(AL592,".","")))</f>
        <v>Paid</v>
      </c>
      <c r="AN592" s="3" t="s">
        <v>35</v>
      </c>
      <c r="AO592" s="8" t="str">
        <f>PROPER(TRIM(SUBSTITUTE(AN592,".","")))</f>
        <v>Completed</v>
      </c>
      <c r="AP592" t="str">
        <f>IF(COUNTIF($A$2:$A$933, A592) &gt; 1, "Duplicate ID", "Unique")</f>
        <v>Unique</v>
      </c>
      <c r="AR592">
        <f t="shared" si="76"/>
        <v>1813.1759999999999</v>
      </c>
      <c r="AS592">
        <f t="shared" si="77"/>
        <v>449.53599999999983</v>
      </c>
      <c r="AT592" s="15">
        <f t="shared" si="78"/>
        <v>0.24792739370033567</v>
      </c>
      <c r="AU592" t="str">
        <f t="shared" si="79"/>
        <v>Invalid</v>
      </c>
      <c r="AV592" s="8" t="str">
        <f t="shared" si="80"/>
        <v>Active</v>
      </c>
    </row>
    <row r="593" spans="1:48">
      <c r="A593" s="3" t="s">
        <v>3377</v>
      </c>
      <c r="B593" s="3" t="s">
        <v>3378</v>
      </c>
      <c r="C593" s="9">
        <f>IFERROR(DATEVALUE(TEXT(B593,"DD/MM/YYYY")), IF(ISNUMBER(B593), B593, ""))</f>
        <v>45787</v>
      </c>
      <c r="D593" s="9" t="str">
        <f>IF(B593="","Missing", IF(AND(ISNUMBER(B593)=FALSE, C593=""),"Invalid - Could Not Parse", IF(AND(ISNUMBER(B593)=FALSE, C593&lt;&gt;""),"Text - Converted to Date", IF(ISNUMBER(B593),"Valid","Check"))))</f>
        <v>Text - Converted to Date</v>
      </c>
      <c r="E593" s="5">
        <f t="shared" si="73"/>
        <v>5</v>
      </c>
      <c r="F593" s="5">
        <f t="shared" si="74"/>
        <v>2025</v>
      </c>
      <c r="G593" s="3" t="s">
        <v>139</v>
      </c>
      <c r="H593" s="9">
        <f>IFERROR(DATEVALUE(TEXT(G593,"DD/MM/YYYY")), IF(ISNUMBER(G593), G593, ""))</f>
        <v>45942</v>
      </c>
      <c r="I593" s="9" t="str">
        <f>IF(G593="","Missing", IF(AND(ISNUMBER(G593)=FALSE, H593=""),"Invalid - Could Not Parse", IF(AND(ISNUMBER(G593)=FALSE, H593&lt;&gt;""),"Text - Converted to Date", IF(ISNUMBER(G593),"Valid","Check"))))</f>
        <v>Text - Converted to Date</v>
      </c>
      <c r="J593" s="9" t="str">
        <f>IF(OR(C593="", H593=""), "Cannot Check - Date Missing", IF(H593&lt;C593, "Invalid - Ship Before Order", "Valid"))</f>
        <v>Valid</v>
      </c>
      <c r="K593" s="5">
        <f>IF(OR(C593="", H593=""), "", IF(H593&lt;C593, "", H593-C593))</f>
        <v>155</v>
      </c>
      <c r="L593" s="3" t="s">
        <v>3379</v>
      </c>
      <c r="M593" s="3" t="s">
        <v>142</v>
      </c>
      <c r="N593" s="4" t="str">
        <f>TRIM(SUBSTITUTE(M593,"_"," "))</f>
        <v>Priya Menon</v>
      </c>
      <c r="O593" s="3" t="s">
        <v>108</v>
      </c>
      <c r="P593" s="6" t="str">
        <f>PROPER(TRIM(SUBSTITUTE(O593,".","")))</f>
        <v>Corporate</v>
      </c>
      <c r="Q593" s="3" t="s">
        <v>62</v>
      </c>
      <c r="R593" s="7" t="str">
        <f>PROPER(TRIM(SUBSTITUTE(Q593,"  "," ")))</f>
        <v>South</v>
      </c>
      <c r="S593" s="3" t="s">
        <v>229</v>
      </c>
      <c r="T593" s="6" t="str">
        <f>PROPER(TRIM(SUBSTITUTE(S593,"  "," ")))</f>
        <v>Karnataka</v>
      </c>
      <c r="U593" s="3" t="s">
        <v>230</v>
      </c>
      <c r="V593" s="6" t="str">
        <f>PROPER(TRIM(SUBSTITUTE(U593,"  "," ")))</f>
        <v>Bengaluru</v>
      </c>
      <c r="W593" s="3" t="s">
        <v>45</v>
      </c>
      <c r="X593" s="6" t="str">
        <f>PROPER(TRIM(SUBSTITUTE(W593,"  "," ")))</f>
        <v>Furniture</v>
      </c>
      <c r="Y593" s="3" t="s">
        <v>46</v>
      </c>
      <c r="Z593" s="6" t="str">
        <f>PROPER(TRIM(SUBSTITUTE(Y593,"  "," ")))</f>
        <v>Tables</v>
      </c>
      <c r="AA593" s="3" t="s">
        <v>3380</v>
      </c>
      <c r="AB593" s="3" t="s">
        <v>33</v>
      </c>
      <c r="AC593" s="6" t="str">
        <f>PROPER(TRIM(SUBSTITUTE(AB593,"  "," ")))</f>
        <v>Second Class</v>
      </c>
      <c r="AD593" s="3">
        <v>7</v>
      </c>
      <c r="AE593" s="3">
        <v>2134.73</v>
      </c>
      <c r="AF593" s="3">
        <v>0</v>
      </c>
      <c r="AG593" s="17">
        <v>0</v>
      </c>
      <c r="AH593" s="6" t="str">
        <f t="shared" si="75"/>
        <v>Valid</v>
      </c>
      <c r="AI593" s="3">
        <v>14943.11</v>
      </c>
      <c r="AJ593" s="3">
        <v>8521.5</v>
      </c>
      <c r="AK593" s="3">
        <v>6421.61</v>
      </c>
      <c r="AL593" s="3" t="s">
        <v>34</v>
      </c>
      <c r="AM593" s="6" t="str">
        <f>PROPER(TRIM(SUBSTITUTE(AL593,".","")))</f>
        <v>Paid</v>
      </c>
      <c r="AN593" s="3" t="s">
        <v>35</v>
      </c>
      <c r="AO593" s="8" t="str">
        <f>PROPER(TRIM(SUBSTITUTE(AN593,".","")))</f>
        <v>Completed</v>
      </c>
      <c r="AP593" t="str">
        <f>IF(COUNTIF($A$2:$A$933, A593) &gt; 1, "Duplicate ID", "Unique")</f>
        <v>Unique</v>
      </c>
      <c r="AR593">
        <f t="shared" si="76"/>
        <v>14943.11</v>
      </c>
      <c r="AS593">
        <f t="shared" si="77"/>
        <v>6421.6100000000006</v>
      </c>
      <c r="AT593" s="15">
        <f t="shared" si="78"/>
        <v>0.42973718322357263</v>
      </c>
      <c r="AU593" t="str">
        <f t="shared" si="79"/>
        <v>Clean</v>
      </c>
      <c r="AV593" s="8" t="str">
        <f t="shared" si="80"/>
        <v>Active</v>
      </c>
    </row>
    <row r="594" spans="1:48">
      <c r="A594" s="3" t="s">
        <v>1669</v>
      </c>
      <c r="B594" s="3" t="s">
        <v>1670</v>
      </c>
      <c r="C594" s="9">
        <f>IFERROR(DATEVALUE(TEXT(B594,"DD/MM/YYYY")), IF(ISNUMBER(B594), B594, ""))</f>
        <v>45789</v>
      </c>
      <c r="D594" s="9" t="str">
        <f>IF(B594="","Missing", IF(AND(ISNUMBER(B594)=FALSE, C594=""),"Invalid - Could Not Parse", IF(AND(ISNUMBER(B594)=FALSE, C594&lt;&gt;""),"Text - Converted to Date", IF(ISNUMBER(B594),"Valid","Check"))))</f>
        <v>Text - Converted to Date</v>
      </c>
      <c r="E594" s="5">
        <f t="shared" si="73"/>
        <v>5</v>
      </c>
      <c r="F594" s="5">
        <f t="shared" si="74"/>
        <v>2025</v>
      </c>
      <c r="G594" s="3" t="s">
        <v>1671</v>
      </c>
      <c r="H594" s="9">
        <f>IFERROR(DATEVALUE(TEXT(G594,"DD/MM/YYYY")), IF(ISNUMBER(G594), G594, ""))</f>
        <v>45795</v>
      </c>
      <c r="I594" s="9" t="str">
        <f>IF(G594="","Missing", IF(AND(ISNUMBER(G594)=FALSE, H594=""),"Invalid - Could Not Parse", IF(AND(ISNUMBER(G594)=FALSE, H594&lt;&gt;""),"Text - Converted to Date", IF(ISNUMBER(G594),"Valid","Check"))))</f>
        <v>Text - Converted to Date</v>
      </c>
      <c r="J594" s="9" t="str">
        <f>IF(OR(C594="", H594=""), "Cannot Check - Date Missing", IF(H594&lt;C594, "Invalid - Ship Before Order", "Valid"))</f>
        <v>Valid</v>
      </c>
      <c r="K594" s="5">
        <f>IF(OR(C594="", H594=""), "", IF(H594&lt;C594, "", H594-C594))</f>
        <v>6</v>
      </c>
      <c r="L594" s="3" t="s">
        <v>1672</v>
      </c>
      <c r="M594" s="3" t="s">
        <v>93</v>
      </c>
      <c r="N594" s="4" t="str">
        <f>TRIM(SUBSTITUTE(M594,"_"," "))</f>
        <v>Neha Gupta</v>
      </c>
      <c r="O594" s="3" t="s">
        <v>41</v>
      </c>
      <c r="P594" s="6" t="str">
        <f>PROPER(TRIM(SUBSTITUTE(O594,".","")))</f>
        <v>Small Business</v>
      </c>
      <c r="Q594" s="3" t="s">
        <v>73</v>
      </c>
      <c r="R594" s="7" t="str">
        <f>PROPER(TRIM(SUBSTITUTE(Q594,"  "," ")))</f>
        <v>West</v>
      </c>
      <c r="S594" s="3" t="s">
        <v>74</v>
      </c>
      <c r="T594" s="6" t="str">
        <f>PROPER(TRIM(SUBSTITUTE(S594,"  "," ")))</f>
        <v>Maharashtra</v>
      </c>
      <c r="U594" s="3" t="s">
        <v>75</v>
      </c>
      <c r="V594" s="6" t="str">
        <f>PROPER(TRIM(SUBSTITUTE(U594,"  "," ")))</f>
        <v>Mumbai</v>
      </c>
      <c r="W594" s="3" t="s">
        <v>30</v>
      </c>
      <c r="X594" s="6" t="str">
        <f>PROPER(TRIM(SUBSTITUTE(W594,"  "," ")))</f>
        <v>Office Supplies</v>
      </c>
      <c r="Y594" s="3" t="s">
        <v>156</v>
      </c>
      <c r="Z594" s="6" t="str">
        <f>PROPER(TRIM(SUBSTITUTE(Y594,"  "," ")))</f>
        <v>Storage</v>
      </c>
      <c r="AA594" s="3" t="s">
        <v>1673</v>
      </c>
      <c r="AB594" s="3" t="s">
        <v>67</v>
      </c>
      <c r="AC594" s="6" t="str">
        <f>PROPER(TRIM(SUBSTITUTE(AB594,"  "," ")))</f>
        <v>Standard Class</v>
      </c>
      <c r="AD594" s="3">
        <v>4</v>
      </c>
      <c r="AE594" s="3">
        <v>4053.03</v>
      </c>
      <c r="AF594" s="3">
        <v>0.05</v>
      </c>
      <c r="AG594" s="17">
        <v>0.05</v>
      </c>
      <c r="AH594" s="6" t="str">
        <f t="shared" si="75"/>
        <v>Valid</v>
      </c>
      <c r="AI594" s="3">
        <v>15401.51</v>
      </c>
      <c r="AJ594" s="3">
        <v>8650.42</v>
      </c>
      <c r="AK594" s="3">
        <v>6751.09</v>
      </c>
      <c r="AL594" s="3" t="s">
        <v>34</v>
      </c>
      <c r="AM594" s="6" t="str">
        <f>PROPER(TRIM(SUBSTITUTE(AL594,".","")))</f>
        <v>Paid</v>
      </c>
      <c r="AN594" s="3" t="s">
        <v>35</v>
      </c>
      <c r="AO594" s="8" t="str">
        <f>PROPER(TRIM(SUBSTITUTE(AN594,".","")))</f>
        <v>Completed</v>
      </c>
      <c r="AP594" t="str">
        <f>IF(COUNTIF($A$2:$A$933, A594) &gt; 1, "Duplicate ID", "Unique")</f>
        <v>Unique</v>
      </c>
      <c r="AR594">
        <f t="shared" si="76"/>
        <v>15401.513999999999</v>
      </c>
      <c r="AS594">
        <f t="shared" si="77"/>
        <v>6751.0939999999991</v>
      </c>
      <c r="AT594" s="15">
        <f t="shared" si="78"/>
        <v>0.43833963336331738</v>
      </c>
      <c r="AU594" t="str">
        <f t="shared" si="79"/>
        <v>Clean</v>
      </c>
      <c r="AV594" s="8" t="str">
        <f t="shared" si="80"/>
        <v>Active</v>
      </c>
    </row>
    <row r="595" spans="1:48">
      <c r="A595" s="3" t="s">
        <v>2472</v>
      </c>
      <c r="B595" s="3" t="s">
        <v>2473</v>
      </c>
      <c r="C595" s="9">
        <f>IFERROR(DATEVALUE(TEXT(B595,"DD/MM/YYYY")), IF(ISNUMBER(B595), B595, ""))</f>
        <v>45789</v>
      </c>
      <c r="D595" s="9" t="str">
        <f>IF(B595="","Missing", IF(AND(ISNUMBER(B595)=FALSE, C595=""),"Invalid - Could Not Parse", IF(AND(ISNUMBER(B595)=FALSE, C595&lt;&gt;""),"Text - Converted to Date", IF(ISNUMBER(B595),"Valid","Check"))))</f>
        <v>Text - Converted to Date</v>
      </c>
      <c r="E595" s="5">
        <f t="shared" si="73"/>
        <v>5</v>
      </c>
      <c r="F595" s="5">
        <f t="shared" si="74"/>
        <v>2025</v>
      </c>
      <c r="G595" s="3" t="s">
        <v>2474</v>
      </c>
      <c r="H595" s="9">
        <f>IFERROR(DATEVALUE(MID(G595,4,2) &amp; "/" &amp; LEFT(G595,2) &amp; "/" &amp; RIGHT(G595,4)), IF(ISNUMBER(G595), G595, IFERROR(DATEVALUE(G595), "")))</f>
        <v>45791</v>
      </c>
      <c r="I595" s="9" t="str">
        <f>IF(G595="","Missing", IF(AND(ISNUMBER(G595)=FALSE, H595=""),"Invalid - Could Not Parse", IF(AND(ISNUMBER(G595)=FALSE, H595&lt;&gt;""),"Text - Converted to Date", IF(ISNUMBER(G595),"Valid","Check"))))</f>
        <v>Text - Converted to Date</v>
      </c>
      <c r="J595" s="9" t="str">
        <f>IF(OR(C595="", H595=""), "Cannot Check - Date Missing", IF(H595&lt;C595, "Invalid - Ship Before Order", "Valid"))</f>
        <v>Valid</v>
      </c>
      <c r="K595" s="5">
        <f>IF(OR(C595="", H595=""), "", IF(H595&lt;C595, "", H595-C595))</f>
        <v>2</v>
      </c>
      <c r="L595" s="3" t="s">
        <v>2475</v>
      </c>
      <c r="M595" s="3" t="s">
        <v>93</v>
      </c>
      <c r="N595" s="4" t="str">
        <f>TRIM(SUBSTITUTE(M595,"_"," "))</f>
        <v>Neha Gupta</v>
      </c>
      <c r="O595" s="3" t="s">
        <v>26</v>
      </c>
      <c r="P595" s="6" t="str">
        <f>PROPER(TRIM(SUBSTITUTE(O595,".","")))</f>
        <v>Consumer</v>
      </c>
      <c r="Q595" s="3" t="s">
        <v>73</v>
      </c>
      <c r="R595" s="7" t="str">
        <f>PROPER(TRIM(SUBSTITUTE(Q595,"  "," ")))</f>
        <v>West</v>
      </c>
      <c r="S595" s="3" t="s">
        <v>235</v>
      </c>
      <c r="T595" s="6" t="str">
        <f>PROPER(TRIM(SUBSTITUTE(S595,"  "," ")))</f>
        <v>Gujarat</v>
      </c>
      <c r="U595" s="3" t="s">
        <v>236</v>
      </c>
      <c r="V595" s="6" t="str">
        <f>PROPER(TRIM(SUBSTITUTE(U595,"  "," ")))</f>
        <v>Ahmedabad</v>
      </c>
      <c r="W595" s="3" t="s">
        <v>86</v>
      </c>
      <c r="X595" s="6" t="str">
        <f>PROPER(TRIM(SUBSTITUTE(W595,"  "," ")))</f>
        <v>Technology</v>
      </c>
      <c r="Y595" s="3" t="s">
        <v>382</v>
      </c>
      <c r="Z595" s="6" t="str">
        <f>PROPER(TRIM(SUBSTITUTE(Y595,"  "," ")))</f>
        <v>Machines</v>
      </c>
      <c r="AA595" s="3" t="s">
        <v>2476</v>
      </c>
      <c r="AB595" s="3" t="s">
        <v>48</v>
      </c>
      <c r="AC595" s="6" t="str">
        <f>PROPER(TRIM(SUBSTITUTE(AB595,"  "," ")))</f>
        <v>Same Day</v>
      </c>
      <c r="AD595" s="3">
        <v>8</v>
      </c>
      <c r="AE595" s="3">
        <v>3631.44</v>
      </c>
      <c r="AF595" s="3">
        <v>0.2</v>
      </c>
      <c r="AG595" s="17">
        <v>0.2</v>
      </c>
      <c r="AH595" s="6" t="str">
        <f t="shared" si="75"/>
        <v>Valid</v>
      </c>
      <c r="AI595" s="3">
        <v>23241.22</v>
      </c>
      <c r="AJ595" s="3">
        <v>17220.900000000001</v>
      </c>
      <c r="AK595" s="3">
        <v>6020.32</v>
      </c>
      <c r="AL595" s="3" t="s">
        <v>34</v>
      </c>
      <c r="AM595" s="6" t="str">
        <f>PROPER(TRIM(SUBSTITUTE(AL595,".","")))</f>
        <v>Paid</v>
      </c>
      <c r="AN595" s="3" t="s">
        <v>35</v>
      </c>
      <c r="AO595" s="8" t="str">
        <f>PROPER(TRIM(SUBSTITUTE(AN595,".","")))</f>
        <v>Completed</v>
      </c>
      <c r="AP595" t="str">
        <f>IF(COUNTIF($A$2:$A$933, A595) &gt; 1, "Duplicate ID", "Unique")</f>
        <v>Unique</v>
      </c>
      <c r="AR595">
        <f t="shared" si="76"/>
        <v>23241.216</v>
      </c>
      <c r="AS595">
        <f t="shared" si="77"/>
        <v>6020.3159999999989</v>
      </c>
      <c r="AT595" s="15">
        <f t="shared" si="78"/>
        <v>0.25903618812371948</v>
      </c>
      <c r="AU595" t="str">
        <f t="shared" si="79"/>
        <v>Clean</v>
      </c>
      <c r="AV595" s="8" t="str">
        <f t="shared" si="80"/>
        <v>Active</v>
      </c>
    </row>
    <row r="596" spans="1:48">
      <c r="A596" s="3" t="s">
        <v>3904</v>
      </c>
      <c r="B596" s="3" t="s">
        <v>3905</v>
      </c>
      <c r="C596" s="9">
        <f>IFERROR(DATEVALUE(TEXT(B596,"DD/MM/YYYY")), IF(ISNUMBER(B596), B596, ""))</f>
        <v>45793</v>
      </c>
      <c r="D596" s="9" t="str">
        <f>IF(B596="","Missing", IF(AND(ISNUMBER(B596)=FALSE, C596=""),"Invalid - Could Not Parse", IF(AND(ISNUMBER(B596)=FALSE, C596&lt;&gt;""),"Text - Converted to Date", IF(ISNUMBER(B596),"Valid","Check"))))</f>
        <v>Text - Converted to Date</v>
      </c>
      <c r="E596" s="5">
        <f t="shared" si="73"/>
        <v>5</v>
      </c>
      <c r="F596" s="5">
        <f t="shared" si="74"/>
        <v>2025</v>
      </c>
      <c r="G596" s="3" t="s">
        <v>3883</v>
      </c>
      <c r="H596" s="9">
        <f>IFERROR(DATEVALUE(MID(G596,4,2) &amp; "/" &amp; LEFT(G596,2) &amp; "/" &amp; RIGHT(G596,4)), IF(ISNUMBER(G596), G596, IFERROR(DATEVALUE(G596), "")))</f>
        <v>45799</v>
      </c>
      <c r="I596" s="9" t="str">
        <f>IF(G596="","Missing", IF(AND(ISNUMBER(G596)=FALSE, H596=""),"Invalid - Could Not Parse", IF(AND(ISNUMBER(G596)=FALSE, H596&lt;&gt;""),"Text - Converted to Date", IF(ISNUMBER(G596),"Valid","Check"))))</f>
        <v>Text - Converted to Date</v>
      </c>
      <c r="J596" s="9" t="str">
        <f>IF(OR(C596="", H596=""), "Cannot Check - Date Missing", IF(H596&lt;C596, "Invalid - Ship Before Order", "Valid"))</f>
        <v>Valid</v>
      </c>
      <c r="K596" s="5">
        <f>IF(OR(C596="", H596=""), "", IF(H596&lt;C596, "", H596-C596))</f>
        <v>6</v>
      </c>
      <c r="L596" s="3" t="s">
        <v>3906</v>
      </c>
      <c r="M596" s="3" t="s">
        <v>61</v>
      </c>
      <c r="N596" s="4" t="str">
        <f>TRIM(SUBSTITUTE(M596,"_"," "))</f>
        <v>Arjun Bose</v>
      </c>
      <c r="O596" s="3" t="s">
        <v>108</v>
      </c>
      <c r="P596" s="6" t="str">
        <f>PROPER(TRIM(SUBSTITUTE(O596,".","")))</f>
        <v>Corporate</v>
      </c>
      <c r="Q596" s="3" t="s">
        <v>62</v>
      </c>
      <c r="R596" s="7" t="str">
        <f>PROPER(TRIM(SUBSTITUTE(Q596,"  "," ")))</f>
        <v>South</v>
      </c>
      <c r="S596" s="3" t="s">
        <v>339</v>
      </c>
      <c r="T596" s="6" t="str">
        <f>PROPER(TRIM(SUBSTITUTE(S596,"  "," ")))</f>
        <v>Tamil Nadu</v>
      </c>
      <c r="U596" s="3" t="s">
        <v>340</v>
      </c>
      <c r="V596" s="6" t="str">
        <f>PROPER(TRIM(SUBSTITUTE(U596,"  "," ")))</f>
        <v>Chennai</v>
      </c>
      <c r="W596" s="3" t="s">
        <v>86</v>
      </c>
      <c r="X596" s="6" t="str">
        <f>PROPER(TRIM(SUBSTITUTE(W596,"  "," ")))</f>
        <v>Technology</v>
      </c>
      <c r="Y596" s="3" t="s">
        <v>87</v>
      </c>
      <c r="Z596" s="6" t="str">
        <f>PROPER(TRIM(SUBSTITUTE(Y596,"  "," ")))</f>
        <v>Accessories</v>
      </c>
      <c r="AA596" s="3" t="s">
        <v>3907</v>
      </c>
      <c r="AB596" s="3" t="s">
        <v>48</v>
      </c>
      <c r="AC596" s="6" t="str">
        <f>PROPER(TRIM(SUBSTITUTE(AB596,"  "," ")))</f>
        <v>Same Day</v>
      </c>
      <c r="AD596" s="3">
        <v>8</v>
      </c>
      <c r="AE596" s="3">
        <v>579.79999999999995</v>
      </c>
      <c r="AF596" s="3">
        <v>0.2</v>
      </c>
      <c r="AG596" s="17">
        <v>0.2</v>
      </c>
      <c r="AH596" s="6" t="str">
        <f t="shared" si="75"/>
        <v>Valid</v>
      </c>
      <c r="AI596" s="3">
        <v>3710.72</v>
      </c>
      <c r="AJ596" s="3">
        <v>3115.29</v>
      </c>
      <c r="AK596" s="3">
        <v>595.42999999999995</v>
      </c>
      <c r="AL596" s="3" t="s">
        <v>34</v>
      </c>
      <c r="AM596" s="6" t="str">
        <f>PROPER(TRIM(SUBSTITUTE(AL596,".","")))</f>
        <v>Paid</v>
      </c>
      <c r="AN596" s="3" t="s">
        <v>35</v>
      </c>
      <c r="AO596" s="8" t="str">
        <f>PROPER(TRIM(SUBSTITUTE(AN596,".","")))</f>
        <v>Completed</v>
      </c>
      <c r="AP596" t="str">
        <f>IF(COUNTIF($A$2:$A$933, A596) &gt; 1, "Duplicate ID", "Unique")</f>
        <v>Unique</v>
      </c>
      <c r="AR596">
        <f t="shared" si="76"/>
        <v>3710.72</v>
      </c>
      <c r="AS596">
        <f t="shared" si="77"/>
        <v>595.42999999999984</v>
      </c>
      <c r="AT596" s="15">
        <f t="shared" si="78"/>
        <v>0.16046212055881334</v>
      </c>
      <c r="AU596" t="str">
        <f t="shared" si="79"/>
        <v>Clean</v>
      </c>
      <c r="AV596" s="8" t="str">
        <f t="shared" si="80"/>
        <v>Active</v>
      </c>
    </row>
    <row r="597" spans="1:48">
      <c r="A597" s="3" t="s">
        <v>89</v>
      </c>
      <c r="B597" s="3" t="s">
        <v>90</v>
      </c>
      <c r="C597" s="9">
        <f>IFERROR(DATEVALUE(TEXT(B597,"DD/MM/YYYY")), IF(ISNUMBER(B597), B597, ""))</f>
        <v>45934</v>
      </c>
      <c r="D597" s="9" t="str">
        <f>IF(B597="","Missing", IF(AND(ISNUMBER(B597)=FALSE, C597=""),"Invalid - Could Not Parse", IF(AND(ISNUMBER(B597)=FALSE, C597&lt;&gt;""),"Text - Converted to Date", IF(ISNUMBER(B597),"Valid","Check"))))</f>
        <v>Text - Converted to Date</v>
      </c>
      <c r="E597" s="5">
        <f t="shared" si="73"/>
        <v>10</v>
      </c>
      <c r="F597" s="5">
        <f t="shared" si="74"/>
        <v>2025</v>
      </c>
      <c r="G597" s="3" t="s">
        <v>91</v>
      </c>
      <c r="H597" s="9">
        <f>IFERROR(DATEVALUE(MID(G597,4,2) &amp; "/" &amp; LEFT(G597,2) &amp; "/" &amp; RIGHT(G597,4)), IF(ISNUMBER(G597), G597, IFERROR(DATEVALUE(G597), "")))</f>
        <v>45763</v>
      </c>
      <c r="I597" s="9" t="str">
        <f>IF(G597="","Missing", IF(AND(ISNUMBER(G597)=FALSE, H597=""),"Invalid - Could Not Parse", IF(AND(ISNUMBER(G597)=FALSE, H597&lt;&gt;""),"Text - Converted to Date", IF(ISNUMBER(G597),"Valid","Check"))))</f>
        <v>Text - Converted to Date</v>
      </c>
      <c r="J597" s="9" t="str">
        <f>IF(OR(C597="", H597=""), "Cannot Check - Date Missing", IF(H597&lt;C597, "Invalid - Ship Before Order", "Valid"))</f>
        <v>Invalid - Ship Before Order</v>
      </c>
      <c r="K597" s="5" t="str">
        <f>IF(OR(C597="", H597=""), "", IF(H597&lt;C597, "", H597-C597))</f>
        <v/>
      </c>
      <c r="L597" s="3" t="s">
        <v>92</v>
      </c>
      <c r="M597" s="3" t="s">
        <v>93</v>
      </c>
      <c r="N597" s="4" t="str">
        <f>TRIM(SUBSTITUTE(M597,"_"," "))</f>
        <v>Neha Gupta</v>
      </c>
      <c r="O597" s="3" t="s">
        <v>26</v>
      </c>
      <c r="P597" s="6" t="str">
        <f>PROPER(TRIM(SUBSTITUTE(O597,".","")))</f>
        <v>Consumer</v>
      </c>
      <c r="Q597" s="3" t="s">
        <v>42</v>
      </c>
      <c r="R597" s="7" t="str">
        <f>PROPER(TRIM(SUBSTITUTE(Q597,"  "," ")))</f>
        <v>East</v>
      </c>
      <c r="S597" s="3" t="s">
        <v>43</v>
      </c>
      <c r="T597" s="6" t="str">
        <f>PROPER(TRIM(SUBSTITUTE(S597,"  "," ")))</f>
        <v>Odisha</v>
      </c>
      <c r="U597" s="3" t="s">
        <v>44</v>
      </c>
      <c r="V597" s="6" t="str">
        <f>PROPER(TRIM(SUBSTITUTE(U597,"  "," ")))</f>
        <v>Bhubaneswar</v>
      </c>
      <c r="W597" s="3" t="s">
        <v>86</v>
      </c>
      <c r="X597" s="6" t="str">
        <f>PROPER(TRIM(SUBSTITUTE(W597,"  "," ")))</f>
        <v>Technology</v>
      </c>
      <c r="Y597" s="3" t="s">
        <v>94</v>
      </c>
      <c r="Z597" s="6" t="str">
        <f>PROPER(TRIM(SUBSTITUTE(Y597,"  "," ")))</f>
        <v>Copiers</v>
      </c>
      <c r="AA597" s="3" t="s">
        <v>95</v>
      </c>
      <c r="AB597" s="3" t="s">
        <v>67</v>
      </c>
      <c r="AC597" s="6" t="str">
        <f>PROPER(TRIM(SUBSTITUTE(AB597,"  "," ")))</f>
        <v>Standard Class</v>
      </c>
      <c r="AD597" s="3">
        <v>4</v>
      </c>
      <c r="AE597" s="3">
        <v>1719.87</v>
      </c>
      <c r="AF597" s="3">
        <v>0.15</v>
      </c>
      <c r="AG597" s="17">
        <v>0.15</v>
      </c>
      <c r="AH597" s="6" t="str">
        <f t="shared" si="75"/>
        <v>Valid</v>
      </c>
      <c r="AI597" s="3">
        <v>5847.56</v>
      </c>
      <c r="AJ597" s="3">
        <v>4727.25</v>
      </c>
      <c r="AK597" s="3">
        <v>1120.31</v>
      </c>
      <c r="AL597" s="3" t="s">
        <v>34</v>
      </c>
      <c r="AM597" s="6" t="str">
        <f>PROPER(TRIM(SUBSTITUTE(AL597,".","")))</f>
        <v>Paid</v>
      </c>
      <c r="AN597" s="3" t="s">
        <v>35</v>
      </c>
      <c r="AO597" s="8" t="str">
        <f>PROPER(TRIM(SUBSTITUTE(AN597,".","")))</f>
        <v>Completed</v>
      </c>
      <c r="AP597" t="str">
        <f>IF(COUNTIF($A$2:$A$933, A597) &gt; 1, "Duplicate ID", "Unique")</f>
        <v>Unique</v>
      </c>
      <c r="AR597">
        <f t="shared" si="76"/>
        <v>5847.5579999999991</v>
      </c>
      <c r="AS597">
        <f t="shared" si="77"/>
        <v>1120.3079999999991</v>
      </c>
      <c r="AT597" s="15">
        <f t="shared" si="78"/>
        <v>0.19158561573908275</v>
      </c>
      <c r="AU597" t="str">
        <f t="shared" si="79"/>
        <v>Invalid</v>
      </c>
      <c r="AV597" s="8" t="str">
        <f t="shared" si="80"/>
        <v>Active</v>
      </c>
    </row>
    <row r="598" spans="1:48">
      <c r="A598" s="3" t="s">
        <v>117</v>
      </c>
      <c r="B598" s="3" t="s">
        <v>118</v>
      </c>
      <c r="C598" s="9">
        <f>IFERROR(DATEVALUE(TEXT(B598,"DD/MM/YYYY")), IF(ISNUMBER(B598), B598, ""))</f>
        <v>45797</v>
      </c>
      <c r="D598" s="9" t="str">
        <f>IF(B598="","Missing", IF(AND(ISNUMBER(B598)=FALSE, C598=""),"Invalid - Could Not Parse", IF(AND(ISNUMBER(B598)=FALSE, C598&lt;&gt;""),"Text - Converted to Date", IF(ISNUMBER(B598),"Valid","Check"))))</f>
        <v>Text - Converted to Date</v>
      </c>
      <c r="E598" s="5">
        <f t="shared" si="73"/>
        <v>5</v>
      </c>
      <c r="F598" s="5">
        <f t="shared" si="74"/>
        <v>2025</v>
      </c>
      <c r="G598" s="3" t="s">
        <v>119</v>
      </c>
      <c r="H598" s="9">
        <f>IFERROR(DATEVALUE(MID(G598,4,2) &amp; "/" &amp; LEFT(G598,2) &amp; "/" &amp; RIGHT(G598,4)), IF(ISNUMBER(G598), G598, IFERROR(DATEVALUE(G598), "")))</f>
        <v>45797</v>
      </c>
      <c r="I598" s="9" t="str">
        <f>IF(G598="","Missing", IF(AND(ISNUMBER(G598)=FALSE, H598=""),"Invalid - Could Not Parse", IF(AND(ISNUMBER(G598)=FALSE, H598&lt;&gt;""),"Text - Converted to Date", IF(ISNUMBER(G598),"Valid","Check"))))</f>
        <v>Text - Converted to Date</v>
      </c>
      <c r="J598" s="9" t="str">
        <f>IF(OR(C598="", H598=""), "Cannot Check - Date Missing", IF(H598&lt;C598, "Invalid - Ship Before Order", "Valid"))</f>
        <v>Valid</v>
      </c>
      <c r="K598" s="5">
        <f>IF(OR(C598="", H598=""), "", IF(H598&lt;C598, "", H598-C598))</f>
        <v>0</v>
      </c>
      <c r="L598" s="3" t="s">
        <v>120</v>
      </c>
      <c r="M598" s="3" t="s">
        <v>72</v>
      </c>
      <c r="N598" s="4" t="str">
        <f>TRIM(SUBSTITUTE(M598,"_"," "))</f>
        <v>Ananya Rao</v>
      </c>
      <c r="O598" s="3" t="s">
        <v>108</v>
      </c>
      <c r="P598" s="6" t="str">
        <f>PROPER(TRIM(SUBSTITUTE(O598,".","")))</f>
        <v>Corporate</v>
      </c>
      <c r="Q598" s="3" t="s">
        <v>42</v>
      </c>
      <c r="R598" s="7" t="str">
        <f>PROPER(TRIM(SUBSTITUTE(Q598,"  "," ")))</f>
        <v>East</v>
      </c>
      <c r="S598" s="3" t="s">
        <v>121</v>
      </c>
      <c r="T598" s="6" t="str">
        <f>PROPER(TRIM(SUBSTITUTE(S598,"  "," ")))</f>
        <v>West Bengal</v>
      </c>
      <c r="U598" s="3" t="s">
        <v>122</v>
      </c>
      <c r="V598" s="6" t="str">
        <f>PROPER(TRIM(SUBSTITUTE(U598,"  "," ")))</f>
        <v>Kolkata</v>
      </c>
      <c r="W598" s="3" t="s">
        <v>30</v>
      </c>
      <c r="X598" s="6" t="str">
        <f>PROPER(TRIM(SUBSTITUTE(W598,"  "," ")))</f>
        <v>Office Supplies</v>
      </c>
      <c r="Y598" s="3" t="s">
        <v>109</v>
      </c>
      <c r="Z598" s="6" t="str">
        <f>PROPER(TRIM(SUBSTITUTE(Y598,"  "," ")))</f>
        <v>Labels</v>
      </c>
      <c r="AA598" s="3" t="s">
        <v>123</v>
      </c>
      <c r="AB598" s="3" t="s">
        <v>33</v>
      </c>
      <c r="AC598" s="6" t="str">
        <f>PROPER(TRIM(SUBSTITUTE(AB598,"  "," ")))</f>
        <v>Second Class</v>
      </c>
      <c r="AD598" s="3">
        <v>3</v>
      </c>
      <c r="AE598" s="3">
        <v>3534.83</v>
      </c>
      <c r="AF598" s="3">
        <v>0.05</v>
      </c>
      <c r="AG598" s="17">
        <v>0.05</v>
      </c>
      <c r="AH598" s="6" t="str">
        <f t="shared" si="75"/>
        <v>Valid</v>
      </c>
      <c r="AI598" s="3">
        <v>10074.27</v>
      </c>
      <c r="AJ598" s="3">
        <v>6048.27</v>
      </c>
      <c r="AK598" s="3">
        <v>4026</v>
      </c>
      <c r="AL598" s="3" t="s">
        <v>124</v>
      </c>
      <c r="AM598" s="6" t="str">
        <f>PROPER(TRIM(SUBSTITUTE(AL598,".","")))</f>
        <v>Refunded</v>
      </c>
      <c r="AN598" s="3" t="s">
        <v>125</v>
      </c>
      <c r="AO598" s="8" t="str">
        <f>PROPER(TRIM(SUBSTITUTE(AN598,".","")))</f>
        <v>Returned</v>
      </c>
      <c r="AP598" t="str">
        <f>IF(COUNTIF($A$2:$A$933, A598) &gt; 1, "Duplicate ID", "Unique")</f>
        <v>Unique</v>
      </c>
      <c r="AR598">
        <f t="shared" si="76"/>
        <v>10074.2655</v>
      </c>
      <c r="AS598">
        <f t="shared" si="77"/>
        <v>4025.9954999999991</v>
      </c>
      <c r="AT598" s="15">
        <f t="shared" si="78"/>
        <v>0.39963166545491574</v>
      </c>
      <c r="AU598" t="str">
        <f t="shared" si="79"/>
        <v>Clean</v>
      </c>
      <c r="AV598" s="8" t="str">
        <f t="shared" si="80"/>
        <v>Refund</v>
      </c>
    </row>
    <row r="599" spans="1:48">
      <c r="A599" s="3" t="s">
        <v>3143</v>
      </c>
      <c r="B599" s="3" t="s">
        <v>3144</v>
      </c>
      <c r="C599" s="9">
        <f>IFERROR(DATEVALUE(TEXT(B599,"DD/MM/YYYY")), IF(ISNUMBER(B599), B599, ""))</f>
        <v>45797</v>
      </c>
      <c r="D599" s="9" t="str">
        <f>IF(B599="","Missing", IF(AND(ISNUMBER(B599)=FALSE, C599=""),"Invalid - Could Not Parse", IF(AND(ISNUMBER(B599)=FALSE, C599&lt;&gt;""),"Text - Converted to Date", IF(ISNUMBER(B599),"Valid","Check"))))</f>
        <v>Text - Converted to Date</v>
      </c>
      <c r="E599" s="5">
        <f t="shared" si="73"/>
        <v>5</v>
      </c>
      <c r="F599" s="5">
        <f t="shared" si="74"/>
        <v>2025</v>
      </c>
      <c r="G599" s="3" t="s">
        <v>3145</v>
      </c>
      <c r="H599" s="9">
        <f>IFERROR(DATEVALUE(TEXT(G599,"DD/MM/YYYY")), IF(ISNUMBER(G599), G599, ""))</f>
        <v>45804</v>
      </c>
      <c r="I599" s="9" t="str">
        <f>IF(G599="","Missing", IF(AND(ISNUMBER(G599)=FALSE, H599=""),"Invalid - Could Not Parse", IF(AND(ISNUMBER(G599)=FALSE, H599&lt;&gt;""),"Text - Converted to Date", IF(ISNUMBER(G599),"Valid","Check"))))</f>
        <v>Text - Converted to Date</v>
      </c>
      <c r="J599" s="9" t="str">
        <f>IF(OR(C599="", H599=""), "Cannot Check - Date Missing", IF(H599&lt;C599, "Invalid - Ship Before Order", "Valid"))</f>
        <v>Valid</v>
      </c>
      <c r="K599" s="5">
        <f>IF(OR(C599="", H599=""), "", IF(H599&lt;C599, "", H599-C599))</f>
        <v>7</v>
      </c>
      <c r="L599" s="3" t="s">
        <v>3146</v>
      </c>
      <c r="M599" s="3" t="s">
        <v>210</v>
      </c>
      <c r="N599" s="4" t="str">
        <f>TRIM(SUBSTITUTE(M599,"_"," "))</f>
        <v>Diya Patel</v>
      </c>
      <c r="O599" s="3" t="s">
        <v>41</v>
      </c>
      <c r="P599" s="6" t="str">
        <f>PROPER(TRIM(SUBSTITUTE(O599,".","")))</f>
        <v>Small Business</v>
      </c>
      <c r="Q599" s="3" t="s">
        <v>42</v>
      </c>
      <c r="R599" s="7" t="str">
        <f>PROPER(TRIM(SUBSTITUTE(Q599,"  "," ")))</f>
        <v>East</v>
      </c>
      <c r="S599" s="3" t="s">
        <v>186</v>
      </c>
      <c r="T599" s="6" t="str">
        <f>PROPER(TRIM(SUBSTITUTE(S599,"  "," ")))</f>
        <v>Bihar</v>
      </c>
      <c r="U599" s="3" t="s">
        <v>187</v>
      </c>
      <c r="V599" s="6" t="str">
        <f>PROPER(TRIM(SUBSTITUTE(U599,"  "," ")))</f>
        <v>Patna</v>
      </c>
      <c r="W599" s="3" t="s">
        <v>86</v>
      </c>
      <c r="X599" s="6" t="str">
        <f>PROPER(TRIM(SUBSTITUTE(W599,"  "," ")))</f>
        <v>Technology</v>
      </c>
      <c r="Y599" s="3" t="s">
        <v>382</v>
      </c>
      <c r="Z599" s="6" t="str">
        <f>PROPER(TRIM(SUBSTITUTE(Y599,"  "," ")))</f>
        <v>Machines</v>
      </c>
      <c r="AA599" s="3" t="s">
        <v>3147</v>
      </c>
      <c r="AB599" s="3" t="s">
        <v>67</v>
      </c>
      <c r="AC599" s="6" t="str">
        <f>PROPER(TRIM(SUBSTITUTE(AB599,"  "," ")))</f>
        <v>Standard Class</v>
      </c>
      <c r="AD599" s="3">
        <v>1</v>
      </c>
      <c r="AE599" s="3">
        <v>3959.14</v>
      </c>
      <c r="AF599" s="3">
        <v>0</v>
      </c>
      <c r="AG599" s="17">
        <v>0</v>
      </c>
      <c r="AH599" s="6" t="str">
        <f t="shared" si="75"/>
        <v>Valid</v>
      </c>
      <c r="AI599" s="3">
        <v>3959.14</v>
      </c>
      <c r="AJ599" s="3">
        <v>3239.53</v>
      </c>
      <c r="AK599" s="3">
        <v>719.61</v>
      </c>
      <c r="AL599" s="3" t="s">
        <v>137</v>
      </c>
      <c r="AM599" s="6" t="str">
        <f>PROPER(TRIM(SUBSTITUTE(AL599,".","")))</f>
        <v>Pending</v>
      </c>
      <c r="AN599" s="3" t="s">
        <v>125</v>
      </c>
      <c r="AO599" s="8" t="str">
        <f>PROPER(TRIM(SUBSTITUTE(AN599,".","")))</f>
        <v>Returned</v>
      </c>
      <c r="AP599" t="str">
        <f>IF(COUNTIF($A$2:$A$933, A599) &gt; 1, "Duplicate ID", "Unique")</f>
        <v>Unique</v>
      </c>
      <c r="AR599">
        <f t="shared" si="76"/>
        <v>3959.14</v>
      </c>
      <c r="AS599">
        <f t="shared" si="77"/>
        <v>719.60999999999967</v>
      </c>
      <c r="AT599" s="15">
        <f t="shared" si="78"/>
        <v>0.18175916992074029</v>
      </c>
      <c r="AU599" t="str">
        <f t="shared" si="79"/>
        <v>Clean</v>
      </c>
      <c r="AV599" s="8" t="str">
        <f t="shared" si="80"/>
        <v>Active</v>
      </c>
    </row>
    <row r="600" spans="1:48">
      <c r="A600" s="3" t="s">
        <v>3881</v>
      </c>
      <c r="B600" s="3" t="s">
        <v>3882</v>
      </c>
      <c r="C600" s="9">
        <f>IFERROR(DATEVALUE(TEXT(B600,"DD/MM/YYYY")), IF(ISNUMBER(B600), B600, ""))</f>
        <v>45797</v>
      </c>
      <c r="D600" s="9" t="str">
        <f>IF(B600="","Missing", IF(AND(ISNUMBER(B600)=FALSE, C600=""),"Invalid - Could Not Parse", IF(AND(ISNUMBER(B600)=FALSE, C600&lt;&gt;""),"Text - Converted to Date", IF(ISNUMBER(B600),"Valid","Check"))))</f>
        <v>Text - Converted to Date</v>
      </c>
      <c r="E600" s="5">
        <f t="shared" si="73"/>
        <v>5</v>
      </c>
      <c r="F600" s="5">
        <f t="shared" si="74"/>
        <v>2025</v>
      </c>
      <c r="G600" s="3" t="s">
        <v>3883</v>
      </c>
      <c r="H600" s="9">
        <f>IFERROR(DATEVALUE(MID(G600,4,2) &amp; "/" &amp; LEFT(G600,2) &amp; "/" &amp; RIGHT(G600,4)), IF(ISNUMBER(G600), G600, IFERROR(DATEVALUE(G600), "")))</f>
        <v>45799</v>
      </c>
      <c r="I600" s="9" t="str">
        <f>IF(G600="","Missing", IF(AND(ISNUMBER(G600)=FALSE, H600=""),"Invalid - Could Not Parse", IF(AND(ISNUMBER(G600)=FALSE, H600&lt;&gt;""),"Text - Converted to Date", IF(ISNUMBER(G600),"Valid","Check"))))</f>
        <v>Text - Converted to Date</v>
      </c>
      <c r="J600" s="9" t="str">
        <f>IF(OR(C600="", H600=""), "Cannot Check - Date Missing", IF(H600&lt;C600, "Invalid - Ship Before Order", "Valid"))</f>
        <v>Valid</v>
      </c>
      <c r="K600" s="5">
        <f>IF(OR(C600="", H600=""), "", IF(H600&lt;C600, "", H600-C600))</f>
        <v>2</v>
      </c>
      <c r="L600" s="3" t="s">
        <v>3884</v>
      </c>
      <c r="M600" s="3" t="s">
        <v>210</v>
      </c>
      <c r="N600" s="4" t="str">
        <f>TRIM(SUBSTITUTE(M600,"_"," "))</f>
        <v>Diya Patel</v>
      </c>
      <c r="O600" s="3" t="s">
        <v>115</v>
      </c>
      <c r="P600" s="6" t="str">
        <f>PROPER(TRIM(SUBSTITUTE(O600,".","")))</f>
        <v>Home Office</v>
      </c>
      <c r="Q600" s="3" t="s">
        <v>42</v>
      </c>
      <c r="R600" s="7" t="str">
        <f>PROPER(TRIM(SUBSTITUTE(Q600,"  "," ")))</f>
        <v>East</v>
      </c>
      <c r="S600" s="3" t="s">
        <v>43</v>
      </c>
      <c r="T600" s="6" t="str">
        <f>PROPER(TRIM(SUBSTITUTE(S600,"  "," ")))</f>
        <v>Odisha</v>
      </c>
      <c r="U600" s="3" t="s">
        <v>44</v>
      </c>
      <c r="V600" s="6" t="str">
        <f>PROPER(TRIM(SUBSTITUTE(U600,"  "," ")))</f>
        <v>Bhubaneswar</v>
      </c>
      <c r="W600" s="3" t="s">
        <v>45</v>
      </c>
      <c r="X600" s="6" t="str">
        <f>PROPER(TRIM(SUBSTITUTE(W600,"  "," ")))</f>
        <v>Furniture</v>
      </c>
      <c r="Y600" s="3" t="s">
        <v>46</v>
      </c>
      <c r="Z600" s="6" t="str">
        <f>PROPER(TRIM(SUBSTITUTE(Y600,"  "," ")))</f>
        <v>Tables</v>
      </c>
      <c r="AA600" s="3" t="s">
        <v>3885</v>
      </c>
      <c r="AB600" s="3" t="s">
        <v>33</v>
      </c>
      <c r="AC600" s="6" t="str">
        <f>PROPER(TRIM(SUBSTITUTE(AB600,"  "," ")))</f>
        <v>Second Class</v>
      </c>
      <c r="AD600" s="3">
        <v>2</v>
      </c>
      <c r="AE600" s="3">
        <v>210.08</v>
      </c>
      <c r="AF600" s="3">
        <v>0.2</v>
      </c>
      <c r="AG600" s="17">
        <v>0.2</v>
      </c>
      <c r="AH600" s="6" t="str">
        <f t="shared" si="75"/>
        <v>Valid</v>
      </c>
      <c r="AI600" s="3">
        <v>336.13</v>
      </c>
      <c r="AJ600" s="3">
        <v>242.19</v>
      </c>
      <c r="AK600" s="3">
        <v>93.94</v>
      </c>
      <c r="AL600" s="3" t="s">
        <v>34</v>
      </c>
      <c r="AM600" s="6" t="str">
        <f>PROPER(TRIM(SUBSTITUTE(AL600,".","")))</f>
        <v>Paid</v>
      </c>
      <c r="AN600" s="3" t="s">
        <v>35</v>
      </c>
      <c r="AO600" s="8" t="str">
        <f>PROPER(TRIM(SUBSTITUTE(AN600,".","")))</f>
        <v>Completed</v>
      </c>
      <c r="AP600" t="str">
        <f>IF(COUNTIF($A$2:$A$933, A600) &gt; 1, "Duplicate ID", "Unique")</f>
        <v>Unique</v>
      </c>
      <c r="AR600">
        <f t="shared" si="76"/>
        <v>336.12800000000004</v>
      </c>
      <c r="AS600">
        <f t="shared" si="77"/>
        <v>93.938000000000045</v>
      </c>
      <c r="AT600" s="15">
        <f t="shared" si="78"/>
        <v>0.27947091584158423</v>
      </c>
      <c r="AU600" t="str">
        <f t="shared" si="79"/>
        <v>Clean</v>
      </c>
      <c r="AV600" s="8" t="str">
        <f t="shared" si="80"/>
        <v>Active</v>
      </c>
    </row>
    <row r="601" spans="1:48">
      <c r="A601" s="3" t="s">
        <v>1016</v>
      </c>
      <c r="B601" s="3" t="s">
        <v>1017</v>
      </c>
      <c r="C601" s="9">
        <f>IFERROR(DATEVALUE(TEXT(B601,"DD/MM/YYYY")), IF(ISNUMBER(B601), B601, ""))</f>
        <v>45798</v>
      </c>
      <c r="D601" s="9" t="str">
        <f>IF(B601="","Missing", IF(AND(ISNUMBER(B601)=FALSE, C601=""),"Invalid - Could Not Parse", IF(AND(ISNUMBER(B601)=FALSE, C601&lt;&gt;""),"Text - Converted to Date", IF(ISNUMBER(B601),"Valid","Check"))))</f>
        <v>Text - Converted to Date</v>
      </c>
      <c r="E601" s="5">
        <f t="shared" si="73"/>
        <v>5</v>
      </c>
      <c r="F601" s="5">
        <f t="shared" si="74"/>
        <v>2025</v>
      </c>
      <c r="G601" s="3" t="s">
        <v>1018</v>
      </c>
      <c r="H601" s="9">
        <f>IFERROR(DATEVALUE(TEXT(G601,"DD/MM/YYYY")), IF(ISNUMBER(G601), G601, ""))</f>
        <v>45805</v>
      </c>
      <c r="I601" s="9" t="str">
        <f>IF(G601="","Missing", IF(AND(ISNUMBER(G601)=FALSE, H601=""),"Invalid - Could Not Parse", IF(AND(ISNUMBER(G601)=FALSE, H601&lt;&gt;""),"Text - Converted to Date", IF(ISNUMBER(G601),"Valid","Check"))))</f>
        <v>Text - Converted to Date</v>
      </c>
      <c r="J601" s="9" t="str">
        <f>IF(OR(C601="", H601=""), "Cannot Check - Date Missing", IF(H601&lt;C601, "Invalid - Ship Before Order", "Valid"))</f>
        <v>Valid</v>
      </c>
      <c r="K601" s="5">
        <f>IF(OR(C601="", H601=""), "", IF(H601&lt;C601, "", H601-C601))</f>
        <v>7</v>
      </c>
      <c r="L601" s="3" t="s">
        <v>1019</v>
      </c>
      <c r="M601" s="3" t="s">
        <v>142</v>
      </c>
      <c r="N601" s="4" t="str">
        <f>TRIM(SUBSTITUTE(M601,"_"," "))</f>
        <v>Priya Menon</v>
      </c>
      <c r="O601" s="3" t="s">
        <v>108</v>
      </c>
      <c r="P601" s="6" t="str">
        <f>PROPER(TRIM(SUBSTITUTE(O601,".","")))</f>
        <v>Corporate</v>
      </c>
      <c r="Q601" s="3" t="s">
        <v>42</v>
      </c>
      <c r="R601" s="7" t="str">
        <f>PROPER(TRIM(SUBSTITUTE(Q601,"  "," ")))</f>
        <v>East</v>
      </c>
      <c r="S601" s="3" t="s">
        <v>121</v>
      </c>
      <c r="T601" s="6" t="str">
        <f>PROPER(TRIM(SUBSTITUTE(S601,"  "," ")))</f>
        <v>West Bengal</v>
      </c>
      <c r="U601" s="3" t="s">
        <v>122</v>
      </c>
      <c r="V601" s="6" t="str">
        <f>PROPER(TRIM(SUBSTITUTE(U601,"  "," ")))</f>
        <v>Kolkata</v>
      </c>
      <c r="W601" s="3" t="s">
        <v>45</v>
      </c>
      <c r="X601" s="6" t="str">
        <f>PROPER(TRIM(SUBSTITUTE(W601,"  "," ")))</f>
        <v>Furniture</v>
      </c>
      <c r="Y601" s="3" t="s">
        <v>204</v>
      </c>
      <c r="Z601" s="6" t="str">
        <f>PROPER(TRIM(SUBSTITUTE(Y601,"  "," ")))</f>
        <v>Bookcases</v>
      </c>
      <c r="AA601" s="3" t="s">
        <v>1020</v>
      </c>
      <c r="AB601" s="3" t="s">
        <v>48</v>
      </c>
      <c r="AC601" s="6" t="str">
        <f>PROPER(TRIM(SUBSTITUTE(AB601,"  "," ")))</f>
        <v>Same Day</v>
      </c>
      <c r="AD601" s="3">
        <v>2</v>
      </c>
      <c r="AE601" s="3">
        <v>3559.57</v>
      </c>
      <c r="AF601" s="3">
        <v>0.1</v>
      </c>
      <c r="AG601" s="17">
        <v>0.1</v>
      </c>
      <c r="AH601" s="6" t="str">
        <f t="shared" si="75"/>
        <v>Valid</v>
      </c>
      <c r="AI601" s="3">
        <v>6553.95</v>
      </c>
      <c r="AJ601" s="3">
        <v>4923.09</v>
      </c>
      <c r="AK601" s="3">
        <v>1484.14</v>
      </c>
      <c r="AL601" s="3" t="s">
        <v>34</v>
      </c>
      <c r="AM601" s="6" t="str">
        <f>PROPER(TRIM(SUBSTITUTE(AL601,".","")))</f>
        <v>Paid</v>
      </c>
      <c r="AN601" s="3" t="s">
        <v>35</v>
      </c>
      <c r="AO601" s="8" t="str">
        <f>PROPER(TRIM(SUBSTITUTE(AN601,".","")))</f>
        <v>Completed</v>
      </c>
      <c r="AP601" t="str">
        <f>IF(COUNTIF($A$2:$A$933, A601) &gt; 1, "Duplicate ID", "Unique")</f>
        <v>Unique</v>
      </c>
      <c r="AR601">
        <f t="shared" si="76"/>
        <v>6407.2260000000006</v>
      </c>
      <c r="AS601">
        <f t="shared" si="77"/>
        <v>1484.1360000000004</v>
      </c>
      <c r="AT601" s="15">
        <f t="shared" si="78"/>
        <v>0.23163471992403581</v>
      </c>
      <c r="AU601" t="str">
        <f t="shared" si="79"/>
        <v>Clean</v>
      </c>
      <c r="AV601" s="8" t="str">
        <f t="shared" si="80"/>
        <v>Active</v>
      </c>
    </row>
    <row r="602" spans="1:48">
      <c r="A602" s="3" t="s">
        <v>1884</v>
      </c>
      <c r="B602" s="3" t="s">
        <v>1885</v>
      </c>
      <c r="C602" s="9">
        <f>IFERROR(DATEVALUE(TEXT(B602,"DD/MM/YYYY")), IF(ISNUMBER(B602), B602, ""))</f>
        <v>45799</v>
      </c>
      <c r="D602" s="9" t="str">
        <f>IF(B602="","Missing", IF(AND(ISNUMBER(B602)=FALSE, C602=""),"Invalid - Could Not Parse", IF(AND(ISNUMBER(B602)=FALSE, C602&lt;&gt;""),"Text - Converted to Date", IF(ISNUMBER(B602),"Valid","Check"))))</f>
        <v>Text - Converted to Date</v>
      </c>
      <c r="E602" s="5">
        <f t="shared" si="73"/>
        <v>5</v>
      </c>
      <c r="F602" s="5">
        <f t="shared" si="74"/>
        <v>2025</v>
      </c>
      <c r="G602" s="3" t="s">
        <v>1885</v>
      </c>
      <c r="H602" s="9">
        <f>IFERROR(DATEVALUE(TEXT(G602,"DD/MM/YYYY")), IF(ISNUMBER(G602), G602, ""))</f>
        <v>45799</v>
      </c>
      <c r="I602" s="9" t="str">
        <f>IF(G602="","Missing", IF(AND(ISNUMBER(G602)=FALSE, H602=""),"Invalid - Could Not Parse", IF(AND(ISNUMBER(G602)=FALSE, H602&lt;&gt;""),"Text - Converted to Date", IF(ISNUMBER(G602),"Valid","Check"))))</f>
        <v>Text - Converted to Date</v>
      </c>
      <c r="J602" s="9" t="str">
        <f>IF(OR(C602="", H602=""), "Cannot Check - Date Missing", IF(H602&lt;C602, "Invalid - Ship Before Order", "Valid"))</f>
        <v>Valid</v>
      </c>
      <c r="K602" s="5">
        <f>IF(OR(C602="", H602=""), "", IF(H602&lt;C602, "", H602-C602))</f>
        <v>0</v>
      </c>
      <c r="L602" s="3" t="s">
        <v>1886</v>
      </c>
      <c r="M602" s="3" t="s">
        <v>40</v>
      </c>
      <c r="N602" s="4" t="str">
        <f>TRIM(SUBSTITUTE(M602,"_"," "))</f>
        <v>Mira Das</v>
      </c>
      <c r="O602" s="3" t="s">
        <v>26</v>
      </c>
      <c r="P602" s="6" t="str">
        <f>PROPER(TRIM(SUBSTITUTE(O602,".","")))</f>
        <v>Consumer</v>
      </c>
      <c r="Q602" s="3" t="s">
        <v>73</v>
      </c>
      <c r="R602" s="7" t="str">
        <f>PROPER(TRIM(SUBSTITUTE(Q602,"  "," ")))</f>
        <v>West</v>
      </c>
      <c r="S602" s="3" t="s">
        <v>249</v>
      </c>
      <c r="T602" s="6" t="str">
        <f>PROPER(TRIM(SUBSTITUTE(S602,"  "," ")))</f>
        <v>Goa</v>
      </c>
      <c r="U602" s="3" t="s">
        <v>250</v>
      </c>
      <c r="V602" s="6" t="str">
        <f>PROPER(TRIM(SUBSTITUTE(U602,"  "," ")))</f>
        <v>Panaji</v>
      </c>
      <c r="W602" s="3" t="s">
        <v>86</v>
      </c>
      <c r="X602" s="6" t="str">
        <f>PROPER(TRIM(SUBSTITUTE(W602,"  "," ")))</f>
        <v>Technology</v>
      </c>
      <c r="Y602" s="3" t="s">
        <v>87</v>
      </c>
      <c r="Z602" s="6" t="str">
        <f>PROPER(TRIM(SUBSTITUTE(Y602,"  "," ")))</f>
        <v>Accessories</v>
      </c>
      <c r="AA602" s="3" t="s">
        <v>1887</v>
      </c>
      <c r="AB602" s="3" t="s">
        <v>67</v>
      </c>
      <c r="AC602" s="6" t="str">
        <f>PROPER(TRIM(SUBSTITUTE(AB602,"  "," ")))</f>
        <v>Standard Class</v>
      </c>
      <c r="AD602" s="3">
        <v>2</v>
      </c>
      <c r="AE602" s="3">
        <v>3910.61</v>
      </c>
      <c r="AF602" s="3">
        <v>0</v>
      </c>
      <c r="AG602" s="17">
        <v>0</v>
      </c>
      <c r="AH602" s="6" t="str">
        <f t="shared" si="75"/>
        <v>Valid</v>
      </c>
      <c r="AI602" s="3">
        <v>7821.22</v>
      </c>
      <c r="AJ602" s="3">
        <v>4994.46</v>
      </c>
      <c r="AK602" s="3">
        <v>2826.76</v>
      </c>
      <c r="AL602" s="3" t="s">
        <v>34</v>
      </c>
      <c r="AM602" s="6" t="str">
        <f>PROPER(TRIM(SUBSTITUTE(AL602,".","")))</f>
        <v>Paid</v>
      </c>
      <c r="AN602" s="3" t="s">
        <v>35</v>
      </c>
      <c r="AO602" s="8" t="str">
        <f>PROPER(TRIM(SUBSTITUTE(AN602,".","")))</f>
        <v>Completed</v>
      </c>
      <c r="AP602" t="str">
        <f>IF(COUNTIF($A$2:$A$933, A602) &gt; 1, "Duplicate ID", "Unique")</f>
        <v>Unique</v>
      </c>
      <c r="AR602">
        <f t="shared" si="76"/>
        <v>7821.22</v>
      </c>
      <c r="AS602">
        <f t="shared" si="77"/>
        <v>2826.76</v>
      </c>
      <c r="AT602" s="15">
        <f t="shared" si="78"/>
        <v>0.36142187535959863</v>
      </c>
      <c r="AU602" t="str">
        <f t="shared" si="79"/>
        <v>Clean</v>
      </c>
      <c r="AV602" s="8" t="str">
        <f t="shared" si="80"/>
        <v>Active</v>
      </c>
    </row>
    <row r="603" spans="1:48">
      <c r="A603" s="3" t="s">
        <v>1766</v>
      </c>
      <c r="B603" s="3" t="s">
        <v>1767</v>
      </c>
      <c r="C603" s="9">
        <f>IFERROR(DATEVALUE(TEXT(B603,"DD/MM/YYYY")), IF(ISNUMBER(B603), B603, ""))</f>
        <v>45800</v>
      </c>
      <c r="D603" s="9" t="str">
        <f>IF(B603="","Missing", IF(AND(ISNUMBER(B603)=FALSE, C603=""),"Invalid - Could Not Parse", IF(AND(ISNUMBER(B603)=FALSE, C603&lt;&gt;""),"Text - Converted to Date", IF(ISNUMBER(B603),"Valid","Check"))))</f>
        <v>Text - Converted to Date</v>
      </c>
      <c r="E603" s="5">
        <f t="shared" si="73"/>
        <v>5</v>
      </c>
      <c r="F603" s="5">
        <f t="shared" si="74"/>
        <v>2025</v>
      </c>
      <c r="G603" s="3" t="s">
        <v>1682</v>
      </c>
      <c r="H603" s="9">
        <f>IFERROR(DATEVALUE(TEXT(G603,"DD/MM/YYYY")), IF(ISNUMBER(G603), G603, ""))</f>
        <v>45804</v>
      </c>
      <c r="I603" s="9" t="str">
        <f>IF(G603="","Missing", IF(AND(ISNUMBER(G603)=FALSE, H603=""),"Invalid - Could Not Parse", IF(AND(ISNUMBER(G603)=FALSE, H603&lt;&gt;""),"Text - Converted to Date", IF(ISNUMBER(G603),"Valid","Check"))))</f>
        <v>Text - Converted to Date</v>
      </c>
      <c r="J603" s="9" t="str">
        <f>IF(OR(C603="", H603=""), "Cannot Check - Date Missing", IF(H603&lt;C603, "Invalid - Ship Before Order", "Valid"))</f>
        <v>Valid</v>
      </c>
      <c r="K603" s="5">
        <f>IF(OR(C603="", H603=""), "", IF(H603&lt;C603, "", H603-C603))</f>
        <v>4</v>
      </c>
      <c r="L603" s="3" t="s">
        <v>1768</v>
      </c>
      <c r="M603" s="3" t="s">
        <v>83</v>
      </c>
      <c r="N603" s="4" t="str">
        <f>TRIM(SUBSTITUTE(M603,"_"," "))</f>
        <v>Vikram Iyer</v>
      </c>
      <c r="O603" s="3" t="s">
        <v>41</v>
      </c>
      <c r="P603" s="6" t="str">
        <f>PROPER(TRIM(SUBSTITUTE(O603,".","")))</f>
        <v>Small Business</v>
      </c>
      <c r="Q603" s="3" t="s">
        <v>62</v>
      </c>
      <c r="R603" s="7" t="str">
        <f>PROPER(TRIM(SUBSTITUTE(Q603,"  "," ")))</f>
        <v>South</v>
      </c>
      <c r="S603" s="3" t="s">
        <v>63</v>
      </c>
      <c r="T603" s="6" t="str">
        <f>PROPER(TRIM(SUBSTITUTE(S603,"  "," ")))</f>
        <v>Telangana</v>
      </c>
      <c r="U603" s="3" t="s">
        <v>64</v>
      </c>
      <c r="V603" s="6" t="str">
        <f>PROPER(TRIM(SUBSTITUTE(U603,"  "," ")))</f>
        <v>Hyderabad</v>
      </c>
      <c r="W603" s="3" t="s">
        <v>30</v>
      </c>
      <c r="X603" s="6" t="str">
        <f>PROPER(TRIM(SUBSTITUTE(W603,"  "," ")))</f>
        <v>Office Supplies</v>
      </c>
      <c r="Y603" s="3" t="s">
        <v>156</v>
      </c>
      <c r="Z603" s="6" t="str">
        <f>PROPER(TRIM(SUBSTITUTE(Y603,"  "," ")))</f>
        <v>Storage</v>
      </c>
      <c r="AA603" s="3" t="s">
        <v>1769</v>
      </c>
      <c r="AB603" s="3" t="s">
        <v>56</v>
      </c>
      <c r="AC603" s="6" t="str">
        <f>PROPER(TRIM(SUBSTITUTE(AB603,"  "," ")))</f>
        <v>First Class</v>
      </c>
      <c r="AD603" s="3">
        <v>6</v>
      </c>
      <c r="AE603" s="3">
        <v>719.44</v>
      </c>
      <c r="AF603" s="3">
        <v>0.25</v>
      </c>
      <c r="AG603" s="17">
        <v>0.25</v>
      </c>
      <c r="AH603" s="6" t="str">
        <f t="shared" si="75"/>
        <v>Valid</v>
      </c>
      <c r="AI603" s="3">
        <v>3237.48</v>
      </c>
      <c r="AJ603" s="3">
        <v>2118.34</v>
      </c>
      <c r="AK603" s="3">
        <v>1119.1400000000001</v>
      </c>
      <c r="AL603" s="3" t="s">
        <v>137</v>
      </c>
      <c r="AM603" s="6" t="str">
        <f>PROPER(TRIM(SUBSTITUTE(AL603,".","")))</f>
        <v>Pending</v>
      </c>
      <c r="AN603" s="3" t="s">
        <v>78</v>
      </c>
      <c r="AO603" s="8" t="str">
        <f>PROPER(TRIM(SUBSTITUTE(AN603,".","")))</f>
        <v>Cancelled</v>
      </c>
      <c r="AP603" t="str">
        <f>IF(COUNTIF($A$2:$A$933, A603) &gt; 1, "Duplicate ID", "Unique")</f>
        <v>Unique</v>
      </c>
      <c r="AR603">
        <f t="shared" si="76"/>
        <v>3237.4800000000005</v>
      </c>
      <c r="AS603">
        <f t="shared" si="77"/>
        <v>1119.1400000000003</v>
      </c>
      <c r="AT603" s="15">
        <f t="shared" si="78"/>
        <v>0.34568244437031276</v>
      </c>
      <c r="AU603" t="str">
        <f t="shared" si="79"/>
        <v>Clean</v>
      </c>
      <c r="AV603" s="8" t="str">
        <f t="shared" si="80"/>
        <v>Cancelled</v>
      </c>
    </row>
    <row r="604" spans="1:48">
      <c r="A604" s="3" t="s">
        <v>1520</v>
      </c>
      <c r="B604" s="3" t="s">
        <v>1521</v>
      </c>
      <c r="C604" s="9">
        <f>IFERROR(DATEVALUE(TEXT(B604,"DD/MM/YYYY")), IF(ISNUMBER(B604), B604, ""))</f>
        <v>45801</v>
      </c>
      <c r="D604" s="9" t="str">
        <f>IF(B604="","Missing", IF(AND(ISNUMBER(B604)=FALSE, C604=""),"Invalid - Could Not Parse", IF(AND(ISNUMBER(B604)=FALSE, C604&lt;&gt;""),"Text - Converted to Date", IF(ISNUMBER(B604),"Valid","Check"))))</f>
        <v>Text - Converted to Date</v>
      </c>
      <c r="E604" s="5">
        <f t="shared" si="73"/>
        <v>5</v>
      </c>
      <c r="F604" s="5">
        <f t="shared" si="74"/>
        <v>2025</v>
      </c>
      <c r="G604" s="3" t="s">
        <v>1522</v>
      </c>
      <c r="H604" s="9">
        <f>IFERROR(DATEVALUE(MID(G604,4,2) &amp; "/" &amp; LEFT(G604,2) &amp; "/" &amp; RIGHT(G604,4)), IF(ISNUMBER(G604), G604, IFERROR(DATEVALUE(G604), "")))</f>
        <v>45803</v>
      </c>
      <c r="I604" s="9" t="str">
        <f>IF(G604="","Missing", IF(AND(ISNUMBER(G604)=FALSE, H604=""),"Invalid - Could Not Parse", IF(AND(ISNUMBER(G604)=FALSE, H604&lt;&gt;""),"Text - Converted to Date", IF(ISNUMBER(G604),"Valid","Check"))))</f>
        <v>Text - Converted to Date</v>
      </c>
      <c r="J604" s="9" t="str">
        <f>IF(OR(C604="", H604=""), "Cannot Check - Date Missing", IF(H604&lt;C604, "Invalid - Ship Before Order", "Valid"))</f>
        <v>Valid</v>
      </c>
      <c r="K604" s="5">
        <f>IF(OR(C604="", H604=""), "", IF(H604&lt;C604, "", H604-C604))</f>
        <v>2</v>
      </c>
      <c r="L604" s="3" t="s">
        <v>1523</v>
      </c>
      <c r="M604" s="3" t="s">
        <v>107</v>
      </c>
      <c r="N604" s="4" t="str">
        <f>TRIM(SUBSTITUTE(M604,"_"," "))</f>
        <v>Aditi Sen</v>
      </c>
      <c r="O604" s="3" t="s">
        <v>115</v>
      </c>
      <c r="P604" s="6" t="str">
        <f>PROPER(TRIM(SUBSTITUTE(O604,".","")))</f>
        <v>Home Office</v>
      </c>
      <c r="Q604" s="3" t="s">
        <v>27</v>
      </c>
      <c r="R604" s="7" t="str">
        <f>PROPER(TRIM(SUBSTITUTE(Q604,"  "," ")))</f>
        <v>North</v>
      </c>
      <c r="S604" s="3" t="s">
        <v>323</v>
      </c>
      <c r="T604" s="6" t="str">
        <f>PROPER(TRIM(SUBSTITUTE(S604,"  "," ")))</f>
        <v>Haryana</v>
      </c>
      <c r="U604" s="3" t="s">
        <v>324</v>
      </c>
      <c r="V604" s="6" t="str">
        <f>PROPER(TRIM(SUBSTITUTE(U604,"  "," ")))</f>
        <v>Gurugram</v>
      </c>
      <c r="W604" s="3" t="s">
        <v>45</v>
      </c>
      <c r="X604" s="6" t="str">
        <f>PROPER(TRIM(SUBSTITUTE(W604,"  "," ")))</f>
        <v>Furniture</v>
      </c>
      <c r="Y604" s="3" t="s">
        <v>65</v>
      </c>
      <c r="Z604" s="6" t="str">
        <f>PROPER(TRIM(SUBSTITUTE(Y604,"  "," ")))</f>
        <v>Furnishings</v>
      </c>
      <c r="AA604" s="3" t="s">
        <v>1524</v>
      </c>
      <c r="AB604" s="3" t="s">
        <v>48</v>
      </c>
      <c r="AC604" s="6" t="str">
        <f>PROPER(TRIM(SUBSTITUTE(AB604,"  "," ")))</f>
        <v>Same Day</v>
      </c>
      <c r="AD604" s="3">
        <v>6</v>
      </c>
      <c r="AE604" s="3">
        <v>3495.41</v>
      </c>
      <c r="AF604" s="3">
        <v>0.15</v>
      </c>
      <c r="AG604" s="17">
        <v>0.15</v>
      </c>
      <c r="AH604" s="6" t="str">
        <f t="shared" si="75"/>
        <v>Valid</v>
      </c>
      <c r="AI604" s="3">
        <v>17826.59</v>
      </c>
      <c r="AJ604" s="3">
        <v>10855.35</v>
      </c>
      <c r="AK604" s="3">
        <v>6971.24</v>
      </c>
      <c r="AL604" s="3" t="s">
        <v>34</v>
      </c>
      <c r="AM604" s="6" t="str">
        <f>PROPER(TRIM(SUBSTITUTE(AL604,".","")))</f>
        <v>Paid</v>
      </c>
      <c r="AN604" s="3" t="s">
        <v>35</v>
      </c>
      <c r="AO604" s="8" t="str">
        <f>PROPER(TRIM(SUBSTITUTE(AN604,".","")))</f>
        <v>Completed</v>
      </c>
      <c r="AP604" t="str">
        <f>IF(COUNTIF($A$2:$A$933, A604) &gt; 1, "Duplicate ID", "Unique")</f>
        <v>Unique</v>
      </c>
      <c r="AR604">
        <f t="shared" si="76"/>
        <v>17826.591</v>
      </c>
      <c r="AS604">
        <f t="shared" si="77"/>
        <v>6971.241</v>
      </c>
      <c r="AT604" s="15">
        <f t="shared" si="78"/>
        <v>0.39105855965394615</v>
      </c>
      <c r="AU604" t="str">
        <f t="shared" si="79"/>
        <v>Clean</v>
      </c>
      <c r="AV604" s="8" t="str">
        <f t="shared" si="80"/>
        <v>Active</v>
      </c>
    </row>
    <row r="605" spans="1:48">
      <c r="A605" s="3" t="s">
        <v>549</v>
      </c>
      <c r="B605" s="3" t="s">
        <v>550</v>
      </c>
      <c r="C605" s="9">
        <v>45893</v>
      </c>
      <c r="D605" s="9" t="str">
        <f>IF(B605="","Missing", IF(AND(ISNUMBER(B605)=FALSE, C605=""),"Invalid - Could Not Parse", IF(AND(ISNUMBER(B605)=FALSE, C605&lt;&gt;""),"Text - Converted to Date", IF(ISNUMBER(B605),"Valid","Check"))))</f>
        <v>Text - Converted to Date</v>
      </c>
      <c r="E605" s="5">
        <f t="shared" si="73"/>
        <v>8</v>
      </c>
      <c r="F605" s="5">
        <f t="shared" si="74"/>
        <v>2025</v>
      </c>
      <c r="G605" s="3" t="s">
        <v>69</v>
      </c>
      <c r="H605" s="9">
        <f>IFERROR(DATEVALUE(TEXT(G605,"DD/MM/YYYY")), IF(ISNUMBER(G605), G605, ""))</f>
        <v>45898</v>
      </c>
      <c r="I605" s="9" t="str">
        <f>IF(G605="","Missing", IF(AND(ISNUMBER(G605)=FALSE, H605=""),"Invalid - Could Not Parse", IF(AND(ISNUMBER(G605)=FALSE, H605&lt;&gt;""),"Text - Converted to Date", IF(ISNUMBER(G605),"Valid","Check"))))</f>
        <v>Text - Converted to Date</v>
      </c>
      <c r="J605" s="9" t="str">
        <f>IF(OR(C605="", H605=""), "Cannot Check - Date Missing", IF(H605&lt;C605, "Invalid - Ship Before Order", "Valid"))</f>
        <v>Valid</v>
      </c>
      <c r="K605" s="5">
        <f>IF(OR(C605="", H605=""), "", IF(H605&lt;C605, "", H605-C605))</f>
        <v>5</v>
      </c>
      <c r="L605" s="3" t="s">
        <v>551</v>
      </c>
      <c r="M605" s="3" t="s">
        <v>162</v>
      </c>
      <c r="N605" s="4" t="str">
        <f>TRIM(SUBSTITUTE(M605,"_"," "))</f>
        <v>Aarav Sharma</v>
      </c>
      <c r="O605" s="3" t="s">
        <v>41</v>
      </c>
      <c r="P605" s="6" t="str">
        <f>PROPER(TRIM(SUBSTITUTE(O605,".","")))</f>
        <v>Small Business</v>
      </c>
      <c r="Q605" s="3" t="s">
        <v>42</v>
      </c>
      <c r="R605" s="7" t="str">
        <f>PROPER(TRIM(SUBSTITUTE(Q605,"  "," ")))</f>
        <v>East</v>
      </c>
      <c r="S605" s="3" t="s">
        <v>186</v>
      </c>
      <c r="T605" s="6" t="str">
        <f>PROPER(TRIM(SUBSTITUTE(S605,"  "," ")))</f>
        <v>Bihar</v>
      </c>
      <c r="U605" s="3" t="s">
        <v>187</v>
      </c>
      <c r="V605" s="6" t="str">
        <f>PROPER(TRIM(SUBSTITUTE(U605,"  "," ")))</f>
        <v>Patna</v>
      </c>
      <c r="W605" s="3" t="s">
        <v>86</v>
      </c>
      <c r="X605" s="6" t="str">
        <f>PROPER(TRIM(SUBSTITUTE(W605,"  "," ")))</f>
        <v>Technology</v>
      </c>
      <c r="Y605" s="3" t="s">
        <v>94</v>
      </c>
      <c r="Z605" s="6" t="str">
        <f>PROPER(TRIM(SUBSTITUTE(Y605,"  "," ")))</f>
        <v>Copiers</v>
      </c>
      <c r="AA605" s="3" t="s">
        <v>552</v>
      </c>
      <c r="AB605" s="3" t="s">
        <v>56</v>
      </c>
      <c r="AC605" s="6" t="str">
        <f>PROPER(TRIM(SUBSTITUTE(AB605,"  "," ")))</f>
        <v>First Class</v>
      </c>
      <c r="AD605" s="3">
        <v>3</v>
      </c>
      <c r="AE605" s="3">
        <v>3703.96</v>
      </c>
      <c r="AF605" s="3">
        <v>0.15</v>
      </c>
      <c r="AG605" s="17">
        <v>0.15</v>
      </c>
      <c r="AH605" s="6" t="str">
        <f t="shared" si="75"/>
        <v>Valid</v>
      </c>
      <c r="AI605" s="3">
        <v>9445.1</v>
      </c>
      <c r="AJ605" s="3">
        <v>5586.28</v>
      </c>
      <c r="AK605" s="3">
        <v>3858.82</v>
      </c>
      <c r="AL605" s="3" t="s">
        <v>34</v>
      </c>
      <c r="AM605" s="6" t="str">
        <f>PROPER(TRIM(SUBSTITUTE(AL605,".","")))</f>
        <v>Paid</v>
      </c>
      <c r="AN605" s="3" t="s">
        <v>35</v>
      </c>
      <c r="AO605" s="8" t="str">
        <f>PROPER(TRIM(SUBSTITUTE(AN605,".","")))</f>
        <v>Completed</v>
      </c>
      <c r="AP605" t="str">
        <f>IF(COUNTIF($A$2:$A$933, A605) &gt; 1, "Duplicate ID", "Unique")</f>
        <v>Duplicate ID</v>
      </c>
      <c r="AQ605" t="s">
        <v>4106</v>
      </c>
      <c r="AR605">
        <f t="shared" si="76"/>
        <v>9445.098</v>
      </c>
      <c r="AS605">
        <f t="shared" si="77"/>
        <v>3858.8180000000002</v>
      </c>
      <c r="AT605" s="15">
        <f t="shared" si="78"/>
        <v>0.40855245758170006</v>
      </c>
      <c r="AU605" t="str">
        <f t="shared" si="79"/>
        <v>Invalid</v>
      </c>
      <c r="AV605" s="8" t="str">
        <f t="shared" si="80"/>
        <v>Active</v>
      </c>
    </row>
    <row r="606" spans="1:48">
      <c r="A606" s="3" t="s">
        <v>2506</v>
      </c>
      <c r="B606" s="3" t="s">
        <v>2507</v>
      </c>
      <c r="C606" s="9">
        <f>IFERROR(DATEVALUE(TEXT(B606,"DD/MM/YYYY")), IF(ISNUMBER(B606), B606, ""))</f>
        <v>45802</v>
      </c>
      <c r="D606" s="9" t="str">
        <f>IF(B606="","Missing", IF(AND(ISNUMBER(B606)=FALSE, C606=""),"Invalid - Could Not Parse", IF(AND(ISNUMBER(B606)=FALSE, C606&lt;&gt;""),"Text - Converted to Date", IF(ISNUMBER(B606),"Valid","Check"))))</f>
        <v>Text - Converted to Date</v>
      </c>
      <c r="E606" s="5">
        <f t="shared" si="73"/>
        <v>5</v>
      </c>
      <c r="F606" s="5">
        <f t="shared" si="74"/>
        <v>2025</v>
      </c>
      <c r="G606" s="3" t="s">
        <v>1682</v>
      </c>
      <c r="H606" s="9">
        <f>IFERROR(DATEVALUE(TEXT(G606,"DD/MM/YYYY")), IF(ISNUMBER(G606), G606, ""))</f>
        <v>45804</v>
      </c>
      <c r="I606" s="9" t="str">
        <f>IF(G606="","Missing", IF(AND(ISNUMBER(G606)=FALSE, H606=""),"Invalid - Could Not Parse", IF(AND(ISNUMBER(G606)=FALSE, H606&lt;&gt;""),"Text - Converted to Date", IF(ISNUMBER(G606),"Valid","Check"))))</f>
        <v>Text - Converted to Date</v>
      </c>
      <c r="J606" s="9" t="str">
        <f>IF(OR(C606="", H606=""), "Cannot Check - Date Missing", IF(H606&lt;C606, "Invalid - Ship Before Order", "Valid"))</f>
        <v>Valid</v>
      </c>
      <c r="K606" s="5">
        <f>IF(OR(C606="", H606=""), "", IF(H606&lt;C606, "", H606-C606))</f>
        <v>2</v>
      </c>
      <c r="L606" s="3" t="s">
        <v>2508</v>
      </c>
      <c r="M606" s="3" t="s">
        <v>148</v>
      </c>
      <c r="N606" s="4" t="str">
        <f>TRIM(SUBSTITUTE(M606,"_"," "))</f>
        <v>Rahul Verma</v>
      </c>
      <c r="O606" s="3" t="s">
        <v>26</v>
      </c>
      <c r="P606" s="6" t="str">
        <f>PROPER(TRIM(SUBSTITUTE(O606,".","")))</f>
        <v>Consumer</v>
      </c>
      <c r="Q606" s="3" t="s">
        <v>42</v>
      </c>
      <c r="R606" s="7" t="str">
        <f>PROPER(TRIM(SUBSTITUTE(Q606,"  "," ")))</f>
        <v>East</v>
      </c>
      <c r="S606" s="3" t="s">
        <v>43</v>
      </c>
      <c r="T606" s="6" t="str">
        <f>PROPER(TRIM(SUBSTITUTE(S606,"  "," ")))</f>
        <v>Odisha</v>
      </c>
      <c r="U606" s="3" t="s">
        <v>44</v>
      </c>
      <c r="V606" s="6" t="str">
        <f>PROPER(TRIM(SUBSTITUTE(U606,"  "," ")))</f>
        <v>Bhubaneswar</v>
      </c>
      <c r="W606" s="3" t="s">
        <v>45</v>
      </c>
      <c r="X606" s="6" t="str">
        <f>PROPER(TRIM(SUBSTITUTE(W606,"  "," ")))</f>
        <v>Furniture</v>
      </c>
      <c r="Y606" s="3" t="s">
        <v>65</v>
      </c>
      <c r="Z606" s="6" t="str">
        <f>PROPER(TRIM(SUBSTITUTE(Y606,"  "," ")))</f>
        <v>Furnishings</v>
      </c>
      <c r="AA606" s="3" t="s">
        <v>2509</v>
      </c>
      <c r="AB606" s="3" t="s">
        <v>33</v>
      </c>
      <c r="AC606" s="6" t="str">
        <f>PROPER(TRIM(SUBSTITUTE(AB606,"  "," ")))</f>
        <v>Second Class</v>
      </c>
      <c r="AD606" s="3">
        <v>7</v>
      </c>
      <c r="AE606" s="3">
        <v>2123.2800000000002</v>
      </c>
      <c r="AF606" s="3">
        <v>0.2</v>
      </c>
      <c r="AG606" s="17">
        <v>0.2</v>
      </c>
      <c r="AH606" s="6" t="str">
        <f t="shared" si="75"/>
        <v>Valid</v>
      </c>
      <c r="AI606" s="3">
        <v>11890.37</v>
      </c>
      <c r="AJ606" s="3">
        <v>9234.5300000000007</v>
      </c>
      <c r="AK606" s="3">
        <v>2655.84</v>
      </c>
      <c r="AL606" s="3" t="s">
        <v>124</v>
      </c>
      <c r="AM606" s="6" t="str">
        <f>PROPER(TRIM(SUBSTITUTE(AL606,".","")))</f>
        <v>Refunded</v>
      </c>
      <c r="AN606" s="3" t="s">
        <v>125</v>
      </c>
      <c r="AO606" s="8" t="str">
        <f>PROPER(TRIM(SUBSTITUTE(AN606,".","")))</f>
        <v>Returned</v>
      </c>
      <c r="AP606" t="str">
        <f>IF(COUNTIF($A$2:$A$933, A606) &gt; 1, "Duplicate ID", "Unique")</f>
        <v>Unique</v>
      </c>
      <c r="AR606">
        <f t="shared" si="76"/>
        <v>11890.368000000002</v>
      </c>
      <c r="AS606">
        <f t="shared" si="77"/>
        <v>2655.8380000000016</v>
      </c>
      <c r="AT606" s="15">
        <f t="shared" si="78"/>
        <v>0.22336045444514427</v>
      </c>
      <c r="AU606" t="str">
        <f t="shared" si="79"/>
        <v>Clean</v>
      </c>
      <c r="AV606" s="8" t="str">
        <f t="shared" si="80"/>
        <v>Refund</v>
      </c>
    </row>
    <row r="607" spans="1:48">
      <c r="A607" s="3" t="s">
        <v>1366</v>
      </c>
      <c r="B607" s="3" t="s">
        <v>1367</v>
      </c>
      <c r="C607" s="9">
        <f>IFERROR(DATEVALUE(TEXT(B607,"DD/MM/YYYY")), IF(ISNUMBER(B607), B607, ""))</f>
        <v>45803</v>
      </c>
      <c r="D607" s="9" t="str">
        <f>IF(B607="","Missing", IF(AND(ISNUMBER(B607)=FALSE, C607=""),"Invalid - Could Not Parse", IF(AND(ISNUMBER(B607)=FALSE, C607&lt;&gt;""),"Text - Converted to Date", IF(ISNUMBER(B607),"Valid","Check"))))</f>
        <v>Text - Converted to Date</v>
      </c>
      <c r="E607" s="5">
        <f t="shared" si="73"/>
        <v>5</v>
      </c>
      <c r="F607" s="5">
        <f t="shared" si="74"/>
        <v>2025</v>
      </c>
      <c r="G607" s="3" t="s">
        <v>1368</v>
      </c>
      <c r="H607" s="9">
        <f>IFERROR(DATEVALUE(TEXT(G607,"DD/MM/YYYY")), IF(ISNUMBER(G607), G607, ""))</f>
        <v>45809</v>
      </c>
      <c r="I607" s="9" t="str">
        <f>IF(G607="","Missing", IF(AND(ISNUMBER(G607)=FALSE, H607=""),"Invalid - Could Not Parse", IF(AND(ISNUMBER(G607)=FALSE, H607&lt;&gt;""),"Text - Converted to Date", IF(ISNUMBER(G607),"Valid","Check"))))</f>
        <v>Text - Converted to Date</v>
      </c>
      <c r="J607" s="9" t="str">
        <f>IF(OR(C607="", H607=""), "Cannot Check - Date Missing", IF(H607&lt;C607, "Invalid - Ship Before Order", "Valid"))</f>
        <v>Valid</v>
      </c>
      <c r="K607" s="5">
        <f>IF(OR(C607="", H607=""), "", IF(H607&lt;C607, "", H607-C607))</f>
        <v>6</v>
      </c>
      <c r="L607" s="3" t="s">
        <v>950</v>
      </c>
      <c r="M607" s="3" t="s">
        <v>61</v>
      </c>
      <c r="N607" s="4" t="str">
        <f>TRIM(SUBSTITUTE(M607,"_"," "))</f>
        <v>Arjun Bose</v>
      </c>
      <c r="O607" s="3" t="s">
        <v>41</v>
      </c>
      <c r="P607" s="6" t="str">
        <f>PROPER(TRIM(SUBSTITUTE(O607,".","")))</f>
        <v>Small Business</v>
      </c>
      <c r="Q607" s="3" t="s">
        <v>27</v>
      </c>
      <c r="R607" s="7" t="str">
        <f>PROPER(TRIM(SUBSTITUTE(Q607,"  "," ")))</f>
        <v>North</v>
      </c>
      <c r="S607" s="3" t="s">
        <v>506</v>
      </c>
      <c r="T607" s="6" t="str">
        <f>PROPER(TRIM(SUBSTITUTE(S607,"  "," ")))</f>
        <v>Delhi</v>
      </c>
      <c r="U607" s="3" t="s">
        <v>507</v>
      </c>
      <c r="V607" s="6" t="str">
        <f>PROPER(TRIM(SUBSTITUTE(U607,"  "," ")))</f>
        <v>New Delhi</v>
      </c>
      <c r="W607" s="3" t="s">
        <v>86</v>
      </c>
      <c r="X607" s="6" t="str">
        <f>PROPER(TRIM(SUBSTITUTE(W607,"  "," ")))</f>
        <v>Technology</v>
      </c>
      <c r="Y607" s="3" t="s">
        <v>223</v>
      </c>
      <c r="Z607" s="6" t="str">
        <f>PROPER(TRIM(SUBSTITUTE(Y607,"  "," ")))</f>
        <v>Phones</v>
      </c>
      <c r="AA607" s="3" t="s">
        <v>1369</v>
      </c>
      <c r="AB607" s="3" t="s">
        <v>48</v>
      </c>
      <c r="AC607" s="6" t="str">
        <f>PROPER(TRIM(SUBSTITUTE(AB607,"  "," ")))</f>
        <v>Same Day</v>
      </c>
      <c r="AD607" s="3">
        <v>4</v>
      </c>
      <c r="AE607" s="3">
        <v>3349.86</v>
      </c>
      <c r="AF607" s="3">
        <v>0</v>
      </c>
      <c r="AG607" s="17">
        <v>0</v>
      </c>
      <c r="AH607" s="6" t="str">
        <f t="shared" si="75"/>
        <v>Valid</v>
      </c>
      <c r="AI607" s="3">
        <v>13399.44</v>
      </c>
      <c r="AJ607" s="3">
        <v>8581.35</v>
      </c>
      <c r="AK607" s="3">
        <v>4818.09</v>
      </c>
      <c r="AL607" s="3" t="s">
        <v>137</v>
      </c>
      <c r="AM607" s="6" t="str">
        <f>PROPER(TRIM(SUBSTITUTE(AL607,".","")))</f>
        <v>Pending</v>
      </c>
      <c r="AN607" s="3" t="s">
        <v>125</v>
      </c>
      <c r="AO607" s="8" t="str">
        <f>PROPER(TRIM(SUBSTITUTE(AN607,".","")))</f>
        <v>Returned</v>
      </c>
      <c r="AP607" t="str">
        <f>IF(COUNTIF($A$2:$A$933, A607) &gt; 1, "Duplicate ID", "Unique")</f>
        <v>Unique</v>
      </c>
      <c r="AR607">
        <f t="shared" si="76"/>
        <v>13399.44</v>
      </c>
      <c r="AS607">
        <f t="shared" si="77"/>
        <v>4818.09</v>
      </c>
      <c r="AT607" s="15">
        <f t="shared" si="78"/>
        <v>0.3595739821962709</v>
      </c>
      <c r="AU607" t="str">
        <f t="shared" si="79"/>
        <v>Clean</v>
      </c>
      <c r="AV607" s="8" t="str">
        <f t="shared" si="80"/>
        <v>Active</v>
      </c>
    </row>
    <row r="608" spans="1:48">
      <c r="A608" s="3" t="s">
        <v>3816</v>
      </c>
      <c r="B608" s="3" t="s">
        <v>3817</v>
      </c>
      <c r="C608" s="9">
        <f>IFERROR(DATEVALUE(TEXT(B608,"DD/MM/YYYY")), IF(ISNUMBER(B608), B608, ""))</f>
        <v>45803</v>
      </c>
      <c r="D608" s="9" t="str">
        <f>IF(B608="","Missing", IF(AND(ISNUMBER(B608)=FALSE, C608=""),"Invalid - Could Not Parse", IF(AND(ISNUMBER(B608)=FALSE, C608&lt;&gt;""),"Text - Converted to Date", IF(ISNUMBER(B608),"Valid","Check"))))</f>
        <v>Text - Converted to Date</v>
      </c>
      <c r="E608" s="5">
        <f t="shared" si="73"/>
        <v>5</v>
      </c>
      <c r="F608" s="5">
        <f t="shared" si="74"/>
        <v>2025</v>
      </c>
      <c r="G608" s="3" t="s">
        <v>3818</v>
      </c>
      <c r="H608" s="9">
        <f>IFERROR(DATEVALUE(TEXT(G608,"DD/MM/YYYY")), IF(ISNUMBER(G608), G608, ""))</f>
        <v>45805</v>
      </c>
      <c r="I608" s="9" t="str">
        <f>IF(G608="","Missing", IF(AND(ISNUMBER(G608)=FALSE, H608=""),"Invalid - Could Not Parse", IF(AND(ISNUMBER(G608)=FALSE, H608&lt;&gt;""),"Text - Converted to Date", IF(ISNUMBER(G608),"Valid","Check"))))</f>
        <v>Text - Converted to Date</v>
      </c>
      <c r="J608" s="9" t="str">
        <f>IF(OR(C608="", H608=""), "Cannot Check - Date Missing", IF(H608&lt;C608, "Invalid - Ship Before Order", "Valid"))</f>
        <v>Valid</v>
      </c>
      <c r="K608" s="5">
        <f>IF(OR(C608="", H608=""), "", IF(H608&lt;C608, "", H608-C608))</f>
        <v>2</v>
      </c>
      <c r="L608" s="3" t="s">
        <v>3819</v>
      </c>
      <c r="M608" s="3" t="s">
        <v>366</v>
      </c>
      <c r="N608" s="4" t="str">
        <f>TRIM(SUBSTITUTE(M608,"_"," "))</f>
        <v>Kabir Singh</v>
      </c>
      <c r="O608" s="3" t="s">
        <v>41</v>
      </c>
      <c r="P608" s="6" t="str">
        <f>PROPER(TRIM(SUBSTITUTE(O608,".","")))</f>
        <v>Small Business</v>
      </c>
      <c r="Q608" s="3" t="s">
        <v>62</v>
      </c>
      <c r="R608" s="7" t="str">
        <f>PROPER(TRIM(SUBSTITUTE(Q608,"  "," ")))</f>
        <v>South</v>
      </c>
      <c r="S608" s="3" t="s">
        <v>100</v>
      </c>
      <c r="T608" s="6" t="str">
        <f>PROPER(TRIM(SUBSTITUTE(S608,"  "," ")))</f>
        <v>Andhra Pradesh</v>
      </c>
      <c r="U608" s="3" t="s">
        <v>101</v>
      </c>
      <c r="V608" s="6" t="str">
        <f>PROPER(TRIM(SUBSTITUTE(U608,"  "," ")))</f>
        <v>Vijayawada</v>
      </c>
      <c r="W608" s="3" t="s">
        <v>86</v>
      </c>
      <c r="X608" s="6" t="str">
        <f>PROPER(TRIM(SUBSTITUTE(W608,"  "," ")))</f>
        <v>Technology</v>
      </c>
      <c r="Y608" s="3" t="s">
        <v>223</v>
      </c>
      <c r="Z608" s="6" t="str">
        <f>PROPER(TRIM(SUBSTITUTE(Y608,"  "," ")))</f>
        <v>Phones</v>
      </c>
      <c r="AA608" s="3" t="s">
        <v>3820</v>
      </c>
      <c r="AB608" s="3" t="s">
        <v>33</v>
      </c>
      <c r="AC608" s="6" t="str">
        <f>PROPER(TRIM(SUBSTITUTE(AB608,"  "," ")))</f>
        <v>Second Class</v>
      </c>
      <c r="AD608" s="3">
        <v>9</v>
      </c>
      <c r="AE608" s="3">
        <v>4302.0200000000004</v>
      </c>
      <c r="AF608" s="3">
        <v>0.05</v>
      </c>
      <c r="AG608" s="17">
        <v>0.05</v>
      </c>
      <c r="AH608" s="6" t="str">
        <f t="shared" si="75"/>
        <v>Valid</v>
      </c>
      <c r="AI608" s="3">
        <v>36782.269999999997</v>
      </c>
      <c r="AJ608" s="3">
        <v>25902.81</v>
      </c>
      <c r="AK608" s="3">
        <v>10879.46</v>
      </c>
      <c r="AL608" s="3" t="s">
        <v>34</v>
      </c>
      <c r="AM608" s="6" t="str">
        <f>PROPER(TRIM(SUBSTITUTE(AL608,".","")))</f>
        <v>Paid</v>
      </c>
      <c r="AN608" s="3" t="s">
        <v>35</v>
      </c>
      <c r="AO608" s="8" t="str">
        <f>PROPER(TRIM(SUBSTITUTE(AN608,".","")))</f>
        <v>Completed</v>
      </c>
      <c r="AP608" t="str">
        <f>IF(COUNTIF($A$2:$A$933, A608) &gt; 1, "Duplicate ID", "Unique")</f>
        <v>Unique</v>
      </c>
      <c r="AR608">
        <f t="shared" si="76"/>
        <v>36782.271000000008</v>
      </c>
      <c r="AS608">
        <f t="shared" si="77"/>
        <v>10879.461000000007</v>
      </c>
      <c r="AT608" s="15">
        <f t="shared" si="78"/>
        <v>0.29578002402298664</v>
      </c>
      <c r="AU608" t="str">
        <f t="shared" si="79"/>
        <v>Clean</v>
      </c>
      <c r="AV608" s="8" t="str">
        <f t="shared" si="80"/>
        <v>Active</v>
      </c>
    </row>
    <row r="609" spans="1:48">
      <c r="A609" s="3" t="s">
        <v>1681</v>
      </c>
      <c r="B609" s="3" t="s">
        <v>1682</v>
      </c>
      <c r="C609" s="9">
        <f>IFERROR(DATEVALUE(TEXT(B609,"DD/MM/YYYY")), IF(ISNUMBER(B609), B609, ""))</f>
        <v>45804</v>
      </c>
      <c r="D609" s="9" t="str">
        <f>IF(B609="","Missing", IF(AND(ISNUMBER(B609)=FALSE, C609=""),"Invalid - Could Not Parse", IF(AND(ISNUMBER(B609)=FALSE, C609&lt;&gt;""),"Text - Converted to Date", IF(ISNUMBER(B609),"Valid","Check"))))</f>
        <v>Text - Converted to Date</v>
      </c>
      <c r="E609" s="5">
        <f t="shared" si="73"/>
        <v>5</v>
      </c>
      <c r="F609" s="5">
        <f t="shared" si="74"/>
        <v>2025</v>
      </c>
      <c r="G609" s="3" t="s">
        <v>1683</v>
      </c>
      <c r="H609" s="9">
        <f>IFERROR(DATEVALUE(TEXT(G609,"DD/MM/YYYY")), IF(ISNUMBER(G609), G609, ""))</f>
        <v>45805</v>
      </c>
      <c r="I609" s="9" t="str">
        <f>IF(G609="","Missing", IF(AND(ISNUMBER(G609)=FALSE, H609=""),"Invalid - Could Not Parse", IF(AND(ISNUMBER(G609)=FALSE, H609&lt;&gt;""),"Text - Converted to Date", IF(ISNUMBER(G609),"Valid","Check"))))</f>
        <v>Text - Converted to Date</v>
      </c>
      <c r="J609" s="9" t="str">
        <f>IF(OR(C609="", H609=""), "Cannot Check - Date Missing", IF(H609&lt;C609, "Invalid - Ship Before Order", "Valid"))</f>
        <v>Valid</v>
      </c>
      <c r="K609" s="5">
        <f>IF(OR(C609="", H609=""), "", IF(H609&lt;C609, "", H609-C609))</f>
        <v>1</v>
      </c>
      <c r="L609" s="3" t="s">
        <v>1684</v>
      </c>
      <c r="M609" s="3" t="s">
        <v>162</v>
      </c>
      <c r="N609" s="4" t="str">
        <f>TRIM(SUBSTITUTE(M609,"_"," "))</f>
        <v>Aarav Sharma</v>
      </c>
      <c r="O609" s="3" t="s">
        <v>26</v>
      </c>
      <c r="P609" s="6" t="str">
        <f>PROPER(TRIM(SUBSTITUTE(O609,".","")))</f>
        <v>Consumer</v>
      </c>
      <c r="Q609" s="3" t="s">
        <v>62</v>
      </c>
      <c r="R609" s="7" t="str">
        <f>PROPER(TRIM(SUBSTITUTE(Q609,"  "," ")))</f>
        <v>South</v>
      </c>
      <c r="S609" s="3" t="s">
        <v>100</v>
      </c>
      <c r="T609" s="6" t="str">
        <f>PROPER(TRIM(SUBSTITUTE(S609,"  "," ")))</f>
        <v>Andhra Pradesh</v>
      </c>
      <c r="U609" s="3" t="s">
        <v>101</v>
      </c>
      <c r="V609" s="6" t="str">
        <f>PROPER(TRIM(SUBSTITUTE(U609,"  "," ")))</f>
        <v>Vijayawada</v>
      </c>
      <c r="W609" s="3" t="s">
        <v>86</v>
      </c>
      <c r="X609" s="6" t="str">
        <f>PROPER(TRIM(SUBSTITUTE(W609,"  "," ")))</f>
        <v>Technology</v>
      </c>
      <c r="Y609" s="3" t="s">
        <v>1685</v>
      </c>
      <c r="Z609" s="6" t="str">
        <f>PROPER(TRIM(SUBSTITUTE(Y609,"  "," ")))</f>
        <v>Machines</v>
      </c>
      <c r="AA609" s="3" t="s">
        <v>1686</v>
      </c>
      <c r="AB609" s="3" t="s">
        <v>33</v>
      </c>
      <c r="AC609" s="6" t="str">
        <f>PROPER(TRIM(SUBSTITUTE(AB609,"  "," ")))</f>
        <v>Second Class</v>
      </c>
      <c r="AD609" s="3">
        <v>2</v>
      </c>
      <c r="AE609" s="3">
        <v>3911.96</v>
      </c>
      <c r="AF609" s="3">
        <v>0</v>
      </c>
      <c r="AG609" s="17">
        <v>0</v>
      </c>
      <c r="AH609" s="6" t="str">
        <f t="shared" si="75"/>
        <v>Valid</v>
      </c>
      <c r="AI609" s="3">
        <v>7823.92</v>
      </c>
      <c r="AJ609" s="3">
        <v>6034.63</v>
      </c>
      <c r="AK609" s="3">
        <v>1789.29</v>
      </c>
      <c r="AL609" s="3" t="s">
        <v>34</v>
      </c>
      <c r="AM609" s="6" t="str">
        <f>PROPER(TRIM(SUBSTITUTE(AL609,".","")))</f>
        <v>Paid</v>
      </c>
      <c r="AN609" s="3" t="s">
        <v>35</v>
      </c>
      <c r="AO609" s="8" t="str">
        <f>PROPER(TRIM(SUBSTITUTE(AN609,".","")))</f>
        <v>Completed</v>
      </c>
      <c r="AP609" t="str">
        <f>IF(COUNTIF($A$2:$A$933, A609) &gt; 1, "Duplicate ID", "Unique")</f>
        <v>Unique</v>
      </c>
      <c r="AR609">
        <f t="shared" si="76"/>
        <v>7823.92</v>
      </c>
      <c r="AS609">
        <f t="shared" si="77"/>
        <v>1789.29</v>
      </c>
      <c r="AT609" s="15">
        <f t="shared" si="78"/>
        <v>0.22869482305545047</v>
      </c>
      <c r="AU609" t="str">
        <f t="shared" si="79"/>
        <v>Clean</v>
      </c>
      <c r="AV609" s="8" t="str">
        <f t="shared" si="80"/>
        <v>Active</v>
      </c>
    </row>
    <row r="610" spans="1:48">
      <c r="A610" s="3" t="s">
        <v>3886</v>
      </c>
      <c r="B610" s="3" t="s">
        <v>3145</v>
      </c>
      <c r="C610" s="9">
        <f>IFERROR(DATEVALUE(TEXT(B610,"DD/MM/YYYY")), IF(ISNUMBER(B610), B610, ""))</f>
        <v>45804</v>
      </c>
      <c r="D610" s="9" t="str">
        <f>IF(B610="","Missing", IF(AND(ISNUMBER(B610)=FALSE, C610=""),"Invalid - Could Not Parse", IF(AND(ISNUMBER(B610)=FALSE, C610&lt;&gt;""),"Text - Converted to Date", IF(ISNUMBER(B610),"Valid","Check"))))</f>
        <v>Text - Converted to Date</v>
      </c>
      <c r="E610" s="5">
        <f t="shared" si="73"/>
        <v>5</v>
      </c>
      <c r="F610" s="5">
        <f t="shared" si="74"/>
        <v>2025</v>
      </c>
      <c r="G610" s="3" t="s">
        <v>3887</v>
      </c>
      <c r="H610" s="9">
        <f>IFERROR(DATEVALUE(TEXT(G610,"DD/MM/YYYY")), IF(ISNUMBER(G610), G610, ""))</f>
        <v>45806</v>
      </c>
      <c r="I610" s="9" t="str">
        <f>IF(G610="","Missing", IF(AND(ISNUMBER(G610)=FALSE, H610=""),"Invalid - Could Not Parse", IF(AND(ISNUMBER(G610)=FALSE, H610&lt;&gt;""),"Text - Converted to Date", IF(ISNUMBER(G610),"Valid","Check"))))</f>
        <v>Text - Converted to Date</v>
      </c>
      <c r="J610" s="9" t="str">
        <f>IF(OR(C610="", H610=""), "Cannot Check - Date Missing", IF(H610&lt;C610, "Invalid - Ship Before Order", "Valid"))</f>
        <v>Valid</v>
      </c>
      <c r="K610" s="5">
        <f>IF(OR(C610="", H610=""), "", IF(H610&lt;C610, "", H610-C610))</f>
        <v>2</v>
      </c>
      <c r="L610" s="3" t="s">
        <v>3888</v>
      </c>
      <c r="M610" s="3" t="s">
        <v>148</v>
      </c>
      <c r="N610" s="4" t="str">
        <f>TRIM(SUBSTITUTE(M610,"_"," "))</f>
        <v>Rahul Verma</v>
      </c>
      <c r="O610" s="3" t="s">
        <v>115</v>
      </c>
      <c r="P610" s="6" t="str">
        <f>PROPER(TRIM(SUBSTITUTE(O610,".","")))</f>
        <v>Home Office</v>
      </c>
      <c r="Q610" s="3" t="s">
        <v>62</v>
      </c>
      <c r="R610" s="7" t="str">
        <f>PROPER(TRIM(SUBSTITUTE(Q610,"  "," ")))</f>
        <v>South</v>
      </c>
      <c r="S610" s="3" t="s">
        <v>339</v>
      </c>
      <c r="T610" s="6" t="str">
        <f>PROPER(TRIM(SUBSTITUTE(S610,"  "," ")))</f>
        <v>Tamil Nadu</v>
      </c>
      <c r="U610" s="3" t="s">
        <v>340</v>
      </c>
      <c r="V610" s="6" t="str">
        <f>PROPER(TRIM(SUBSTITUTE(U610,"  "," ")))</f>
        <v>Chennai</v>
      </c>
      <c r="W610" s="3" t="s">
        <v>45</v>
      </c>
      <c r="X610" s="6" t="str">
        <f>PROPER(TRIM(SUBSTITUTE(W610,"  "," ")))</f>
        <v>Furniture</v>
      </c>
      <c r="Y610" s="3" t="s">
        <v>65</v>
      </c>
      <c r="Z610" s="6" t="str">
        <f>PROPER(TRIM(SUBSTITUTE(Y610,"  "," ")))</f>
        <v>Furnishings</v>
      </c>
      <c r="AA610" s="3" t="s">
        <v>3889</v>
      </c>
      <c r="AB610" s="3" t="s">
        <v>33</v>
      </c>
      <c r="AC610" s="6" t="str">
        <f>PROPER(TRIM(SUBSTITUTE(AB610,"  "," ")))</f>
        <v>Second Class</v>
      </c>
      <c r="AD610" s="3">
        <v>1</v>
      </c>
      <c r="AE610" s="3">
        <v>1744.35</v>
      </c>
      <c r="AF610" s="3">
        <v>0.25</v>
      </c>
      <c r="AG610" s="17">
        <v>0.25</v>
      </c>
      <c r="AH610" s="6" t="str">
        <f t="shared" si="75"/>
        <v>Valid</v>
      </c>
      <c r="AI610" s="3">
        <v>1308.26</v>
      </c>
      <c r="AJ610" s="3">
        <v>1083.56</v>
      </c>
      <c r="AK610" s="3">
        <v>224.7</v>
      </c>
      <c r="AL610" s="3" t="s">
        <v>34</v>
      </c>
      <c r="AM610" s="6" t="str">
        <f>PROPER(TRIM(SUBSTITUTE(AL610,".","")))</f>
        <v>Paid</v>
      </c>
      <c r="AN610" s="3" t="s">
        <v>35</v>
      </c>
      <c r="AO610" s="8" t="str">
        <f>PROPER(TRIM(SUBSTITUTE(AN610,".","")))</f>
        <v>Completed</v>
      </c>
      <c r="AP610" t="str">
        <f>IF(COUNTIF($A$2:$A$933, A610) &gt; 1, "Duplicate ID", "Unique")</f>
        <v>Unique</v>
      </c>
      <c r="AR610">
        <f t="shared" si="76"/>
        <v>1308.2624999999998</v>
      </c>
      <c r="AS610">
        <f t="shared" si="77"/>
        <v>224.70249999999987</v>
      </c>
      <c r="AT610" s="15">
        <f t="shared" si="78"/>
        <v>0.17175643267310645</v>
      </c>
      <c r="AU610" t="str">
        <f t="shared" si="79"/>
        <v>Clean</v>
      </c>
      <c r="AV610" s="8" t="str">
        <f t="shared" si="80"/>
        <v>Active</v>
      </c>
    </row>
    <row r="611" spans="1:48">
      <c r="A611" s="3" t="s">
        <v>4084</v>
      </c>
      <c r="B611" s="3" t="s">
        <v>1682</v>
      </c>
      <c r="C611" s="9">
        <f>IFERROR(DATEVALUE(TEXT(B611,"DD/MM/YYYY")), IF(ISNUMBER(B611), B611, ""))</f>
        <v>45804</v>
      </c>
      <c r="D611" s="9" t="str">
        <f>IF(B611="","Missing", IF(AND(ISNUMBER(B611)=FALSE, C611=""),"Invalid - Could Not Parse", IF(AND(ISNUMBER(B611)=FALSE, C611&lt;&gt;""),"Text - Converted to Date", IF(ISNUMBER(B611),"Valid","Check"))))</f>
        <v>Text - Converted to Date</v>
      </c>
      <c r="E611" s="5">
        <f t="shared" si="73"/>
        <v>5</v>
      </c>
      <c r="F611" s="5">
        <f t="shared" si="74"/>
        <v>2025</v>
      </c>
      <c r="G611" s="3" t="s">
        <v>4085</v>
      </c>
      <c r="H611" s="9">
        <f>IFERROR(DATEVALUE(TEXT(G611,"DD/MM/YYYY")), IF(ISNUMBER(G611), G611, ""))</f>
        <v>45722</v>
      </c>
      <c r="I611" s="9" t="str">
        <f>IF(G611="","Missing", IF(AND(ISNUMBER(G611)=FALSE, H611=""),"Invalid - Could Not Parse", IF(AND(ISNUMBER(G611)=FALSE, H611&lt;&gt;""),"Text - Converted to Date", IF(ISNUMBER(G611),"Valid","Check"))))</f>
        <v>Text - Converted to Date</v>
      </c>
      <c r="J611" s="9" t="str">
        <f>IF(OR(C611="", H611=""), "Cannot Check - Date Missing", IF(H611&lt;C611, "Invalid - Ship Before Order", "Valid"))</f>
        <v>Invalid - Ship Before Order</v>
      </c>
      <c r="K611" s="5" t="str">
        <f>IF(OR(C611="", H611=""), "", IF(H611&lt;C611, "", H611-C611))</f>
        <v/>
      </c>
      <c r="L611" s="3" t="s">
        <v>4086</v>
      </c>
      <c r="M611" s="3" t="s">
        <v>25</v>
      </c>
      <c r="N611" s="4" t="str">
        <f>TRIM(SUBSTITUTE(M611,"_"," "))</f>
        <v>Karan Malhotra</v>
      </c>
      <c r="O611" s="3" t="s">
        <v>26</v>
      </c>
      <c r="P611" s="6" t="str">
        <f>PROPER(TRIM(SUBSTITUTE(O611,".","")))</f>
        <v>Consumer</v>
      </c>
      <c r="Q611" s="3" t="s">
        <v>27</v>
      </c>
      <c r="R611" s="7" t="str">
        <f>PROPER(TRIM(SUBSTITUTE(Q611,"  "," ")))</f>
        <v>North</v>
      </c>
      <c r="S611" s="3" t="s">
        <v>154</v>
      </c>
      <c r="T611" s="6" t="str">
        <f>PROPER(TRIM(SUBSTITUTE(S611,"  "," ")))</f>
        <v>Punjab</v>
      </c>
      <c r="U611" s="3" t="s">
        <v>155</v>
      </c>
      <c r="V611" s="6" t="str">
        <f>PROPER(TRIM(SUBSTITUTE(U611,"  "," ")))</f>
        <v>Ludhiana</v>
      </c>
      <c r="W611" s="3" t="s">
        <v>45</v>
      </c>
      <c r="X611" s="6" t="str">
        <f>PROPER(TRIM(SUBSTITUTE(W611,"  "," ")))</f>
        <v>Furniture</v>
      </c>
      <c r="Y611" s="3" t="s">
        <v>76</v>
      </c>
      <c r="Z611" s="6" t="str">
        <f>PROPER(TRIM(SUBSTITUTE(Y611,"  "," ")))</f>
        <v>Chairs</v>
      </c>
      <c r="AA611" s="3" t="s">
        <v>4087</v>
      </c>
      <c r="AB611" s="3" t="s">
        <v>56</v>
      </c>
      <c r="AC611" s="6" t="str">
        <f>PROPER(TRIM(SUBSTITUTE(AB611,"  "," ")))</f>
        <v>First Class</v>
      </c>
      <c r="AD611" s="3">
        <v>5</v>
      </c>
      <c r="AE611" s="3">
        <v>881.08</v>
      </c>
      <c r="AF611" s="3">
        <v>0.25</v>
      </c>
      <c r="AG611" s="17">
        <v>0.25</v>
      </c>
      <c r="AH611" s="6" t="str">
        <f t="shared" si="75"/>
        <v>Valid</v>
      </c>
      <c r="AI611" s="3">
        <v>3304.05</v>
      </c>
      <c r="AJ611" s="3">
        <v>2279.41</v>
      </c>
      <c r="AK611" s="3">
        <v>1024.6400000000001</v>
      </c>
      <c r="AL611" s="3" t="s">
        <v>200</v>
      </c>
      <c r="AM611" s="6" t="str">
        <f>PROPER(TRIM(SUBSTITUTE(AL611,".","")))</f>
        <v>Failed</v>
      </c>
      <c r="AN611" s="3" t="s">
        <v>78</v>
      </c>
      <c r="AO611" s="8" t="str">
        <f>PROPER(TRIM(SUBSTITUTE(AN611,".","")))</f>
        <v>Cancelled</v>
      </c>
      <c r="AP611" t="str">
        <f>IF(COUNTIF($A$2:$A$933, A611) &gt; 1, "Duplicate ID", "Unique")</f>
        <v>Unique</v>
      </c>
      <c r="AR611">
        <f t="shared" si="76"/>
        <v>3304.05</v>
      </c>
      <c r="AS611">
        <f t="shared" si="77"/>
        <v>1024.6400000000003</v>
      </c>
      <c r="AT611" s="15">
        <f t="shared" si="78"/>
        <v>0.31011637233092726</v>
      </c>
      <c r="AU611" t="str">
        <f t="shared" si="79"/>
        <v>Invalid</v>
      </c>
      <c r="AV611" s="8" t="str">
        <f t="shared" si="80"/>
        <v>Cancelled</v>
      </c>
    </row>
    <row r="612" spans="1:48">
      <c r="A612" s="3" t="s">
        <v>1388</v>
      </c>
      <c r="B612" s="3" t="s">
        <v>1018</v>
      </c>
      <c r="C612" s="9">
        <f>IFERROR(DATEVALUE(TEXT(B612,"DD/MM/YYYY")), IF(ISNUMBER(B612), B612, ""))</f>
        <v>45805</v>
      </c>
      <c r="D612" s="9" t="str">
        <f>IF(B612="","Missing", IF(AND(ISNUMBER(B612)=FALSE, C612=""),"Invalid - Could Not Parse", IF(AND(ISNUMBER(B612)=FALSE, C612&lt;&gt;""),"Text - Converted to Date", IF(ISNUMBER(B612),"Valid","Check"))))</f>
        <v>Text - Converted to Date</v>
      </c>
      <c r="E612" s="5">
        <f t="shared" si="73"/>
        <v>5</v>
      </c>
      <c r="F612" s="5">
        <f t="shared" si="74"/>
        <v>2025</v>
      </c>
      <c r="G612" s="3" t="s">
        <v>1389</v>
      </c>
      <c r="H612" s="9">
        <f>IFERROR(DATEVALUE(TEXT(G612,"DD/MM/YYYY")), IF(ISNUMBER(G612), G612, ""))</f>
        <v>45812</v>
      </c>
      <c r="I612" s="9" t="str">
        <f>IF(G612="","Missing", IF(AND(ISNUMBER(G612)=FALSE, H612=""),"Invalid - Could Not Parse", IF(AND(ISNUMBER(G612)=FALSE, H612&lt;&gt;""),"Text - Converted to Date", IF(ISNUMBER(G612),"Valid","Check"))))</f>
        <v>Text - Converted to Date</v>
      </c>
      <c r="J612" s="9" t="str">
        <f>IF(OR(C612="", H612=""), "Cannot Check - Date Missing", IF(H612&lt;C612, "Invalid - Ship Before Order", "Valid"))</f>
        <v>Valid</v>
      </c>
      <c r="K612" s="5">
        <f>IF(OR(C612="", H612=""), "", IF(H612&lt;C612, "", H612-C612))</f>
        <v>7</v>
      </c>
      <c r="L612" s="3" t="s">
        <v>1390</v>
      </c>
      <c r="M612" s="3" t="s">
        <v>210</v>
      </c>
      <c r="N612" s="4" t="str">
        <f>TRIM(SUBSTITUTE(M612,"_"," "))</f>
        <v>Diya Patel</v>
      </c>
      <c r="O612" s="3" t="s">
        <v>108</v>
      </c>
      <c r="P612" s="6" t="str">
        <f>PROPER(TRIM(SUBSTITUTE(O612,".","")))</f>
        <v>Corporate</v>
      </c>
      <c r="Q612" s="3" t="s">
        <v>42</v>
      </c>
      <c r="R612" s="7" t="str">
        <f>PROPER(TRIM(SUBSTITUTE(Q612,"  "," ")))</f>
        <v>East</v>
      </c>
      <c r="S612" s="3" t="s">
        <v>311</v>
      </c>
      <c r="T612" s="6" t="str">
        <f>PROPER(TRIM(SUBSTITUTE(S612,"  "," ")))</f>
        <v>Jharkhand</v>
      </c>
      <c r="U612" s="3" t="s">
        <v>312</v>
      </c>
      <c r="V612" s="6" t="str">
        <f>PROPER(TRIM(SUBSTITUTE(U612,"  "," ")))</f>
        <v>Ranchi</v>
      </c>
      <c r="W612" s="3" t="s">
        <v>45</v>
      </c>
      <c r="X612" s="6" t="str">
        <f>PROPER(TRIM(SUBSTITUTE(W612,"  "," ")))</f>
        <v>Furniture</v>
      </c>
      <c r="Y612" s="3" t="s">
        <v>65</v>
      </c>
      <c r="Z612" s="6" t="str">
        <f>PROPER(TRIM(SUBSTITUTE(Y612,"  "," ")))</f>
        <v>Furnishings</v>
      </c>
      <c r="AA612" s="3" t="s">
        <v>1391</v>
      </c>
      <c r="AB612" s="3" t="s">
        <v>56</v>
      </c>
      <c r="AC612" s="6" t="str">
        <f>PROPER(TRIM(SUBSTITUTE(AB612,"  "," ")))</f>
        <v>First Class</v>
      </c>
      <c r="AD612" s="3">
        <v>4</v>
      </c>
      <c r="AE612" s="3">
        <v>261.8</v>
      </c>
      <c r="AF612" s="3">
        <v>0.25</v>
      </c>
      <c r="AG612" s="17">
        <v>0.25</v>
      </c>
      <c r="AH612" s="6" t="str">
        <f t="shared" si="75"/>
        <v>Valid</v>
      </c>
      <c r="AI612" s="3">
        <v>785.4</v>
      </c>
      <c r="AJ612" s="3">
        <v>557.22</v>
      </c>
      <c r="AK612" s="3">
        <v>228.18</v>
      </c>
      <c r="AL612" s="3" t="s">
        <v>34</v>
      </c>
      <c r="AM612" s="6" t="str">
        <f>PROPER(TRIM(SUBSTITUTE(AL612,".","")))</f>
        <v>Paid</v>
      </c>
      <c r="AN612" s="3" t="s">
        <v>35</v>
      </c>
      <c r="AO612" s="8" t="str">
        <f>PROPER(TRIM(SUBSTITUTE(AN612,".","")))</f>
        <v>Completed</v>
      </c>
      <c r="AP612" t="str">
        <f>IF(COUNTIF($A$2:$A$933, A612) &gt; 1, "Duplicate ID", "Unique")</f>
        <v>Unique</v>
      </c>
      <c r="AR612">
        <f t="shared" si="76"/>
        <v>785.40000000000009</v>
      </c>
      <c r="AS612">
        <f t="shared" si="77"/>
        <v>228.18000000000006</v>
      </c>
      <c r="AT612" s="15">
        <f t="shared" si="78"/>
        <v>0.29052711993888469</v>
      </c>
      <c r="AU612" t="str">
        <f t="shared" si="79"/>
        <v>Clean</v>
      </c>
      <c r="AV612" s="8" t="str">
        <f t="shared" si="80"/>
        <v>Active</v>
      </c>
    </row>
    <row r="613" spans="1:48">
      <c r="A613" s="3" t="s">
        <v>1544</v>
      </c>
      <c r="B613" s="3" t="s">
        <v>1018</v>
      </c>
      <c r="C613" s="9">
        <f>IFERROR(DATEVALUE(TEXT(B613,"DD/MM/YYYY")), IF(ISNUMBER(B613), B613, ""))</f>
        <v>45805</v>
      </c>
      <c r="D613" s="9" t="str">
        <f>IF(B613="","Missing", IF(AND(ISNUMBER(B613)=FALSE, C613=""),"Invalid - Could Not Parse", IF(AND(ISNUMBER(B613)=FALSE, C613&lt;&gt;""),"Text - Converted to Date", IF(ISNUMBER(B613),"Valid","Check"))))</f>
        <v>Text - Converted to Date</v>
      </c>
      <c r="E613" s="5">
        <f t="shared" si="73"/>
        <v>5</v>
      </c>
      <c r="F613" s="5">
        <f t="shared" si="74"/>
        <v>2025</v>
      </c>
      <c r="G613" s="3" t="s">
        <v>1545</v>
      </c>
      <c r="H613" s="9">
        <f>IFERROR(DATEVALUE(TEXT(G613,"DD/MM/YYYY")), IF(ISNUMBER(G613), G613, ""))</f>
        <v>45809</v>
      </c>
      <c r="I613" s="9" t="str">
        <f>IF(G613="","Missing", IF(AND(ISNUMBER(G613)=FALSE, H613=""),"Invalid - Could Not Parse", IF(AND(ISNUMBER(G613)=FALSE, H613&lt;&gt;""),"Text - Converted to Date", IF(ISNUMBER(G613),"Valid","Check"))))</f>
        <v>Text - Converted to Date</v>
      </c>
      <c r="J613" s="9" t="str">
        <f>IF(OR(C613="", H613=""), "Cannot Check - Date Missing", IF(H613&lt;C613, "Invalid - Ship Before Order", "Valid"))</f>
        <v>Valid</v>
      </c>
      <c r="K613" s="5">
        <f>IF(OR(C613="", H613=""), "", IF(H613&lt;C613, "", H613-C613))</f>
        <v>4</v>
      </c>
      <c r="L613" s="3" t="s">
        <v>1546</v>
      </c>
      <c r="M613" s="3" t="s">
        <v>53</v>
      </c>
      <c r="N613" s="4" t="str">
        <f>TRIM(SUBSTITUTE(M613,"_"," "))</f>
        <v>Isha Nair</v>
      </c>
      <c r="O613" s="3" t="s">
        <v>115</v>
      </c>
      <c r="P613" s="6" t="str">
        <f>PROPER(TRIM(SUBSTITUTE(O613,".","")))</f>
        <v>Home Office</v>
      </c>
      <c r="Q613" s="3" t="s">
        <v>42</v>
      </c>
      <c r="R613" s="7" t="str">
        <f>PROPER(TRIM(SUBSTITUTE(Q613,"  "," ")))</f>
        <v>East</v>
      </c>
      <c r="S613" s="3" t="s">
        <v>186</v>
      </c>
      <c r="T613" s="6" t="str">
        <f>PROPER(TRIM(SUBSTITUTE(S613,"  "," ")))</f>
        <v>Bihar</v>
      </c>
      <c r="U613" s="3" t="s">
        <v>187</v>
      </c>
      <c r="V613" s="6" t="str">
        <f>PROPER(TRIM(SUBSTITUTE(U613,"  "," ")))</f>
        <v>Patna</v>
      </c>
      <c r="W613" s="3" t="s">
        <v>86</v>
      </c>
      <c r="X613" s="6" t="str">
        <f>PROPER(TRIM(SUBSTITUTE(W613,"  "," ")))</f>
        <v>Technology</v>
      </c>
      <c r="Y613" s="3" t="s">
        <v>223</v>
      </c>
      <c r="Z613" s="6" t="str">
        <f>PROPER(TRIM(SUBSTITUTE(Y613,"  "," ")))</f>
        <v>Phones</v>
      </c>
      <c r="AA613" s="3" t="s">
        <v>1547</v>
      </c>
      <c r="AB613" s="3" t="s">
        <v>48</v>
      </c>
      <c r="AC613" s="6" t="str">
        <f>PROPER(TRIM(SUBSTITUTE(AB613,"  "," ")))</f>
        <v>Same Day</v>
      </c>
      <c r="AD613" s="3">
        <v>4</v>
      </c>
      <c r="AE613" s="3">
        <v>1654.11</v>
      </c>
      <c r="AF613" s="3">
        <v>0.05</v>
      </c>
      <c r="AG613" s="17">
        <v>0.05</v>
      </c>
      <c r="AH613" s="6" t="str">
        <f t="shared" si="75"/>
        <v>Valid</v>
      </c>
      <c r="AI613" s="3">
        <v>6285.62</v>
      </c>
      <c r="AJ613" s="3">
        <v>3705.38</v>
      </c>
      <c r="AK613" s="3">
        <v>2580.2399999999998</v>
      </c>
      <c r="AL613" s="3" t="s">
        <v>34</v>
      </c>
      <c r="AM613" s="6" t="str">
        <f>PROPER(TRIM(SUBSTITUTE(AL613,".","")))</f>
        <v>Paid</v>
      </c>
      <c r="AN613" s="3" t="s">
        <v>35</v>
      </c>
      <c r="AO613" s="8" t="str">
        <f>PROPER(TRIM(SUBSTITUTE(AN613,".","")))</f>
        <v>Completed</v>
      </c>
      <c r="AP613" t="str">
        <f>IF(COUNTIF($A$2:$A$933, A613) &gt; 1, "Duplicate ID", "Unique")</f>
        <v>Unique</v>
      </c>
      <c r="AR613">
        <f t="shared" si="76"/>
        <v>6285.6179999999995</v>
      </c>
      <c r="AS613">
        <f t="shared" si="77"/>
        <v>2580.2379999999994</v>
      </c>
      <c r="AT613" s="15">
        <f t="shared" si="78"/>
        <v>0.41049869718458865</v>
      </c>
      <c r="AU613" t="str">
        <f t="shared" si="79"/>
        <v>Clean</v>
      </c>
      <c r="AV613" s="8" t="str">
        <f t="shared" si="80"/>
        <v>Active</v>
      </c>
    </row>
    <row r="614" spans="1:48">
      <c r="A614" s="3" t="s">
        <v>1665</v>
      </c>
      <c r="B614" s="3" t="s">
        <v>1666</v>
      </c>
      <c r="C614" s="9">
        <f>IFERROR(DATEVALUE(TEXT(B614,"DD/MM/YYYY")), IF(ISNUMBER(B614), B614, ""))</f>
        <v>45806</v>
      </c>
      <c r="D614" s="9" t="str">
        <f>IF(B614="","Missing", IF(AND(ISNUMBER(B614)=FALSE, C614=""),"Invalid - Could Not Parse", IF(AND(ISNUMBER(B614)=FALSE, C614&lt;&gt;""),"Text - Converted to Date", IF(ISNUMBER(B614),"Valid","Check"))))</f>
        <v>Text - Converted to Date</v>
      </c>
      <c r="E614" s="5">
        <f t="shared" si="73"/>
        <v>5</v>
      </c>
      <c r="F614" s="5">
        <f t="shared" si="74"/>
        <v>2025</v>
      </c>
      <c r="G614" s="3" t="s">
        <v>1432</v>
      </c>
      <c r="H614" s="9">
        <f>IFERROR(DATEVALUE(TEXT(G614,"DD/MM/YYYY")), IF(ISNUMBER(G614), G614, ""))</f>
        <v>45812</v>
      </c>
      <c r="I614" s="9" t="str">
        <f>IF(G614="","Missing", IF(AND(ISNUMBER(G614)=FALSE, H614=""),"Invalid - Could Not Parse", IF(AND(ISNUMBER(G614)=FALSE, H614&lt;&gt;""),"Text - Converted to Date", IF(ISNUMBER(G614),"Valid","Check"))))</f>
        <v>Text - Converted to Date</v>
      </c>
      <c r="J614" s="9" t="str">
        <f>IF(OR(C614="", H614=""), "Cannot Check - Date Missing", IF(H614&lt;C614, "Invalid - Ship Before Order", "Valid"))</f>
        <v>Valid</v>
      </c>
      <c r="K614" s="5">
        <f>IF(OR(C614="", H614=""), "", IF(H614&lt;C614, "", H614-C614))</f>
        <v>6</v>
      </c>
      <c r="L614" s="3" t="s">
        <v>1667</v>
      </c>
      <c r="M614" s="3" t="s">
        <v>210</v>
      </c>
      <c r="N614" s="4" t="str">
        <f>TRIM(SUBSTITUTE(M614,"_"," "))</f>
        <v>Diya Patel</v>
      </c>
      <c r="O614" s="3" t="s">
        <v>26</v>
      </c>
      <c r="P614" s="6" t="str">
        <f>PROPER(TRIM(SUBSTITUTE(O614,".","")))</f>
        <v>Consumer</v>
      </c>
      <c r="Q614" s="3" t="s">
        <v>73</v>
      </c>
      <c r="R614" s="7" t="str">
        <f>PROPER(TRIM(SUBSTITUTE(Q614,"  "," ")))</f>
        <v>West</v>
      </c>
      <c r="S614" s="3" t="s">
        <v>74</v>
      </c>
      <c r="T614" s="6" t="str">
        <f>PROPER(TRIM(SUBSTITUTE(S614,"  "," ")))</f>
        <v>Maharashtra</v>
      </c>
      <c r="U614" s="3" t="s">
        <v>75</v>
      </c>
      <c r="V614" s="6" t="str">
        <f>PROPER(TRIM(SUBSTITUTE(U614,"  "," ")))</f>
        <v>Mumbai</v>
      </c>
      <c r="W614" s="3" t="s">
        <v>30</v>
      </c>
      <c r="X614" s="6" t="str">
        <f>PROPER(TRIM(SUBSTITUTE(W614,"  "," ")))</f>
        <v>Office Supplies</v>
      </c>
      <c r="Y614" s="3" t="s">
        <v>156</v>
      </c>
      <c r="Z614" s="6" t="str">
        <f>PROPER(TRIM(SUBSTITUTE(Y614,"  "," ")))</f>
        <v>Storage</v>
      </c>
      <c r="AA614" s="3" t="s">
        <v>1668</v>
      </c>
      <c r="AB614" s="3" t="s">
        <v>56</v>
      </c>
      <c r="AC614" s="6" t="str">
        <f>PROPER(TRIM(SUBSTITUTE(AB614,"  "," ")))</f>
        <v>First Class</v>
      </c>
      <c r="AD614" s="3">
        <v>6</v>
      </c>
      <c r="AE614" s="3">
        <v>3100.68</v>
      </c>
      <c r="AF614" s="3">
        <v>0</v>
      </c>
      <c r="AG614" s="17">
        <v>0</v>
      </c>
      <c r="AH614" s="6" t="str">
        <f t="shared" si="75"/>
        <v>Valid</v>
      </c>
      <c r="AI614" s="3">
        <v>18604.080000000002</v>
      </c>
      <c r="AJ614" s="3">
        <v>15834.3</v>
      </c>
      <c r="AK614" s="3">
        <v>2769.78</v>
      </c>
      <c r="AL614" s="3" t="s">
        <v>34</v>
      </c>
      <c r="AM614" s="6" t="str">
        <f>PROPER(TRIM(SUBSTITUTE(AL614,".","")))</f>
        <v>Paid</v>
      </c>
      <c r="AN614" s="3" t="s">
        <v>35</v>
      </c>
      <c r="AO614" s="8" t="str">
        <f>PROPER(TRIM(SUBSTITUTE(AN614,".","")))</f>
        <v>Completed</v>
      </c>
      <c r="AP614" t="str">
        <f>IF(COUNTIF($A$2:$A$933, A614) &gt; 1, "Duplicate ID", "Unique")</f>
        <v>Unique</v>
      </c>
      <c r="AR614">
        <f t="shared" si="76"/>
        <v>18604.079999999998</v>
      </c>
      <c r="AS614">
        <f t="shared" si="77"/>
        <v>2769.7799999999988</v>
      </c>
      <c r="AT614" s="15">
        <f t="shared" si="78"/>
        <v>0.1488802456235406</v>
      </c>
      <c r="AU614" t="str">
        <f t="shared" si="79"/>
        <v>Clean</v>
      </c>
      <c r="AV614" s="8" t="str">
        <f t="shared" si="80"/>
        <v>Active</v>
      </c>
    </row>
    <row r="615" spans="1:48">
      <c r="A615" s="3" t="s">
        <v>373</v>
      </c>
      <c r="B615" s="3" t="s">
        <v>374</v>
      </c>
      <c r="C615" s="9">
        <f>IFERROR(DATEVALUE(TEXT(B615,"DD/MM/YYYY")), IF(ISNUMBER(B615), B615, ""))</f>
        <v>45807</v>
      </c>
      <c r="D615" s="9" t="str">
        <f>IF(B615="","Missing", IF(AND(ISNUMBER(B615)=FALSE, C615=""),"Invalid - Could Not Parse", IF(AND(ISNUMBER(B615)=FALSE, C615&lt;&gt;""),"Text - Converted to Date", IF(ISNUMBER(B615),"Valid","Check"))))</f>
        <v>Text - Converted to Date</v>
      </c>
      <c r="E615" s="5">
        <f t="shared" si="73"/>
        <v>5</v>
      </c>
      <c r="F615" s="5">
        <f t="shared" si="74"/>
        <v>2025</v>
      </c>
      <c r="G615" s="3" t="s">
        <v>375</v>
      </c>
      <c r="H615" s="9">
        <f>IFERROR(DATEVALUE(TEXT(G615,"DD/MM/YYYY")), IF(ISNUMBER(G615), G615, ""))</f>
        <v>45810</v>
      </c>
      <c r="I615" s="9" t="str">
        <f>IF(G615="","Missing", IF(AND(ISNUMBER(G615)=FALSE, H615=""),"Invalid - Could Not Parse", IF(AND(ISNUMBER(G615)=FALSE, H615&lt;&gt;""),"Text - Converted to Date", IF(ISNUMBER(G615),"Valid","Check"))))</f>
        <v>Text - Converted to Date</v>
      </c>
      <c r="J615" s="9" t="str">
        <f>IF(OR(C615="", H615=""), "Cannot Check - Date Missing", IF(H615&lt;C615, "Invalid - Ship Before Order", "Valid"))</f>
        <v>Valid</v>
      </c>
      <c r="K615" s="5">
        <f>IF(OR(C615="", H615=""), "", IF(H615&lt;C615, "", H615-C615))</f>
        <v>3</v>
      </c>
      <c r="L615" s="3" t="s">
        <v>376</v>
      </c>
      <c r="M615" s="3" t="s">
        <v>61</v>
      </c>
      <c r="N615" s="4" t="str">
        <f>TRIM(SUBSTITUTE(M615,"_"," "))</f>
        <v>Arjun Bose</v>
      </c>
      <c r="O615" s="3" t="s">
        <v>108</v>
      </c>
      <c r="P615" s="6" t="str">
        <f>PROPER(TRIM(SUBSTITUTE(O615,".","")))</f>
        <v>Corporate</v>
      </c>
      <c r="Q615" s="3" t="s">
        <v>62</v>
      </c>
      <c r="R615" s="7" t="str">
        <f>PROPER(TRIM(SUBSTITUTE(Q615,"  "," ")))</f>
        <v>South</v>
      </c>
      <c r="S615" s="3" t="s">
        <v>339</v>
      </c>
      <c r="T615" s="6" t="str">
        <f>PROPER(TRIM(SUBSTITUTE(S615,"  "," ")))</f>
        <v>Tamil Nadu</v>
      </c>
      <c r="U615" s="3" t="s">
        <v>340</v>
      </c>
      <c r="V615" s="6" t="str">
        <f>PROPER(TRIM(SUBSTITUTE(U615,"  "," ")))</f>
        <v>Chennai</v>
      </c>
      <c r="W615" s="3" t="s">
        <v>30</v>
      </c>
      <c r="X615" s="6" t="str">
        <f>PROPER(TRIM(SUBSTITUTE(W615,"  "," ")))</f>
        <v>Office Supplies</v>
      </c>
      <c r="Y615" s="3" t="s">
        <v>109</v>
      </c>
      <c r="Z615" s="6" t="str">
        <f>PROPER(TRIM(SUBSTITUTE(Y615,"  "," ")))</f>
        <v>Labels</v>
      </c>
      <c r="AA615" s="3" t="s">
        <v>377</v>
      </c>
      <c r="AB615" s="3" t="s">
        <v>48</v>
      </c>
      <c r="AC615" s="6" t="str">
        <f>PROPER(TRIM(SUBSTITUTE(AB615,"  "," ")))</f>
        <v>Same Day</v>
      </c>
      <c r="AD615" s="3">
        <v>8</v>
      </c>
      <c r="AE615" s="3">
        <v>474.37</v>
      </c>
      <c r="AF615" s="3">
        <v>0.1</v>
      </c>
      <c r="AG615" s="17">
        <v>0.1</v>
      </c>
      <c r="AH615" s="6" t="str">
        <f t="shared" si="75"/>
        <v>Valid</v>
      </c>
      <c r="AI615" s="3">
        <v>3415.46</v>
      </c>
      <c r="AJ615" s="3">
        <v>1993.23</v>
      </c>
      <c r="AK615" s="3">
        <v>1422.23</v>
      </c>
      <c r="AL615" s="3" t="s">
        <v>200</v>
      </c>
      <c r="AM615" s="6" t="str">
        <f>PROPER(TRIM(SUBSTITUTE(AL615,".","")))</f>
        <v>Failed</v>
      </c>
      <c r="AN615" s="3" t="s">
        <v>78</v>
      </c>
      <c r="AO615" s="8" t="str">
        <f>PROPER(TRIM(SUBSTITUTE(AN615,".","")))</f>
        <v>Cancelled</v>
      </c>
      <c r="AP615" t="str">
        <f>IF(COUNTIF($A$2:$A$933, A615) &gt; 1, "Duplicate ID", "Unique")</f>
        <v>Unique</v>
      </c>
      <c r="AR615">
        <f t="shared" si="76"/>
        <v>3415.4639999999999</v>
      </c>
      <c r="AS615">
        <f t="shared" si="77"/>
        <v>1422.2339999999999</v>
      </c>
      <c r="AT615" s="15">
        <f t="shared" si="78"/>
        <v>0.4164101861416194</v>
      </c>
      <c r="AU615" t="str">
        <f t="shared" si="79"/>
        <v>Clean</v>
      </c>
      <c r="AV615" s="8" t="str">
        <f t="shared" si="80"/>
        <v>Cancelled</v>
      </c>
    </row>
    <row r="616" spans="1:48">
      <c r="A616" s="3" t="s">
        <v>1597</v>
      </c>
      <c r="B616" s="3" t="s">
        <v>1598</v>
      </c>
      <c r="C616" s="9">
        <f>IFERROR(DATEVALUE(TEXT(B616,"DD/MM/YYYY")), IF(ISNUMBER(B616), B616, ""))</f>
        <v>45807</v>
      </c>
      <c r="D616" s="9" t="str">
        <f>IF(B616="","Missing", IF(AND(ISNUMBER(B616)=FALSE, C616=""),"Invalid - Could Not Parse", IF(AND(ISNUMBER(B616)=FALSE, C616&lt;&gt;""),"Text - Converted to Date", IF(ISNUMBER(B616),"Valid","Check"))))</f>
        <v>Text - Converted to Date</v>
      </c>
      <c r="E616" s="5">
        <f t="shared" si="73"/>
        <v>5</v>
      </c>
      <c r="F616" s="5">
        <f t="shared" si="74"/>
        <v>2025</v>
      </c>
      <c r="G616" s="3" t="s">
        <v>1599</v>
      </c>
      <c r="H616" s="9">
        <f>IFERROR(DATEVALUE(TEXT(G616,"DD/MM/YYYY")), IF(ISNUMBER(G616), G616, ""))</f>
        <v>45808</v>
      </c>
      <c r="I616" s="9" t="str">
        <f>IF(G616="","Missing", IF(AND(ISNUMBER(G616)=FALSE, H616=""),"Invalid - Could Not Parse", IF(AND(ISNUMBER(G616)=FALSE, H616&lt;&gt;""),"Text - Converted to Date", IF(ISNUMBER(G616),"Valid","Check"))))</f>
        <v>Text - Converted to Date</v>
      </c>
      <c r="J616" s="9" t="str">
        <f>IF(OR(C616="", H616=""), "Cannot Check - Date Missing", IF(H616&lt;C616, "Invalid - Ship Before Order", "Valid"))</f>
        <v>Valid</v>
      </c>
      <c r="K616" s="5">
        <f>IF(OR(C616="", H616=""), "", IF(H616&lt;C616, "", H616-C616))</f>
        <v>1</v>
      </c>
      <c r="L616" s="3" t="s">
        <v>1600</v>
      </c>
      <c r="M616" s="3" t="s">
        <v>148</v>
      </c>
      <c r="N616" s="4" t="str">
        <f>TRIM(SUBSTITUTE(M616,"_"," "))</f>
        <v>Rahul Verma</v>
      </c>
      <c r="O616" s="3" t="s">
        <v>108</v>
      </c>
      <c r="P616" s="6" t="str">
        <f>PROPER(TRIM(SUBSTITUTE(O616,".","")))</f>
        <v>Corporate</v>
      </c>
      <c r="Q616" s="3" t="s">
        <v>27</v>
      </c>
      <c r="R616" s="7" t="str">
        <f>PROPER(TRIM(SUBSTITUTE(Q616,"  "," ")))</f>
        <v>North</v>
      </c>
      <c r="S616" s="3" t="s">
        <v>174</v>
      </c>
      <c r="T616" s="6" t="str">
        <f>PROPER(TRIM(SUBSTITUTE(S616,"  "," ")))</f>
        <v>Uttar Pradesh</v>
      </c>
      <c r="U616" s="3" t="s">
        <v>175</v>
      </c>
      <c r="V616" s="6" t="str">
        <f>PROPER(TRIM(SUBSTITUTE(U616,"  "," ")))</f>
        <v>Noida</v>
      </c>
      <c r="W616" s="3" t="s">
        <v>86</v>
      </c>
      <c r="X616" s="6" t="str">
        <f>PROPER(TRIM(SUBSTITUTE(W616,"  "," ")))</f>
        <v>Technology</v>
      </c>
      <c r="Y616" s="3" t="s">
        <v>223</v>
      </c>
      <c r="Z616" s="6" t="str">
        <f>PROPER(TRIM(SUBSTITUTE(Y616,"  "," ")))</f>
        <v>Phones</v>
      </c>
      <c r="AA616" s="3" t="s">
        <v>1601</v>
      </c>
      <c r="AB616" s="3" t="s">
        <v>56</v>
      </c>
      <c r="AC616" s="6" t="str">
        <f>PROPER(TRIM(SUBSTITUTE(AB616,"  "," ")))</f>
        <v>First Class</v>
      </c>
      <c r="AD616" s="3">
        <v>8</v>
      </c>
      <c r="AE616" s="3">
        <v>2081.4299999999998</v>
      </c>
      <c r="AF616" s="3">
        <v>0.25</v>
      </c>
      <c r="AG616" s="17">
        <v>0.25</v>
      </c>
      <c r="AH616" s="6" t="str">
        <f t="shared" si="75"/>
        <v>Valid</v>
      </c>
      <c r="AI616" s="3">
        <v>12488.58</v>
      </c>
      <c r="AJ616" s="3">
        <v>10717.4</v>
      </c>
      <c r="AK616" s="3">
        <v>1771.18</v>
      </c>
      <c r="AL616" s="3" t="s">
        <v>124</v>
      </c>
      <c r="AM616" s="6" t="str">
        <f>PROPER(TRIM(SUBSTITUTE(AL616,".","")))</f>
        <v>Refunded</v>
      </c>
      <c r="AN616" s="3" t="s">
        <v>78</v>
      </c>
      <c r="AO616" s="8" t="str">
        <f>PROPER(TRIM(SUBSTITUTE(AN616,".","")))</f>
        <v>Cancelled</v>
      </c>
      <c r="AP616" t="str">
        <f>IF(COUNTIF($A$2:$A$933, A616) &gt; 1, "Duplicate ID", "Unique")</f>
        <v>Unique</v>
      </c>
      <c r="AR616">
        <f t="shared" si="76"/>
        <v>12488.579999999998</v>
      </c>
      <c r="AS616">
        <f t="shared" si="77"/>
        <v>1771.1799999999985</v>
      </c>
      <c r="AT616" s="15">
        <f t="shared" si="78"/>
        <v>0.14182397037933847</v>
      </c>
      <c r="AU616" t="str">
        <f t="shared" si="79"/>
        <v>Clean</v>
      </c>
      <c r="AV616" s="8" t="str">
        <f t="shared" si="80"/>
        <v>Refund</v>
      </c>
    </row>
    <row r="617" spans="1:48">
      <c r="A617" s="3" t="s">
        <v>3967</v>
      </c>
      <c r="B617" s="3" t="s">
        <v>3968</v>
      </c>
      <c r="C617" s="9">
        <f>IFERROR(DATEVALUE(TEXT(B617,"DD/MM/YYYY")), IF(ISNUMBER(B617), B617, ""))</f>
        <v>45811</v>
      </c>
      <c r="D617" s="9" t="str">
        <f>IF(B617="","Missing", IF(AND(ISNUMBER(B617)=FALSE, C617=""),"Invalid - Could Not Parse", IF(AND(ISNUMBER(B617)=FALSE, C617&lt;&gt;""),"Text - Converted to Date", IF(ISNUMBER(B617),"Valid","Check"))))</f>
        <v>Text - Converted to Date</v>
      </c>
      <c r="E617" s="5">
        <f t="shared" si="73"/>
        <v>6</v>
      </c>
      <c r="F617" s="5">
        <f t="shared" si="74"/>
        <v>2025</v>
      </c>
      <c r="G617" s="3" t="s">
        <v>787</v>
      </c>
      <c r="H617" s="9">
        <f>IFERROR(DATEVALUE(TEXT(G617,"DD/MM/YYYY")), IF(ISNUMBER(G617), G617, ""))</f>
        <v>45723</v>
      </c>
      <c r="I617" s="9" t="str">
        <f>IF(G617="","Missing", IF(AND(ISNUMBER(G617)=FALSE, H617=""),"Invalid - Could Not Parse", IF(AND(ISNUMBER(G617)=FALSE, H617&lt;&gt;""),"Text - Converted to Date", IF(ISNUMBER(G617),"Valid","Check"))))</f>
        <v>Text - Converted to Date</v>
      </c>
      <c r="J617" s="9" t="str">
        <f>IF(OR(C617="", H617=""), "Cannot Check - Date Missing", IF(H617&lt;C617, "Invalid - Ship Before Order", "Valid"))</f>
        <v>Invalid - Ship Before Order</v>
      </c>
      <c r="K617" s="5" t="str">
        <f>IF(OR(C617="", H617=""), "", IF(H617&lt;C617, "", H617-C617))</f>
        <v/>
      </c>
      <c r="L617" s="3" t="s">
        <v>3969</v>
      </c>
      <c r="M617" s="3" t="s">
        <v>180</v>
      </c>
      <c r="N617" s="4" t="str">
        <f>TRIM(SUBSTITUTE(M617,"_"," "))</f>
        <v>Rohan Mehta</v>
      </c>
      <c r="O617" s="3" t="s">
        <v>115</v>
      </c>
      <c r="P617" s="6" t="str">
        <f>PROPER(TRIM(SUBSTITUTE(O617,".","")))</f>
        <v>Home Office</v>
      </c>
      <c r="Q617" s="3"/>
      <c r="R617" s="6" t="str">
        <f>IF(ISBLANK(Q617), "Unknown", Q617)</f>
        <v>Unknown</v>
      </c>
      <c r="S617" s="3" t="s">
        <v>506</v>
      </c>
      <c r="T617" s="6" t="str">
        <f>PROPER(TRIM(SUBSTITUTE(S617,"  "," ")))</f>
        <v>Delhi</v>
      </c>
      <c r="U617" s="3" t="s">
        <v>507</v>
      </c>
      <c r="V617" s="6" t="str">
        <f>PROPER(TRIM(SUBSTITUTE(U617,"  "," ")))</f>
        <v>New Delhi</v>
      </c>
      <c r="W617" s="3" t="s">
        <v>45</v>
      </c>
      <c r="X617" s="6" t="str">
        <f>PROPER(TRIM(SUBSTITUTE(W617,"  "," ")))</f>
        <v>Furniture</v>
      </c>
      <c r="Y617" s="3" t="s">
        <v>76</v>
      </c>
      <c r="Z617" s="6" t="str">
        <f>PROPER(TRIM(SUBSTITUTE(Y617,"  "," ")))</f>
        <v>Chairs</v>
      </c>
      <c r="AA617" s="3" t="s">
        <v>1752</v>
      </c>
      <c r="AB617" s="3" t="s">
        <v>48</v>
      </c>
      <c r="AC617" s="6" t="str">
        <f>PROPER(TRIM(SUBSTITUTE(AB617,"  "," ")))</f>
        <v>Same Day</v>
      </c>
      <c r="AD617" s="3">
        <v>6</v>
      </c>
      <c r="AE617" s="3">
        <v>796.65</v>
      </c>
      <c r="AF617" s="3">
        <v>0.1</v>
      </c>
      <c r="AG617" s="17">
        <v>0.1</v>
      </c>
      <c r="AH617" s="6" t="str">
        <f t="shared" si="75"/>
        <v>Valid</v>
      </c>
      <c r="AI617" s="3">
        <v>4301.91</v>
      </c>
      <c r="AJ617" s="3">
        <v>2374.4</v>
      </c>
      <c r="AK617" s="3">
        <v>1927.51</v>
      </c>
      <c r="AL617" s="3" t="s">
        <v>34</v>
      </c>
      <c r="AM617" s="6" t="str">
        <f>PROPER(TRIM(SUBSTITUTE(AL617,".","")))</f>
        <v>Paid</v>
      </c>
      <c r="AN617" s="3" t="s">
        <v>35</v>
      </c>
      <c r="AO617" s="8" t="str">
        <f>PROPER(TRIM(SUBSTITUTE(AN617,".","")))</f>
        <v>Completed</v>
      </c>
      <c r="AP617" t="str">
        <f>IF(COUNTIF($A$2:$A$933, A617) &gt; 1, "Duplicate ID", "Unique")</f>
        <v>Unique</v>
      </c>
      <c r="AR617">
        <f t="shared" si="76"/>
        <v>4301.91</v>
      </c>
      <c r="AS617">
        <f t="shared" si="77"/>
        <v>1927.5099999999998</v>
      </c>
      <c r="AT617" s="15">
        <f t="shared" si="78"/>
        <v>0.44805911792668834</v>
      </c>
      <c r="AU617" t="str">
        <f t="shared" si="79"/>
        <v>Invalid</v>
      </c>
      <c r="AV617" s="8" t="str">
        <f t="shared" si="80"/>
        <v>Active</v>
      </c>
    </row>
    <row r="618" spans="1:48">
      <c r="A618" s="3" t="s">
        <v>1229</v>
      </c>
      <c r="B618" s="3" t="s">
        <v>1230</v>
      </c>
      <c r="C618" s="9">
        <f>IFERROR(DATEVALUE(TEXT(B618,"DD/MM/YYYY")), IF(ISNUMBER(B618), B618, ""))</f>
        <v>45812</v>
      </c>
      <c r="D618" s="9" t="str">
        <f>IF(B618="","Missing", IF(AND(ISNUMBER(B618)=FALSE, C618=""),"Invalid - Could Not Parse", IF(AND(ISNUMBER(B618)=FALSE, C618&lt;&gt;""),"Text - Converted to Date", IF(ISNUMBER(B618),"Valid","Check"))))</f>
        <v>Text - Converted to Date</v>
      </c>
      <c r="E618" s="5">
        <f t="shared" si="73"/>
        <v>6</v>
      </c>
      <c r="F618" s="5">
        <f t="shared" si="74"/>
        <v>2025</v>
      </c>
      <c r="G618" s="3" t="s">
        <v>1231</v>
      </c>
      <c r="H618" s="9">
        <f>IFERROR(DATEVALUE(TEXT(G618,"DD/MM/YYYY")), IF(ISNUMBER(G618), G618, ""))</f>
        <v>45818</v>
      </c>
      <c r="I618" s="9" t="str">
        <f>IF(G618="","Missing", IF(AND(ISNUMBER(G618)=FALSE, H618=""),"Invalid - Could Not Parse", IF(AND(ISNUMBER(G618)=FALSE, H618&lt;&gt;""),"Text - Converted to Date", IF(ISNUMBER(G618),"Valid","Check"))))</f>
        <v>Text - Converted to Date</v>
      </c>
      <c r="J618" s="9" t="str">
        <f>IF(OR(C618="", H618=""), "Cannot Check - Date Missing", IF(H618&lt;C618, "Invalid - Ship Before Order", "Valid"))</f>
        <v>Valid</v>
      </c>
      <c r="K618" s="5">
        <f>IF(OR(C618="", H618=""), "", IF(H618&lt;C618, "", H618-C618))</f>
        <v>6</v>
      </c>
      <c r="L618" s="3" t="s">
        <v>1232</v>
      </c>
      <c r="M618" s="3" t="s">
        <v>148</v>
      </c>
      <c r="N618" s="4" t="str">
        <f>TRIM(SUBSTITUTE(M618,"_"," "))</f>
        <v>Rahul Verma</v>
      </c>
      <c r="O618" s="3" t="s">
        <v>26</v>
      </c>
      <c r="P618" s="6" t="str">
        <f>PROPER(TRIM(SUBSTITUTE(O618,".","")))</f>
        <v>Consumer</v>
      </c>
      <c r="Q618" s="3" t="s">
        <v>62</v>
      </c>
      <c r="R618" s="7" t="str">
        <f>PROPER(TRIM(SUBSTITUTE(Q618,"  "," ")))</f>
        <v>South</v>
      </c>
      <c r="S618" s="3" t="s">
        <v>100</v>
      </c>
      <c r="T618" s="6" t="str">
        <f>PROPER(TRIM(SUBSTITUTE(S618,"  "," ")))</f>
        <v>Andhra Pradesh</v>
      </c>
      <c r="U618" s="3" t="s">
        <v>101</v>
      </c>
      <c r="V618" s="6" t="str">
        <f>PROPER(TRIM(SUBSTITUTE(U618,"  "," ")))</f>
        <v>Vijayawada</v>
      </c>
      <c r="W618" s="3" t="s">
        <v>86</v>
      </c>
      <c r="X618" s="6" t="str">
        <f>PROPER(TRIM(SUBSTITUTE(W618,"  "," ")))</f>
        <v>Technology</v>
      </c>
      <c r="Y618" s="3" t="s">
        <v>223</v>
      </c>
      <c r="Z618" s="6" t="str">
        <f>PROPER(TRIM(SUBSTITUTE(Y618,"  "," ")))</f>
        <v>Phones</v>
      </c>
      <c r="AA618" s="3" t="s">
        <v>1233</v>
      </c>
      <c r="AB618" s="3" t="s">
        <v>67</v>
      </c>
      <c r="AC618" s="6" t="str">
        <f>PROPER(TRIM(SUBSTITUTE(AB618,"  "," ")))</f>
        <v>Standard Class</v>
      </c>
      <c r="AD618" s="3">
        <v>4</v>
      </c>
      <c r="AE618" s="3">
        <v>223.37</v>
      </c>
      <c r="AF618" s="3">
        <v>0.25</v>
      </c>
      <c r="AG618" s="17">
        <v>0.25</v>
      </c>
      <c r="AH618" s="6" t="str">
        <f t="shared" si="75"/>
        <v>Valid</v>
      </c>
      <c r="AI618" s="3">
        <v>670.11</v>
      </c>
      <c r="AJ618" s="3">
        <v>559.57000000000005</v>
      </c>
      <c r="AK618" s="3">
        <v>110.54</v>
      </c>
      <c r="AL618" s="3" t="s">
        <v>34</v>
      </c>
      <c r="AM618" s="6" t="str">
        <f>PROPER(TRIM(SUBSTITUTE(AL618,".","")))</f>
        <v>Paid</v>
      </c>
      <c r="AN618" s="3" t="s">
        <v>35</v>
      </c>
      <c r="AO618" s="8" t="str">
        <f>PROPER(TRIM(SUBSTITUTE(AN618,".","")))</f>
        <v>Completed</v>
      </c>
      <c r="AP618" t="str">
        <f>IF(COUNTIF($A$2:$A$933, A618) &gt; 1, "Duplicate ID", "Unique")</f>
        <v>Unique</v>
      </c>
      <c r="AR618">
        <f t="shared" si="76"/>
        <v>670.11</v>
      </c>
      <c r="AS618">
        <f t="shared" si="77"/>
        <v>110.53999999999996</v>
      </c>
      <c r="AT618" s="15">
        <f t="shared" si="78"/>
        <v>0.16495799197146732</v>
      </c>
      <c r="AU618" t="str">
        <f t="shared" si="79"/>
        <v>Warning</v>
      </c>
      <c r="AV618" s="8" t="str">
        <f t="shared" si="80"/>
        <v>Active</v>
      </c>
    </row>
    <row r="619" spans="1:48">
      <c r="A619" s="3" t="s">
        <v>1431</v>
      </c>
      <c r="B619" s="3" t="s">
        <v>1432</v>
      </c>
      <c r="C619" s="9">
        <f>IFERROR(DATEVALUE(TEXT(B619,"DD/MM/YYYY")), IF(ISNUMBER(B619), B619, ""))</f>
        <v>45812</v>
      </c>
      <c r="D619" s="9" t="str">
        <f>IF(B619="","Missing", IF(AND(ISNUMBER(B619)=FALSE, C619=""),"Invalid - Could Not Parse", IF(AND(ISNUMBER(B619)=FALSE, C619&lt;&gt;""),"Text - Converted to Date", IF(ISNUMBER(B619),"Valid","Check"))))</f>
        <v>Text - Converted to Date</v>
      </c>
      <c r="E619" s="5">
        <f t="shared" si="73"/>
        <v>6</v>
      </c>
      <c r="F619" s="5">
        <f t="shared" si="74"/>
        <v>2025</v>
      </c>
      <c r="G619" s="3" t="s">
        <v>1432</v>
      </c>
      <c r="H619" s="9">
        <f>IFERROR(DATEVALUE(TEXT(G619,"DD/MM/YYYY")), IF(ISNUMBER(G619), G619, ""))</f>
        <v>45812</v>
      </c>
      <c r="I619" s="9" t="str">
        <f>IF(G619="","Missing", IF(AND(ISNUMBER(G619)=FALSE, H619=""),"Invalid - Could Not Parse", IF(AND(ISNUMBER(G619)=FALSE, H619&lt;&gt;""),"Text - Converted to Date", IF(ISNUMBER(G619),"Valid","Check"))))</f>
        <v>Text - Converted to Date</v>
      </c>
      <c r="J619" s="9" t="str">
        <f>IF(OR(C619="", H619=""), "Cannot Check - Date Missing", IF(H619&lt;C619, "Invalid - Ship Before Order", "Valid"))</f>
        <v>Valid</v>
      </c>
      <c r="K619" s="5">
        <f>IF(OR(C619="", H619=""), "", IF(H619&lt;C619, "", H619-C619))</f>
        <v>0</v>
      </c>
      <c r="L619" s="3" t="s">
        <v>1206</v>
      </c>
      <c r="M619" s="3" t="s">
        <v>53</v>
      </c>
      <c r="N619" s="4" t="str">
        <f>TRIM(SUBSTITUTE(M619,"_"," "))</f>
        <v>Isha Nair</v>
      </c>
      <c r="O619" s="3" t="s">
        <v>108</v>
      </c>
      <c r="P619" s="6" t="str">
        <f>PROPER(TRIM(SUBSTITUTE(O619,".","")))</f>
        <v>Corporate</v>
      </c>
      <c r="Q619" s="3" t="s">
        <v>27</v>
      </c>
      <c r="R619" s="7" t="str">
        <f>PROPER(TRIM(SUBSTITUTE(Q619,"  "," ")))</f>
        <v>North</v>
      </c>
      <c r="S619" s="3" t="s">
        <v>323</v>
      </c>
      <c r="T619" s="6" t="str">
        <f>PROPER(TRIM(SUBSTITUTE(S619,"  "," ")))</f>
        <v>Haryana</v>
      </c>
      <c r="U619" s="3" t="s">
        <v>324</v>
      </c>
      <c r="V619" s="6" t="str">
        <f>PROPER(TRIM(SUBSTITUTE(U619,"  "," ")))</f>
        <v>Gurugram</v>
      </c>
      <c r="W619" s="3" t="s">
        <v>86</v>
      </c>
      <c r="X619" s="6" t="str">
        <f>PROPER(TRIM(SUBSTITUTE(W619,"  "," ")))</f>
        <v>Technology</v>
      </c>
      <c r="Y619" s="3" t="s">
        <v>87</v>
      </c>
      <c r="Z619" s="6" t="str">
        <f>PROPER(TRIM(SUBSTITUTE(Y619,"  "," ")))</f>
        <v>Accessories</v>
      </c>
      <c r="AA619" s="3" t="s">
        <v>1433</v>
      </c>
      <c r="AB619" s="3" t="s">
        <v>33</v>
      </c>
      <c r="AC619" s="6" t="str">
        <f>PROPER(TRIM(SUBSTITUTE(AB619,"  "," ")))</f>
        <v>Second Class</v>
      </c>
      <c r="AD619" s="3">
        <v>1</v>
      </c>
      <c r="AE619" s="3">
        <v>2133.73</v>
      </c>
      <c r="AF619" s="3">
        <v>0.15</v>
      </c>
      <c r="AG619" s="17">
        <v>0.15</v>
      </c>
      <c r="AH619" s="6" t="str">
        <f t="shared" si="75"/>
        <v>Valid</v>
      </c>
      <c r="AI619" s="3">
        <v>2008.39</v>
      </c>
      <c r="AJ619" s="3">
        <v>1002.57</v>
      </c>
      <c r="AK619" s="3">
        <v>811.1</v>
      </c>
      <c r="AL619" s="3" t="s">
        <v>137</v>
      </c>
      <c r="AM619" s="6" t="str">
        <f>PROPER(TRIM(SUBSTITUTE(AL619,".","")))</f>
        <v>Pending</v>
      </c>
      <c r="AN619" s="3" t="s">
        <v>78</v>
      </c>
      <c r="AO619" s="8" t="str">
        <f>PROPER(TRIM(SUBSTITUTE(AN619,".","")))</f>
        <v>Cancelled</v>
      </c>
      <c r="AP619" t="str">
        <f>IF(COUNTIF($A$2:$A$933, A619) &gt; 1, "Duplicate ID", "Unique")</f>
        <v>Unique</v>
      </c>
      <c r="AR619">
        <f t="shared" si="76"/>
        <v>1813.6704999999999</v>
      </c>
      <c r="AS619">
        <f t="shared" si="77"/>
        <v>811.1004999999999</v>
      </c>
      <c r="AT619" s="15">
        <f t="shared" si="78"/>
        <v>0.4472149158295291</v>
      </c>
      <c r="AU619" t="str">
        <f t="shared" si="79"/>
        <v>Clean</v>
      </c>
      <c r="AV619" s="8" t="str">
        <f t="shared" si="80"/>
        <v>Cancelled</v>
      </c>
    </row>
    <row r="620" spans="1:48">
      <c r="A620" s="3" t="s">
        <v>1548</v>
      </c>
      <c r="B620" s="3" t="s">
        <v>1389</v>
      </c>
      <c r="C620" s="9">
        <f>IFERROR(DATEVALUE(TEXT(B620,"DD/MM/YYYY")), IF(ISNUMBER(B620), B620, ""))</f>
        <v>45812</v>
      </c>
      <c r="D620" s="9" t="str">
        <f>IF(B620="","Missing", IF(AND(ISNUMBER(B620)=FALSE, C620=""),"Invalid - Could Not Parse", IF(AND(ISNUMBER(B620)=FALSE, C620&lt;&gt;""),"Text - Converted to Date", IF(ISNUMBER(B620),"Valid","Check"))))</f>
        <v>Text - Converted to Date</v>
      </c>
      <c r="E620" s="5">
        <f t="shared" si="73"/>
        <v>6</v>
      </c>
      <c r="F620" s="5">
        <f t="shared" si="74"/>
        <v>2025</v>
      </c>
      <c r="G620" s="3" t="s">
        <v>1549</v>
      </c>
      <c r="H620" s="9">
        <f>IFERROR(DATEVALUE(TEXT(G620,"DD/MM/YYYY")), IF(ISNUMBER(G620), G620, ""))</f>
        <v>45820</v>
      </c>
      <c r="I620" s="9" t="str">
        <f>IF(G620="","Missing", IF(AND(ISNUMBER(G620)=FALSE, H620=""),"Invalid - Could Not Parse", IF(AND(ISNUMBER(G620)=FALSE, H620&lt;&gt;""),"Text - Converted to Date", IF(ISNUMBER(G620),"Valid","Check"))))</f>
        <v>Text - Converted to Date</v>
      </c>
      <c r="J620" s="9" t="str">
        <f>IF(OR(C620="", H620=""), "Cannot Check - Date Missing", IF(H620&lt;C620, "Invalid - Ship Before Order", "Valid"))</f>
        <v>Valid</v>
      </c>
      <c r="K620" s="5">
        <f>IF(OR(C620="", H620=""), "", IF(H620&lt;C620, "", H620-C620))</f>
        <v>8</v>
      </c>
      <c r="L620" s="3" t="s">
        <v>1550</v>
      </c>
      <c r="M620" s="3" t="s">
        <v>93</v>
      </c>
      <c r="N620" s="4" t="str">
        <f>TRIM(SUBSTITUTE(M620,"_"," "))</f>
        <v>Neha Gupta</v>
      </c>
      <c r="O620" s="3" t="s">
        <v>26</v>
      </c>
      <c r="P620" s="6" t="str">
        <f>PROPER(TRIM(SUBSTITUTE(O620,".","")))</f>
        <v>Consumer</v>
      </c>
      <c r="Q620" s="3" t="s">
        <v>73</v>
      </c>
      <c r="R620" s="7" t="str">
        <f>PROPER(TRIM(SUBSTITUTE(Q620,"  "," ")))</f>
        <v>West</v>
      </c>
      <c r="S620" s="3" t="s">
        <v>249</v>
      </c>
      <c r="T620" s="6" t="str">
        <f>PROPER(TRIM(SUBSTITUTE(S620,"  "," ")))</f>
        <v>Goa</v>
      </c>
      <c r="U620" s="3" t="s">
        <v>250</v>
      </c>
      <c r="V620" s="6" t="str">
        <f>PROPER(TRIM(SUBSTITUTE(U620,"  "," ")))</f>
        <v>Panaji</v>
      </c>
      <c r="W620" s="3" t="s">
        <v>918</v>
      </c>
      <c r="X620" s="6" t="str">
        <f>PROPER(TRIM(SUBSTITUTE(W620,"  "," ")))</f>
        <v>Office Supplies</v>
      </c>
      <c r="Y620" s="3" t="s">
        <v>156</v>
      </c>
      <c r="Z620" s="6" t="str">
        <f>PROPER(TRIM(SUBSTITUTE(Y620,"  "," ")))</f>
        <v>Storage</v>
      </c>
      <c r="AA620" s="3" t="s">
        <v>1551</v>
      </c>
      <c r="AB620" s="3" t="s">
        <v>48</v>
      </c>
      <c r="AC620" s="6" t="str">
        <f>PROPER(TRIM(SUBSTITUTE(AB620,"  "," ")))</f>
        <v>Same Day</v>
      </c>
      <c r="AD620" s="3">
        <v>2</v>
      </c>
      <c r="AE620" s="3">
        <v>2703.28</v>
      </c>
      <c r="AF620" s="3">
        <v>0.25</v>
      </c>
      <c r="AG620" s="17">
        <v>0.25</v>
      </c>
      <c r="AH620" s="6" t="str">
        <f t="shared" si="75"/>
        <v>Valid</v>
      </c>
      <c r="AI620" s="3">
        <v>4054.92</v>
      </c>
      <c r="AJ620" s="3">
        <v>2424.83</v>
      </c>
      <c r="AK620" s="3">
        <v>1630.09</v>
      </c>
      <c r="AL620" s="3" t="s">
        <v>34</v>
      </c>
      <c r="AM620" s="6" t="str">
        <f>PROPER(TRIM(SUBSTITUTE(AL620,".","")))</f>
        <v>Paid</v>
      </c>
      <c r="AN620" s="3" t="s">
        <v>35</v>
      </c>
      <c r="AO620" s="8" t="str">
        <f>PROPER(TRIM(SUBSTITUTE(AN620,".","")))</f>
        <v>Completed</v>
      </c>
      <c r="AP620" t="str">
        <f>IF(COUNTIF($A$2:$A$933, A620) &gt; 1, "Duplicate ID", "Unique")</f>
        <v>Unique</v>
      </c>
      <c r="AR620">
        <f t="shared" si="76"/>
        <v>4054.92</v>
      </c>
      <c r="AS620">
        <f t="shared" si="77"/>
        <v>1630.0900000000001</v>
      </c>
      <c r="AT620" s="15">
        <f t="shared" si="78"/>
        <v>0.40200299882611745</v>
      </c>
      <c r="AU620" t="str">
        <f t="shared" si="79"/>
        <v>Clean</v>
      </c>
      <c r="AV620" s="8" t="str">
        <f t="shared" si="80"/>
        <v>Active</v>
      </c>
    </row>
    <row r="621" spans="1:48">
      <c r="A621" s="3" t="s">
        <v>2973</v>
      </c>
      <c r="B621" s="3" t="s">
        <v>1389</v>
      </c>
      <c r="C621" s="9">
        <f>IFERROR(DATEVALUE(TEXT(B621,"DD/MM/YYYY")), IF(ISNUMBER(B621), B621, ""))</f>
        <v>45812</v>
      </c>
      <c r="D621" s="9" t="str">
        <f>IF(B621="","Missing", IF(AND(ISNUMBER(B621)=FALSE, C621=""),"Invalid - Could Not Parse", IF(AND(ISNUMBER(B621)=FALSE, C621&lt;&gt;""),"Text - Converted to Date", IF(ISNUMBER(B621),"Valid","Check"))))</f>
        <v>Text - Converted to Date</v>
      </c>
      <c r="E621" s="5">
        <f t="shared" si="73"/>
        <v>6</v>
      </c>
      <c r="F621" s="5">
        <f t="shared" si="74"/>
        <v>2025</v>
      </c>
      <c r="G621" s="3" t="s">
        <v>2974</v>
      </c>
      <c r="H621" s="9">
        <f>IFERROR(DATEVALUE(TEXT(G621,"DD/MM/YYYY")), IF(ISNUMBER(G621), G621, ""))</f>
        <v>45844</v>
      </c>
      <c r="I621" s="9" t="str">
        <f>IF(G621="","Missing", IF(AND(ISNUMBER(G621)=FALSE, H621=""),"Invalid - Could Not Parse", IF(AND(ISNUMBER(G621)=FALSE, H621&lt;&gt;""),"Text - Converted to Date", IF(ISNUMBER(G621),"Valid","Check"))))</f>
        <v>Text - Converted to Date</v>
      </c>
      <c r="J621" s="9" t="str">
        <f>IF(OR(C621="", H621=""), "Cannot Check - Date Missing", IF(H621&lt;C621, "Invalid - Ship Before Order", "Valid"))</f>
        <v>Valid</v>
      </c>
      <c r="K621" s="5">
        <f>IF(OR(C621="", H621=""), "", IF(H621&lt;C621, "", H621-C621))</f>
        <v>32</v>
      </c>
      <c r="L621" s="3" t="s">
        <v>2975</v>
      </c>
      <c r="M621" s="3" t="s">
        <v>168</v>
      </c>
      <c r="N621" s="4" t="str">
        <f>TRIM(SUBSTITUTE(M621,"_"," "))</f>
        <v>Sneha Kapoor</v>
      </c>
      <c r="O621" s="3" t="s">
        <v>115</v>
      </c>
      <c r="P621" s="6" t="str">
        <f>PROPER(TRIM(SUBSTITUTE(O621,".","")))</f>
        <v>Home Office</v>
      </c>
      <c r="Q621" s="3" t="s">
        <v>42</v>
      </c>
      <c r="R621" s="7" t="str">
        <f>PROPER(TRIM(SUBSTITUTE(Q621,"  "," ")))</f>
        <v>East</v>
      </c>
      <c r="S621" s="3" t="s">
        <v>216</v>
      </c>
      <c r="T621" s="6" t="str">
        <f>PROPER(TRIM(SUBSTITUTE(S621,"  "," ")))</f>
        <v>Assam</v>
      </c>
      <c r="U621" s="3" t="s">
        <v>217</v>
      </c>
      <c r="V621" s="6" t="str">
        <f>PROPER(TRIM(SUBSTITUTE(U621,"  "," ")))</f>
        <v>Guwahati</v>
      </c>
      <c r="W621" s="3" t="s">
        <v>86</v>
      </c>
      <c r="X621" s="6" t="str">
        <f>PROPER(TRIM(SUBSTITUTE(W621,"  "," ")))</f>
        <v>Technology</v>
      </c>
      <c r="Y621" s="3" t="s">
        <v>382</v>
      </c>
      <c r="Z621" s="6" t="str">
        <f>PROPER(TRIM(SUBSTITUTE(Y621,"  "," ")))</f>
        <v>Machines</v>
      </c>
      <c r="AA621" s="3" t="s">
        <v>2976</v>
      </c>
      <c r="AB621" s="3" t="s">
        <v>67</v>
      </c>
      <c r="AC621" s="6" t="str">
        <f>PROPER(TRIM(SUBSTITUTE(AB621,"  "," ")))</f>
        <v>Standard Class</v>
      </c>
      <c r="AD621" s="3">
        <v>8</v>
      </c>
      <c r="AE621" s="3">
        <v>1434.13</v>
      </c>
      <c r="AF621" s="3">
        <v>0</v>
      </c>
      <c r="AG621" s="17">
        <v>0</v>
      </c>
      <c r="AH621" s="6" t="str">
        <f t="shared" si="75"/>
        <v>Valid</v>
      </c>
      <c r="AI621" s="3">
        <v>11473.04</v>
      </c>
      <c r="AJ621" s="3">
        <v>8931.33</v>
      </c>
      <c r="AK621" s="3">
        <v>2541.71</v>
      </c>
      <c r="AL621" s="3" t="s">
        <v>137</v>
      </c>
      <c r="AM621" s="6" t="str">
        <f>PROPER(TRIM(SUBSTITUTE(AL621,".","")))</f>
        <v>Pending</v>
      </c>
      <c r="AN621" s="3" t="s">
        <v>125</v>
      </c>
      <c r="AO621" s="8" t="str">
        <f>PROPER(TRIM(SUBSTITUTE(AN621,".","")))</f>
        <v>Returned</v>
      </c>
      <c r="AP621" t="str">
        <f>IF(COUNTIF($A$2:$A$933, A621) &gt; 1, "Duplicate ID", "Unique")</f>
        <v>Unique</v>
      </c>
      <c r="AR621">
        <f t="shared" si="76"/>
        <v>11473.04</v>
      </c>
      <c r="AS621">
        <f t="shared" si="77"/>
        <v>2541.7100000000009</v>
      </c>
      <c r="AT621" s="15">
        <f t="shared" si="78"/>
        <v>0.22153762211236086</v>
      </c>
      <c r="AU621" t="str">
        <f t="shared" si="79"/>
        <v>Clean</v>
      </c>
      <c r="AV621" s="8" t="str">
        <f t="shared" si="80"/>
        <v>Active</v>
      </c>
    </row>
    <row r="622" spans="1:48">
      <c r="A622" s="3" t="s">
        <v>3651</v>
      </c>
      <c r="B622" s="3" t="s">
        <v>1230</v>
      </c>
      <c r="C622" s="9">
        <f>IFERROR(DATEVALUE(TEXT(B622,"DD/MM/YYYY")), IF(ISNUMBER(B622), B622, ""))</f>
        <v>45812</v>
      </c>
      <c r="D622" s="9" t="str">
        <f>IF(B622="","Missing", IF(AND(ISNUMBER(B622)=FALSE, C622=""),"Invalid - Could Not Parse", IF(AND(ISNUMBER(B622)=FALSE, C622&lt;&gt;""),"Text - Converted to Date", IF(ISNUMBER(B622),"Valid","Check"))))</f>
        <v>Text - Converted to Date</v>
      </c>
      <c r="E622" s="5">
        <f t="shared" si="73"/>
        <v>6</v>
      </c>
      <c r="F622" s="5">
        <f t="shared" si="74"/>
        <v>2025</v>
      </c>
      <c r="G622" s="3" t="s">
        <v>3652</v>
      </c>
      <c r="H622" s="9">
        <f>IFERROR(DATEVALUE(TEXT(G622,"DD/MM/YYYY")), IF(ISNUMBER(G622), G622, ""))</f>
        <v>45816</v>
      </c>
      <c r="I622" s="9" t="str">
        <f>IF(G622="","Missing", IF(AND(ISNUMBER(G622)=FALSE, H622=""),"Invalid - Could Not Parse", IF(AND(ISNUMBER(G622)=FALSE, H622&lt;&gt;""),"Text - Converted to Date", IF(ISNUMBER(G622),"Valid","Check"))))</f>
        <v>Text - Converted to Date</v>
      </c>
      <c r="J622" s="9" t="str">
        <f>IF(OR(C622="", H622=""), "Cannot Check - Date Missing", IF(H622&lt;C622, "Invalid - Ship Before Order", "Valid"))</f>
        <v>Valid</v>
      </c>
      <c r="K622" s="5">
        <f>IF(OR(C622="", H622=""), "", IF(H622&lt;C622, "", H622-C622))</f>
        <v>4</v>
      </c>
      <c r="L622" s="3" t="s">
        <v>3653</v>
      </c>
      <c r="M622" s="3" t="s">
        <v>61</v>
      </c>
      <c r="N622" s="4" t="str">
        <f>TRIM(SUBSTITUTE(M622,"_"," "))</f>
        <v>Arjun Bose</v>
      </c>
      <c r="O622" s="3" t="s">
        <v>41</v>
      </c>
      <c r="P622" s="6" t="str">
        <f>PROPER(TRIM(SUBSTITUTE(O622,".","")))</f>
        <v>Small Business</v>
      </c>
      <c r="Q622" s="3" t="s">
        <v>42</v>
      </c>
      <c r="R622" s="7" t="str">
        <f>PROPER(TRIM(SUBSTITUTE(Q622,"  "," ")))</f>
        <v>East</v>
      </c>
      <c r="S622" s="3" t="s">
        <v>216</v>
      </c>
      <c r="T622" s="6" t="str">
        <f>PROPER(TRIM(SUBSTITUTE(S622,"  "," ")))</f>
        <v>Assam</v>
      </c>
      <c r="U622" s="3" t="s">
        <v>217</v>
      </c>
      <c r="V622" s="6" t="str">
        <f>PROPER(TRIM(SUBSTITUTE(U622,"  "," ")))</f>
        <v>Guwahati</v>
      </c>
      <c r="W622" s="3" t="s">
        <v>45</v>
      </c>
      <c r="X622" s="6" t="str">
        <f>PROPER(TRIM(SUBSTITUTE(W622,"  "," ")))</f>
        <v>Furniture</v>
      </c>
      <c r="Y622" s="3" t="s">
        <v>65</v>
      </c>
      <c r="Z622" s="6" t="str">
        <f>PROPER(TRIM(SUBSTITUTE(Y622,"  "," ")))</f>
        <v>Furnishings</v>
      </c>
      <c r="AA622" s="3" t="s">
        <v>3654</v>
      </c>
      <c r="AB622" s="3" t="s">
        <v>33</v>
      </c>
      <c r="AC622" s="6" t="str">
        <f>PROPER(TRIM(SUBSTITUTE(AB622,"  "," ")))</f>
        <v>Second Class</v>
      </c>
      <c r="AD622" s="3">
        <v>1</v>
      </c>
      <c r="AE622" s="3">
        <v>3501.12</v>
      </c>
      <c r="AF622" s="3">
        <v>0.2</v>
      </c>
      <c r="AG622" s="17">
        <v>0.2</v>
      </c>
      <c r="AH622" s="6" t="str">
        <f t="shared" si="75"/>
        <v>Valid</v>
      </c>
      <c r="AI622" s="3">
        <v>2800.9</v>
      </c>
      <c r="AJ622" s="3">
        <v>1735.98</v>
      </c>
      <c r="AK622" s="3">
        <v>1064.92</v>
      </c>
      <c r="AL622" s="3" t="s">
        <v>34</v>
      </c>
      <c r="AM622" s="6" t="str">
        <f>PROPER(TRIM(SUBSTITUTE(AL622,".","")))</f>
        <v>Paid</v>
      </c>
      <c r="AN622" s="3" t="s">
        <v>125</v>
      </c>
      <c r="AO622" s="8" t="str">
        <f>PROPER(TRIM(SUBSTITUTE(AN622,".","")))</f>
        <v>Returned</v>
      </c>
      <c r="AP622" t="str">
        <f>IF(COUNTIF($A$2:$A$933, A622) &gt; 1, "Duplicate ID", "Unique")</f>
        <v>Unique</v>
      </c>
      <c r="AR622">
        <f t="shared" si="76"/>
        <v>2800.8960000000002</v>
      </c>
      <c r="AS622">
        <f t="shared" si="77"/>
        <v>1064.9160000000002</v>
      </c>
      <c r="AT622" s="15">
        <f t="shared" si="78"/>
        <v>0.38020547710446945</v>
      </c>
      <c r="AU622" t="str">
        <f t="shared" si="79"/>
        <v>Clean</v>
      </c>
      <c r="AV622" s="8" t="str">
        <f t="shared" si="80"/>
        <v>Active</v>
      </c>
    </row>
    <row r="623" spans="1:48">
      <c r="A623" s="3" t="s">
        <v>3735</v>
      </c>
      <c r="B623" s="3" t="s">
        <v>3736</v>
      </c>
      <c r="C623" s="9">
        <f>IFERROR(DATEVALUE(TEXT(B623,"DD/MM/YYYY")), IF(ISNUMBER(B623), B623, ""))</f>
        <v>45812</v>
      </c>
      <c r="D623" s="9" t="str">
        <f>IF(B623="","Missing", IF(AND(ISNUMBER(B623)=FALSE, C623=""),"Invalid - Could Not Parse", IF(AND(ISNUMBER(B623)=FALSE, C623&lt;&gt;""),"Text - Converted to Date", IF(ISNUMBER(B623),"Valid","Check"))))</f>
        <v>Text - Converted to Date</v>
      </c>
      <c r="E623" s="5">
        <f t="shared" si="73"/>
        <v>6</v>
      </c>
      <c r="F623" s="5">
        <f t="shared" si="74"/>
        <v>2025</v>
      </c>
      <c r="G623" s="3" t="s">
        <v>3737</v>
      </c>
      <c r="H623" s="9">
        <f>IFERROR(DATEVALUE(TEXT(G623,"DD/MM/YYYY")), IF(ISNUMBER(G623), G623, ""))</f>
        <v>45757</v>
      </c>
      <c r="I623" s="9" t="str">
        <f>IF(G623="","Missing", IF(AND(ISNUMBER(G623)=FALSE, H623=""),"Invalid - Could Not Parse", IF(AND(ISNUMBER(G623)=FALSE, H623&lt;&gt;""),"Text - Converted to Date", IF(ISNUMBER(G623),"Valid","Check"))))</f>
        <v>Text - Converted to Date</v>
      </c>
      <c r="J623" s="9" t="str">
        <f>IF(OR(C623="", H623=""), "Cannot Check - Date Missing", IF(H623&lt;C623, "Invalid - Ship Before Order", "Valid"))</f>
        <v>Invalid - Ship Before Order</v>
      </c>
      <c r="K623" s="5" t="str">
        <f>IF(OR(C623="", H623=""), "", IF(H623&lt;C623, "", H623-C623))</f>
        <v/>
      </c>
      <c r="L623" s="3" t="s">
        <v>3738</v>
      </c>
      <c r="M623" s="3" t="s">
        <v>180</v>
      </c>
      <c r="N623" s="4" t="str">
        <f>TRIM(SUBSTITUTE(M623,"_"," "))</f>
        <v>Rohan Mehta</v>
      </c>
      <c r="O623" s="3" t="s">
        <v>26</v>
      </c>
      <c r="P623" s="6" t="str">
        <f>PROPER(TRIM(SUBSTITUTE(O623,".","")))</f>
        <v>Consumer</v>
      </c>
      <c r="Q623" s="3" t="s">
        <v>42</v>
      </c>
      <c r="R623" s="7" t="str">
        <f>PROPER(TRIM(SUBSTITUTE(Q623,"  "," ")))</f>
        <v>East</v>
      </c>
      <c r="S623" s="3" t="s">
        <v>43</v>
      </c>
      <c r="T623" s="6" t="str">
        <f>PROPER(TRIM(SUBSTITUTE(S623,"  "," ")))</f>
        <v>Odisha</v>
      </c>
      <c r="U623" s="3" t="s">
        <v>44</v>
      </c>
      <c r="V623" s="6" t="str">
        <f>PROPER(TRIM(SUBSTITUTE(U623,"  "," ")))</f>
        <v>Bhubaneswar</v>
      </c>
      <c r="W623" s="3" t="s">
        <v>45</v>
      </c>
      <c r="X623" s="6" t="str">
        <f>PROPER(TRIM(SUBSTITUTE(W623,"  "," ")))</f>
        <v>Furniture</v>
      </c>
      <c r="Y623" s="3" t="s">
        <v>204</v>
      </c>
      <c r="Z623" s="6" t="str">
        <f>PROPER(TRIM(SUBSTITUTE(Y623,"  "," ")))</f>
        <v>Bookcases</v>
      </c>
      <c r="AA623" s="3" t="s">
        <v>1717</v>
      </c>
      <c r="AB623" s="3" t="s">
        <v>67</v>
      </c>
      <c r="AC623" s="6" t="str">
        <f>PROPER(TRIM(SUBSTITUTE(AB623,"  "," ")))</f>
        <v>Standard Class</v>
      </c>
      <c r="AD623" s="3">
        <v>2</v>
      </c>
      <c r="AE623" s="3">
        <v>1337.67</v>
      </c>
      <c r="AF623" s="3">
        <v>0</v>
      </c>
      <c r="AG623" s="17">
        <v>0</v>
      </c>
      <c r="AH623" s="6" t="str">
        <f t="shared" si="75"/>
        <v>Valid</v>
      </c>
      <c r="AI623" s="3">
        <v>2675.34</v>
      </c>
      <c r="AJ623" s="3">
        <v>1595.87</v>
      </c>
      <c r="AK623" s="3">
        <v>1079.47</v>
      </c>
      <c r="AL623" s="3" t="s">
        <v>34</v>
      </c>
      <c r="AM623" s="6" t="str">
        <f>PROPER(TRIM(SUBSTITUTE(AL623,".","")))</f>
        <v>Paid</v>
      </c>
      <c r="AN623" s="3" t="s">
        <v>35</v>
      </c>
      <c r="AO623" s="8" t="str">
        <f>PROPER(TRIM(SUBSTITUTE(AN623,".","")))</f>
        <v>Completed</v>
      </c>
      <c r="AP623" t="str">
        <f>IF(COUNTIF($A$2:$A$933, A623) &gt; 1, "Duplicate ID", "Unique")</f>
        <v>Unique</v>
      </c>
      <c r="AR623">
        <f t="shared" si="76"/>
        <v>2675.34</v>
      </c>
      <c r="AS623">
        <f t="shared" si="77"/>
        <v>1079.4700000000003</v>
      </c>
      <c r="AT623" s="15">
        <f t="shared" si="78"/>
        <v>0.40348890234512258</v>
      </c>
      <c r="AU623" t="str">
        <f t="shared" si="79"/>
        <v>Invalid</v>
      </c>
      <c r="AV623" s="8" t="str">
        <f t="shared" si="80"/>
        <v>Active</v>
      </c>
    </row>
    <row r="624" spans="1:48">
      <c r="A624" s="3" t="s">
        <v>2349</v>
      </c>
      <c r="B624" s="3" t="s">
        <v>2350</v>
      </c>
      <c r="C624" s="9">
        <f>IFERROR(DATEVALUE(TEXT(B624,"DD/MM/YYYY")), IF(ISNUMBER(B624), B624, ""))</f>
        <v>45813</v>
      </c>
      <c r="D624" s="9" t="str">
        <f>IF(B624="","Missing", IF(AND(ISNUMBER(B624)=FALSE, C624=""),"Invalid - Could Not Parse", IF(AND(ISNUMBER(B624)=FALSE, C624&lt;&gt;""),"Text - Converted to Date", IF(ISNUMBER(B624),"Valid","Check"))))</f>
        <v>Text - Converted to Date</v>
      </c>
      <c r="E624" s="5">
        <f t="shared" si="73"/>
        <v>6</v>
      </c>
      <c r="F624" s="5">
        <f t="shared" si="74"/>
        <v>2025</v>
      </c>
      <c r="G624" s="3" t="s">
        <v>2351</v>
      </c>
      <c r="H624" s="9">
        <f>IFERROR(DATEVALUE(MID(G624,4,2) &amp; "/" &amp; LEFT(G624,2) &amp; "/" &amp; RIGHT(G624,4)), IF(ISNUMBER(G624), G624, IFERROR(DATEVALUE(G624), "")))</f>
        <v>45821</v>
      </c>
      <c r="I624" s="9" t="str">
        <f>IF(G624="","Missing", IF(AND(ISNUMBER(G624)=FALSE, H624=""),"Invalid - Could Not Parse", IF(AND(ISNUMBER(G624)=FALSE, H624&lt;&gt;""),"Text - Converted to Date", IF(ISNUMBER(G624),"Valid","Check"))))</f>
        <v>Text - Converted to Date</v>
      </c>
      <c r="J624" s="9" t="str">
        <f>IF(OR(C624="", H624=""), "Cannot Check - Date Missing", IF(H624&lt;C624, "Invalid - Ship Before Order", "Valid"))</f>
        <v>Valid</v>
      </c>
      <c r="K624" s="5">
        <f>IF(OR(C624="", H624=""), "", IF(H624&lt;C624, "", H624-C624))</f>
        <v>8</v>
      </c>
      <c r="L624" s="3" t="s">
        <v>2352</v>
      </c>
      <c r="M624" s="3" t="s">
        <v>53</v>
      </c>
      <c r="N624" s="4" t="str">
        <f>TRIM(SUBSTITUTE(M624,"_"," "))</f>
        <v>Isha Nair</v>
      </c>
      <c r="O624" s="3" t="s">
        <v>26</v>
      </c>
      <c r="P624" s="6" t="str">
        <f>PROPER(TRIM(SUBSTITUTE(O624,".","")))</f>
        <v>Consumer</v>
      </c>
      <c r="Q624" s="3" t="s">
        <v>27</v>
      </c>
      <c r="R624" s="7" t="str">
        <f>PROPER(TRIM(SUBSTITUTE(Q624,"  "," ")))</f>
        <v>North</v>
      </c>
      <c r="S624" s="3" t="s">
        <v>174</v>
      </c>
      <c r="T624" s="6" t="str">
        <f>PROPER(TRIM(SUBSTITUTE(S624,"  "," ")))</f>
        <v>Uttar Pradesh</v>
      </c>
      <c r="U624" s="3" t="s">
        <v>175</v>
      </c>
      <c r="V624" s="6" t="str">
        <f>PROPER(TRIM(SUBSTITUTE(U624,"  "," ")))</f>
        <v>Noida</v>
      </c>
      <c r="W624" s="3" t="s">
        <v>86</v>
      </c>
      <c r="X624" s="6" t="str">
        <f>PROPER(TRIM(SUBSTITUTE(W624,"  "," ")))</f>
        <v>Technology</v>
      </c>
      <c r="Y624" s="3" t="s">
        <v>382</v>
      </c>
      <c r="Z624" s="6" t="str">
        <f>PROPER(TRIM(SUBSTITUTE(Y624,"  "," ")))</f>
        <v>Machines</v>
      </c>
      <c r="AA624" s="3" t="s">
        <v>2353</v>
      </c>
      <c r="AB624" s="3" t="s">
        <v>48</v>
      </c>
      <c r="AC624" s="6" t="str">
        <f>PROPER(TRIM(SUBSTITUTE(AB624,"  "," ")))</f>
        <v>Same Day</v>
      </c>
      <c r="AD624" s="3">
        <v>4</v>
      </c>
      <c r="AE624" s="3">
        <v>2793.88</v>
      </c>
      <c r="AF624" s="3" t="s">
        <v>1170</v>
      </c>
      <c r="AG624" s="17" t="s">
        <v>1170</v>
      </c>
      <c r="AH624" s="6" t="str">
        <f t="shared" si="75"/>
        <v>Invalid - Above Range</v>
      </c>
      <c r="AI624" s="3">
        <v>10616.74</v>
      </c>
      <c r="AJ624" s="3">
        <v>6353.59</v>
      </c>
      <c r="AK624" s="3">
        <v>4263.1499999999996</v>
      </c>
      <c r="AL624" s="3" t="s">
        <v>34</v>
      </c>
      <c r="AM624" s="6" t="str">
        <f>PROPER(TRIM(SUBSTITUTE(AL624,".","")))</f>
        <v>Paid</v>
      </c>
      <c r="AN624" s="3" t="s">
        <v>35</v>
      </c>
      <c r="AO624" s="8" t="str">
        <f>PROPER(TRIM(SUBSTITUTE(AN624,".","")))</f>
        <v>Completed</v>
      </c>
      <c r="AP624" t="str">
        <f>IF(COUNTIF($A$2:$A$933, A624) &gt; 1, "Duplicate ID", "Unique")</f>
        <v>Unique</v>
      </c>
      <c r="AR624">
        <f t="shared" si="76"/>
        <v>1676.3280000000002</v>
      </c>
      <c r="AS624">
        <f t="shared" si="77"/>
        <v>-4677.2619999999997</v>
      </c>
      <c r="AT624" s="15">
        <f t="shared" si="78"/>
        <v>-2.7901830667983827</v>
      </c>
      <c r="AU624" t="str">
        <f t="shared" si="79"/>
        <v>Invalid</v>
      </c>
      <c r="AV624" s="8" t="str">
        <f t="shared" si="80"/>
        <v>Active</v>
      </c>
    </row>
    <row r="625" spans="1:48">
      <c r="A625" s="3" t="s">
        <v>1981</v>
      </c>
      <c r="B625" s="3" t="s">
        <v>1982</v>
      </c>
      <c r="C625" s="9">
        <f>IFERROR(DATEVALUE(TEXT(B625,"DD/MM/YYYY")), IF(ISNUMBER(B625), B625, ""))</f>
        <v>45814</v>
      </c>
      <c r="D625" s="9" t="str">
        <f>IF(B625="","Missing", IF(AND(ISNUMBER(B625)=FALSE, C625=""),"Invalid - Could Not Parse", IF(AND(ISNUMBER(B625)=FALSE, C625&lt;&gt;""),"Text - Converted to Date", IF(ISNUMBER(B625),"Valid","Check"))))</f>
        <v>Text - Converted to Date</v>
      </c>
      <c r="E625" s="5">
        <f t="shared" si="73"/>
        <v>6</v>
      </c>
      <c r="F625" s="5">
        <f t="shared" si="74"/>
        <v>2025</v>
      </c>
      <c r="G625" s="3" t="s">
        <v>1983</v>
      </c>
      <c r="H625" s="9">
        <f>IFERROR(DATEVALUE(TEXT(G625,"DD/MM/YYYY")), IF(ISNUMBER(G625), G625, ""))</f>
        <v>45819</v>
      </c>
      <c r="I625" s="9" t="str">
        <f>IF(G625="","Missing", IF(AND(ISNUMBER(G625)=FALSE, H625=""),"Invalid - Could Not Parse", IF(AND(ISNUMBER(G625)=FALSE, H625&lt;&gt;""),"Text - Converted to Date", IF(ISNUMBER(G625),"Valid","Check"))))</f>
        <v>Text - Converted to Date</v>
      </c>
      <c r="J625" s="9" t="str">
        <f>IF(OR(C625="", H625=""), "Cannot Check - Date Missing", IF(H625&lt;C625, "Invalid - Ship Before Order", "Valid"))</f>
        <v>Valid</v>
      </c>
      <c r="K625" s="5">
        <f>IF(OR(C625="", H625=""), "", IF(H625&lt;C625, "", H625-C625))</f>
        <v>5</v>
      </c>
      <c r="L625" s="3" t="s">
        <v>1984</v>
      </c>
      <c r="M625" s="3" t="s">
        <v>168</v>
      </c>
      <c r="N625" s="4" t="str">
        <f>TRIM(SUBSTITUTE(M625,"_"," "))</f>
        <v>Sneha Kapoor</v>
      </c>
      <c r="O625" s="3" t="s">
        <v>41</v>
      </c>
      <c r="P625" s="6" t="str">
        <f>PROPER(TRIM(SUBSTITUTE(O625,".","")))</f>
        <v>Small Business</v>
      </c>
      <c r="Q625" s="3" t="s">
        <v>27</v>
      </c>
      <c r="R625" s="7" t="str">
        <f>PROPER(TRIM(SUBSTITUTE(Q625,"  "," ")))</f>
        <v>North</v>
      </c>
      <c r="S625" s="3" t="s">
        <v>174</v>
      </c>
      <c r="T625" s="6" t="str">
        <f>PROPER(TRIM(SUBSTITUTE(S625,"  "," ")))</f>
        <v>Uttar Pradesh</v>
      </c>
      <c r="U625" s="3" t="s">
        <v>175</v>
      </c>
      <c r="V625" s="6" t="str">
        <f>PROPER(TRIM(SUBSTITUTE(U625,"  "," ")))</f>
        <v>Noida</v>
      </c>
      <c r="W625" s="3" t="s">
        <v>30</v>
      </c>
      <c r="X625" s="6" t="str">
        <f>PROPER(TRIM(SUBSTITUTE(W625,"  "," ")))</f>
        <v>Office Supplies</v>
      </c>
      <c r="Y625" s="3" t="s">
        <v>31</v>
      </c>
      <c r="Z625" s="6" t="str">
        <f>PROPER(TRIM(SUBSTITUTE(Y625,"  "," ")))</f>
        <v>Paper</v>
      </c>
      <c r="AA625" s="3" t="s">
        <v>1985</v>
      </c>
      <c r="AB625" s="3" t="s">
        <v>48</v>
      </c>
      <c r="AC625" s="6" t="str">
        <f>PROPER(TRIM(SUBSTITUTE(AB625,"  "," ")))</f>
        <v>Same Day</v>
      </c>
      <c r="AD625" s="3">
        <v>7</v>
      </c>
      <c r="AE625" s="3">
        <v>878.09</v>
      </c>
      <c r="AF625" s="3">
        <v>-0.1</v>
      </c>
      <c r="AG625" s="17">
        <v>-0.1</v>
      </c>
      <c r="AH625" s="6" t="str">
        <f t="shared" si="75"/>
        <v>Invalid - Negative</v>
      </c>
      <c r="AI625" s="3">
        <v>5839.3</v>
      </c>
      <c r="AJ625" s="3">
        <v>4877.38</v>
      </c>
      <c r="AK625" s="3">
        <v>961.92</v>
      </c>
      <c r="AL625" s="3" t="s">
        <v>34</v>
      </c>
      <c r="AM625" s="6" t="str">
        <f>PROPER(TRIM(SUBSTITUTE(AL625,".","")))</f>
        <v>Paid</v>
      </c>
      <c r="AN625" s="3" t="s">
        <v>35</v>
      </c>
      <c r="AO625" s="8" t="str">
        <f>PROPER(TRIM(SUBSTITUTE(AN625,".","")))</f>
        <v>Completed</v>
      </c>
      <c r="AP625" t="str">
        <f>IF(COUNTIF($A$2:$A$933, A625) &gt; 1, "Duplicate ID", "Unique")</f>
        <v>Unique</v>
      </c>
      <c r="AR625">
        <f t="shared" si="76"/>
        <v>6761.2930000000006</v>
      </c>
      <c r="AS625">
        <f t="shared" si="77"/>
        <v>1883.9130000000005</v>
      </c>
      <c r="AT625" s="15">
        <f t="shared" si="78"/>
        <v>0.27863206046535777</v>
      </c>
      <c r="AU625" t="str">
        <f t="shared" si="79"/>
        <v>Invalid</v>
      </c>
      <c r="AV625" s="8" t="str">
        <f t="shared" si="80"/>
        <v>Active</v>
      </c>
    </row>
    <row r="626" spans="1:48">
      <c r="A626" s="3" t="s">
        <v>3334</v>
      </c>
      <c r="B626" s="3" t="s">
        <v>3335</v>
      </c>
      <c r="C626" s="9">
        <f>IFERROR(DATEVALUE(TEXT(B626,"DD/MM/YYYY")), IF(ISNUMBER(B626), B626, ""))</f>
        <v>45814</v>
      </c>
      <c r="D626" s="9" t="str">
        <f>IF(B626="","Missing", IF(AND(ISNUMBER(B626)=FALSE, C626=""),"Invalid - Could Not Parse", IF(AND(ISNUMBER(B626)=FALSE, C626&lt;&gt;""),"Text - Converted to Date", IF(ISNUMBER(B626),"Valid","Check"))))</f>
        <v>Text - Converted to Date</v>
      </c>
      <c r="E626" s="5">
        <f t="shared" si="73"/>
        <v>6</v>
      </c>
      <c r="F626" s="5">
        <f t="shared" si="74"/>
        <v>2025</v>
      </c>
      <c r="G626" s="3" t="s">
        <v>3182</v>
      </c>
      <c r="H626" s="9">
        <f>IFERROR(DATEVALUE(TEXT(G626,"DD/MM/YYYY")), IF(ISNUMBER(G626), G626, ""))</f>
        <v>45936</v>
      </c>
      <c r="I626" s="9" t="str">
        <f>IF(G626="","Missing", IF(AND(ISNUMBER(G626)=FALSE, H626=""),"Invalid - Could Not Parse", IF(AND(ISNUMBER(G626)=FALSE, H626&lt;&gt;""),"Text - Converted to Date", IF(ISNUMBER(G626),"Valid","Check"))))</f>
        <v>Text - Converted to Date</v>
      </c>
      <c r="J626" s="9" t="str">
        <f>IF(OR(C626="", H626=""), "Cannot Check - Date Missing", IF(H626&lt;C626, "Invalid - Ship Before Order", "Valid"))</f>
        <v>Valid</v>
      </c>
      <c r="K626" s="5">
        <f>IF(OR(C626="", H626=""), "", IF(H626&lt;C626, "", H626-C626))</f>
        <v>122</v>
      </c>
      <c r="L626" s="3" t="s">
        <v>903</v>
      </c>
      <c r="M626" s="3" t="s">
        <v>40</v>
      </c>
      <c r="N626" s="4" t="str">
        <f>TRIM(SUBSTITUTE(M626,"_"," "))</f>
        <v>Mira Das</v>
      </c>
      <c r="O626" s="3" t="s">
        <v>26</v>
      </c>
      <c r="P626" s="6" t="str">
        <f>PROPER(TRIM(SUBSTITUTE(O626,".","")))</f>
        <v>Consumer</v>
      </c>
      <c r="Q626" s="3" t="s">
        <v>73</v>
      </c>
      <c r="R626" s="7" t="str">
        <f>PROPER(TRIM(SUBSTITUTE(Q626,"  "," ")))</f>
        <v>West</v>
      </c>
      <c r="S626" s="3" t="s">
        <v>28</v>
      </c>
      <c r="T626" s="6" t="str">
        <f>PROPER(TRIM(SUBSTITUTE(S626,"  "," ")))</f>
        <v>Rajasthan</v>
      </c>
      <c r="U626" s="3" t="s">
        <v>135</v>
      </c>
      <c r="V626" s="6" t="str">
        <f>PROPER(TRIM(SUBSTITUTE(U626,"  "," ")))</f>
        <v>Udaipur</v>
      </c>
      <c r="W626" s="3" t="s">
        <v>86</v>
      </c>
      <c r="X626" s="6" t="str">
        <f>PROPER(TRIM(SUBSTITUTE(W626,"  "," ")))</f>
        <v>Technology</v>
      </c>
      <c r="Y626" s="3" t="s">
        <v>382</v>
      </c>
      <c r="Z626" s="6" t="str">
        <f>PROPER(TRIM(SUBSTITUTE(Y626,"  "," ")))</f>
        <v>Machines</v>
      </c>
      <c r="AA626" s="3" t="s">
        <v>3336</v>
      </c>
      <c r="AB626" s="3" t="s">
        <v>33</v>
      </c>
      <c r="AC626" s="6" t="str">
        <f>PROPER(TRIM(SUBSTITUTE(AB626,"  "," ")))</f>
        <v>Second Class</v>
      </c>
      <c r="AD626" s="3">
        <v>1</v>
      </c>
      <c r="AE626" s="3">
        <v>289.97000000000003</v>
      </c>
      <c r="AF626" s="3">
        <v>0.25</v>
      </c>
      <c r="AG626" s="17">
        <v>0.25</v>
      </c>
      <c r="AH626" s="6" t="str">
        <f t="shared" si="75"/>
        <v>Valid</v>
      </c>
      <c r="AI626" s="3">
        <v>217.48</v>
      </c>
      <c r="AJ626" s="3">
        <v>132.13</v>
      </c>
      <c r="AK626" s="3">
        <v>85.35</v>
      </c>
      <c r="AL626" s="3" t="s">
        <v>34</v>
      </c>
      <c r="AM626" s="6" t="str">
        <f>PROPER(TRIM(SUBSTITUTE(AL626,".","")))</f>
        <v>Paid</v>
      </c>
      <c r="AN626" s="3" t="s">
        <v>35</v>
      </c>
      <c r="AO626" s="8" t="str">
        <f>PROPER(TRIM(SUBSTITUTE(AN626,".","")))</f>
        <v>Completed</v>
      </c>
      <c r="AP626" t="str">
        <f>IF(COUNTIF($A$2:$A$933, A626) &gt; 1, "Duplicate ID", "Unique")</f>
        <v>Unique</v>
      </c>
      <c r="AR626">
        <f t="shared" si="76"/>
        <v>217.47750000000002</v>
      </c>
      <c r="AS626">
        <f t="shared" si="77"/>
        <v>85.347500000000025</v>
      </c>
      <c r="AT626" s="15">
        <f t="shared" si="78"/>
        <v>0.39244289639158081</v>
      </c>
      <c r="AU626" t="str">
        <f t="shared" si="79"/>
        <v>Clean</v>
      </c>
      <c r="AV626" s="8" t="str">
        <f t="shared" si="80"/>
        <v>Active</v>
      </c>
    </row>
    <row r="627" spans="1:48">
      <c r="A627" s="3" t="s">
        <v>3970</v>
      </c>
      <c r="B627" s="3" t="s">
        <v>3971</v>
      </c>
      <c r="C627" s="9">
        <f>IFERROR(DATEVALUE(TEXT(B627,"DD/MM/YYYY")), IF(ISNUMBER(B627), B627, ""))</f>
        <v>45814</v>
      </c>
      <c r="D627" s="9" t="str">
        <f>IF(B627="","Missing", IF(AND(ISNUMBER(B627)=FALSE, C627=""),"Invalid - Could Not Parse", IF(AND(ISNUMBER(B627)=FALSE, C627&lt;&gt;""),"Text - Converted to Date", IF(ISNUMBER(B627),"Valid","Check"))))</f>
        <v>Text - Converted to Date</v>
      </c>
      <c r="E627" s="5">
        <f t="shared" si="73"/>
        <v>6</v>
      </c>
      <c r="F627" s="5">
        <f t="shared" si="74"/>
        <v>2025</v>
      </c>
      <c r="G627" s="3" t="s">
        <v>3972</v>
      </c>
      <c r="H627" s="9">
        <f>IFERROR(DATEVALUE(TEXT(G627,"DD/MM/YYYY")), IF(ISNUMBER(G627), G627, ""))</f>
        <v>45815</v>
      </c>
      <c r="I627" s="9" t="str">
        <f>IF(G627="","Missing", IF(AND(ISNUMBER(G627)=FALSE, H627=""),"Invalid - Could Not Parse", IF(AND(ISNUMBER(G627)=FALSE, H627&lt;&gt;""),"Text - Converted to Date", IF(ISNUMBER(G627),"Valid","Check"))))</f>
        <v>Text - Converted to Date</v>
      </c>
      <c r="J627" s="9" t="str">
        <f>IF(OR(C627="", H627=""), "Cannot Check - Date Missing", IF(H627&lt;C627, "Invalid - Ship Before Order", "Valid"))</f>
        <v>Valid</v>
      </c>
      <c r="K627" s="5">
        <f>IF(OR(C627="", H627=""), "", IF(H627&lt;C627, "", H627-C627))</f>
        <v>1</v>
      </c>
      <c r="L627" s="3" t="s">
        <v>3973</v>
      </c>
      <c r="M627" s="3" t="s">
        <v>83</v>
      </c>
      <c r="N627" s="4" t="str">
        <f>TRIM(SUBSTITUTE(M627,"_"," "))</f>
        <v>Vikram Iyer</v>
      </c>
      <c r="O627" s="3" t="s">
        <v>108</v>
      </c>
      <c r="P627" s="6" t="str">
        <f>PROPER(TRIM(SUBSTITUTE(O627,".","")))</f>
        <v>Corporate</v>
      </c>
      <c r="Q627" s="3" t="s">
        <v>73</v>
      </c>
      <c r="R627" s="7" t="str">
        <f>PROPER(TRIM(SUBSTITUTE(Q627,"  "," ")))</f>
        <v>West</v>
      </c>
      <c r="S627" s="3" t="s">
        <v>249</v>
      </c>
      <c r="T627" s="6" t="str">
        <f>PROPER(TRIM(SUBSTITUTE(S627,"  "," ")))</f>
        <v>Goa</v>
      </c>
      <c r="U627" s="3" t="s">
        <v>250</v>
      </c>
      <c r="V627" s="6" t="str">
        <f>PROPER(TRIM(SUBSTITUTE(U627,"  "," ")))</f>
        <v>Panaji</v>
      </c>
      <c r="W627" s="3" t="s">
        <v>45</v>
      </c>
      <c r="X627" s="6" t="str">
        <f>PROPER(TRIM(SUBSTITUTE(W627,"  "," ")))</f>
        <v>Furniture</v>
      </c>
      <c r="Y627" s="3" t="s">
        <v>46</v>
      </c>
      <c r="Z627" s="6" t="str">
        <f>PROPER(TRIM(SUBSTITUTE(Y627,"  "," ")))</f>
        <v>Tables</v>
      </c>
      <c r="AA627" s="3" t="s">
        <v>3974</v>
      </c>
      <c r="AB627" s="3" t="s">
        <v>67</v>
      </c>
      <c r="AC627" s="6" t="str">
        <f>PROPER(TRIM(SUBSTITUTE(AB627,"  "," ")))</f>
        <v>Standard Class</v>
      </c>
      <c r="AD627" s="3">
        <v>9</v>
      </c>
      <c r="AE627" s="3">
        <v>2932.92</v>
      </c>
      <c r="AF627" s="3">
        <v>0.15</v>
      </c>
      <c r="AG627" s="17">
        <v>0.15</v>
      </c>
      <c r="AH627" s="6" t="str">
        <f t="shared" si="75"/>
        <v>Valid</v>
      </c>
      <c r="AI627" s="3">
        <v>22436.84</v>
      </c>
      <c r="AJ627" s="3">
        <v>17454.669999999998</v>
      </c>
      <c r="AK627" s="3">
        <v>4982.17</v>
      </c>
      <c r="AL627" s="3" t="s">
        <v>34</v>
      </c>
      <c r="AM627" s="6" t="str">
        <f>PROPER(TRIM(SUBSTITUTE(AL627,".","")))</f>
        <v>Paid</v>
      </c>
      <c r="AN627" s="3" t="s">
        <v>78</v>
      </c>
      <c r="AO627" s="8" t="str">
        <f>PROPER(TRIM(SUBSTITUTE(AN627,".","")))</f>
        <v>Cancelled</v>
      </c>
      <c r="AP627" t="str">
        <f>IF(COUNTIF($A$2:$A$933, A627) &gt; 1, "Duplicate ID", "Unique")</f>
        <v>Unique</v>
      </c>
      <c r="AR627">
        <f t="shared" si="76"/>
        <v>22436.838</v>
      </c>
      <c r="AS627">
        <f t="shared" si="77"/>
        <v>4982.1680000000015</v>
      </c>
      <c r="AT627" s="15">
        <f t="shared" si="78"/>
        <v>0.22205303617203109</v>
      </c>
      <c r="AU627" t="str">
        <f t="shared" si="79"/>
        <v>Clean</v>
      </c>
      <c r="AV627" s="8" t="str">
        <f t="shared" si="80"/>
        <v>Cancelled</v>
      </c>
    </row>
    <row r="628" spans="1:48">
      <c r="A628" s="3" t="s">
        <v>1270</v>
      </c>
      <c r="B628" s="3" t="s">
        <v>1271</v>
      </c>
      <c r="C628" s="9">
        <f>IFERROR(DATEVALUE(TEXT(B628,"DD/MM/YYYY")), IF(ISNUMBER(B628), B628, ""))</f>
        <v>45815</v>
      </c>
      <c r="D628" s="9" t="str">
        <f>IF(B628="","Missing", IF(AND(ISNUMBER(B628)=FALSE, C628=""),"Invalid - Could Not Parse", IF(AND(ISNUMBER(B628)=FALSE, C628&lt;&gt;""),"Text - Converted to Date", IF(ISNUMBER(B628),"Valid","Check"))))</f>
        <v>Text - Converted to Date</v>
      </c>
      <c r="E628" s="5">
        <f t="shared" si="73"/>
        <v>6</v>
      </c>
      <c r="F628" s="5">
        <f t="shared" si="74"/>
        <v>2025</v>
      </c>
      <c r="G628" s="3" t="s">
        <v>1272</v>
      </c>
      <c r="H628" s="9">
        <f>IFERROR(DATEVALUE(TEXT(G628,"DD/MM/YYYY")), IF(ISNUMBER(G628), G628, ""))</f>
        <v>45844</v>
      </c>
      <c r="I628" s="9" t="str">
        <f>IF(G628="","Missing", IF(AND(ISNUMBER(G628)=FALSE, H628=""),"Invalid - Could Not Parse", IF(AND(ISNUMBER(G628)=FALSE, H628&lt;&gt;""),"Text - Converted to Date", IF(ISNUMBER(G628),"Valid","Check"))))</f>
        <v>Text - Converted to Date</v>
      </c>
      <c r="J628" s="9" t="str">
        <f>IF(OR(C628="", H628=""), "Cannot Check - Date Missing", IF(H628&lt;C628, "Invalid - Ship Before Order", "Valid"))</f>
        <v>Valid</v>
      </c>
      <c r="K628" s="5">
        <f>IF(OR(C628="", H628=""), "", IF(H628&lt;C628, "", H628-C628))</f>
        <v>29</v>
      </c>
      <c r="L628" s="3" t="s">
        <v>1273</v>
      </c>
      <c r="M628" s="3" t="s">
        <v>168</v>
      </c>
      <c r="N628" s="4" t="str">
        <f>TRIM(SUBSTITUTE(M628,"_"," "))</f>
        <v>Sneha Kapoor</v>
      </c>
      <c r="O628" s="3" t="s">
        <v>108</v>
      </c>
      <c r="P628" s="6" t="str">
        <f>PROPER(TRIM(SUBSTITUTE(O628,".","")))</f>
        <v>Corporate</v>
      </c>
      <c r="Q628" s="3" t="s">
        <v>27</v>
      </c>
      <c r="R628" s="7" t="str">
        <f>PROPER(TRIM(SUBSTITUTE(Q628,"  "," ")))</f>
        <v>North</v>
      </c>
      <c r="S628" s="3" t="s">
        <v>323</v>
      </c>
      <c r="T628" s="6" t="str">
        <f>PROPER(TRIM(SUBSTITUTE(S628,"  "," ")))</f>
        <v>Haryana</v>
      </c>
      <c r="U628" s="3" t="s">
        <v>324</v>
      </c>
      <c r="V628" s="6" t="str">
        <f>PROPER(TRIM(SUBSTITUTE(U628,"  "," ")))</f>
        <v>Gurugram</v>
      </c>
      <c r="W628" s="3" t="s">
        <v>30</v>
      </c>
      <c r="X628" s="6" t="str">
        <f>PROPER(TRIM(SUBSTITUTE(W628,"  "," ")))</f>
        <v>Office Supplies</v>
      </c>
      <c r="Y628" s="3" t="s">
        <v>156</v>
      </c>
      <c r="Z628" s="6" t="str">
        <f>PROPER(TRIM(SUBSTITUTE(Y628,"  "," ")))</f>
        <v>Storage</v>
      </c>
      <c r="AA628" s="3" t="s">
        <v>1274</v>
      </c>
      <c r="AB628" s="3" t="s">
        <v>67</v>
      </c>
      <c r="AC628" s="6" t="str">
        <f>PROPER(TRIM(SUBSTITUTE(AB628,"  "," ")))</f>
        <v>Standard Class</v>
      </c>
      <c r="AD628" s="3">
        <v>1</v>
      </c>
      <c r="AE628" s="3">
        <v>1617.2</v>
      </c>
      <c r="AF628" s="3">
        <v>0.25</v>
      </c>
      <c r="AG628" s="17">
        <v>0.25</v>
      </c>
      <c r="AH628" s="6" t="str">
        <f t="shared" si="75"/>
        <v>Valid</v>
      </c>
      <c r="AI628" s="3">
        <v>1212.9000000000001</v>
      </c>
      <c r="AJ628" s="3">
        <v>690.52</v>
      </c>
      <c r="AK628" s="3">
        <v>522.38</v>
      </c>
      <c r="AL628" s="3" t="s">
        <v>137</v>
      </c>
      <c r="AM628" s="6" t="str">
        <f>PROPER(TRIM(SUBSTITUTE(AL628,".","")))</f>
        <v>Pending</v>
      </c>
      <c r="AN628" s="3" t="s">
        <v>125</v>
      </c>
      <c r="AO628" s="8" t="str">
        <f>PROPER(TRIM(SUBSTITUTE(AN628,".","")))</f>
        <v>Returned</v>
      </c>
      <c r="AP628" t="str">
        <f>IF(COUNTIF($A$2:$A$933, A628) &gt; 1, "Duplicate ID", "Unique")</f>
        <v>Unique</v>
      </c>
      <c r="AR628">
        <f t="shared" si="76"/>
        <v>1212.9000000000001</v>
      </c>
      <c r="AS628">
        <f t="shared" si="77"/>
        <v>522.38000000000011</v>
      </c>
      <c r="AT628" s="15">
        <f t="shared" si="78"/>
        <v>0.4306867837414462</v>
      </c>
      <c r="AU628" t="str">
        <f t="shared" si="79"/>
        <v>Clean</v>
      </c>
      <c r="AV628" s="8" t="str">
        <f t="shared" si="80"/>
        <v>Active</v>
      </c>
    </row>
    <row r="629" spans="1:48">
      <c r="A629" s="3" t="s">
        <v>3180</v>
      </c>
      <c r="B629" s="3" t="s">
        <v>3181</v>
      </c>
      <c r="C629" s="9">
        <f>IFERROR(DATEVALUE(TEXT(B629,"DD/MM/YYYY")), IF(ISNUMBER(B629), B629, ""))</f>
        <v>45815</v>
      </c>
      <c r="D629" s="9" t="str">
        <f>IF(B629="","Missing", IF(AND(ISNUMBER(B629)=FALSE, C629=""),"Invalid - Could Not Parse", IF(AND(ISNUMBER(B629)=FALSE, C629&lt;&gt;""),"Text - Converted to Date", IF(ISNUMBER(B629),"Valid","Check"))))</f>
        <v>Text - Converted to Date</v>
      </c>
      <c r="E629" s="5">
        <f t="shared" si="73"/>
        <v>6</v>
      </c>
      <c r="F629" s="5">
        <f t="shared" si="74"/>
        <v>2025</v>
      </c>
      <c r="G629" s="3" t="s">
        <v>3182</v>
      </c>
      <c r="H629" s="9">
        <f>IFERROR(DATEVALUE(TEXT(G629,"DD/MM/YYYY")), IF(ISNUMBER(G629), G629, ""))</f>
        <v>45936</v>
      </c>
      <c r="I629" s="9" t="str">
        <f>IF(G629="","Missing", IF(AND(ISNUMBER(G629)=FALSE, H629=""),"Invalid - Could Not Parse", IF(AND(ISNUMBER(G629)=FALSE, H629&lt;&gt;""),"Text - Converted to Date", IF(ISNUMBER(G629),"Valid","Check"))))</f>
        <v>Text - Converted to Date</v>
      </c>
      <c r="J629" s="9" t="str">
        <f>IF(OR(C629="", H629=""), "Cannot Check - Date Missing", IF(H629&lt;C629, "Invalid - Ship Before Order", "Valid"))</f>
        <v>Valid</v>
      </c>
      <c r="K629" s="5">
        <f>IF(OR(C629="", H629=""), "", IF(H629&lt;C629, "", H629-C629))</f>
        <v>121</v>
      </c>
      <c r="L629" s="3" t="s">
        <v>3033</v>
      </c>
      <c r="M629" s="3" t="s">
        <v>162</v>
      </c>
      <c r="N629" s="4" t="str">
        <f>TRIM(SUBSTITUTE(M629,"_"," "))</f>
        <v>Aarav Sharma</v>
      </c>
      <c r="O629" s="3" t="s">
        <v>26</v>
      </c>
      <c r="P629" s="6" t="str">
        <f>PROPER(TRIM(SUBSTITUTE(O629,".","")))</f>
        <v>Consumer</v>
      </c>
      <c r="Q629" s="3" t="s">
        <v>27</v>
      </c>
      <c r="R629" s="7" t="str">
        <f>PROPER(TRIM(SUBSTITUTE(Q629,"  "," ")))</f>
        <v>North</v>
      </c>
      <c r="S629" s="3" t="s">
        <v>28</v>
      </c>
      <c r="T629" s="6" t="str">
        <f>PROPER(TRIM(SUBSTITUTE(S629,"  "," ")))</f>
        <v>Rajasthan</v>
      </c>
      <c r="U629" s="3" t="s">
        <v>29</v>
      </c>
      <c r="V629" s="6" t="str">
        <f>PROPER(TRIM(SUBSTITUTE(U629,"  "," ")))</f>
        <v>Jaipur</v>
      </c>
      <c r="W629" s="3" t="s">
        <v>45</v>
      </c>
      <c r="X629" s="6" t="str">
        <f>PROPER(TRIM(SUBSTITUTE(W629,"  "," ")))</f>
        <v>Furniture</v>
      </c>
      <c r="Y629" s="3" t="s">
        <v>65</v>
      </c>
      <c r="Z629" s="6" t="str">
        <f>PROPER(TRIM(SUBSTITUTE(Y629,"  "," ")))</f>
        <v>Furnishings</v>
      </c>
      <c r="AA629" s="3" t="s">
        <v>3183</v>
      </c>
      <c r="AB629" s="3" t="s">
        <v>48</v>
      </c>
      <c r="AC629" s="6" t="str">
        <f>PROPER(TRIM(SUBSTITUTE(AB629,"  "," ")))</f>
        <v>Same Day</v>
      </c>
      <c r="AD629" s="3">
        <v>3</v>
      </c>
      <c r="AE629" s="3">
        <v>963.26</v>
      </c>
      <c r="AF629" s="3">
        <v>0</v>
      </c>
      <c r="AG629" s="17">
        <v>0</v>
      </c>
      <c r="AH629" s="6" t="str">
        <f t="shared" si="75"/>
        <v>Valid</v>
      </c>
      <c r="AI629" s="3">
        <v>2889.78</v>
      </c>
      <c r="AJ629" s="3">
        <v>1811.23</v>
      </c>
      <c r="AK629" s="3">
        <v>1078.55</v>
      </c>
      <c r="AL629" s="3" t="s">
        <v>34</v>
      </c>
      <c r="AM629" s="6" t="str">
        <f>PROPER(TRIM(SUBSTITUTE(AL629,".","")))</f>
        <v>Paid</v>
      </c>
      <c r="AN629" s="3" t="s">
        <v>35</v>
      </c>
      <c r="AO629" s="8" t="str">
        <f>PROPER(TRIM(SUBSTITUTE(AN629,".","")))</f>
        <v>Completed</v>
      </c>
      <c r="AP629" t="str">
        <f>IF(COUNTIF($A$2:$A$933, A629) &gt; 1, "Duplicate ID", "Unique")</f>
        <v>Unique</v>
      </c>
      <c r="AR629">
        <f t="shared" si="76"/>
        <v>2889.7799999999997</v>
      </c>
      <c r="AS629">
        <f t="shared" si="77"/>
        <v>1078.5499999999997</v>
      </c>
      <c r="AT629" s="15">
        <f t="shared" si="78"/>
        <v>0.37322910394562903</v>
      </c>
      <c r="AU629" t="str">
        <f t="shared" si="79"/>
        <v>Clean</v>
      </c>
      <c r="AV629" s="8" t="str">
        <f t="shared" si="80"/>
        <v>Active</v>
      </c>
    </row>
    <row r="630" spans="1:48">
      <c r="A630" s="3" t="s">
        <v>3628</v>
      </c>
      <c r="B630" s="3" t="s">
        <v>1271</v>
      </c>
      <c r="C630" s="9">
        <f>IFERROR(DATEVALUE(TEXT(B630,"DD/MM/YYYY")), IF(ISNUMBER(B630), B630, ""))</f>
        <v>45815</v>
      </c>
      <c r="D630" s="9" t="str">
        <f>IF(B630="","Missing", IF(AND(ISNUMBER(B630)=FALSE, C630=""),"Invalid - Could Not Parse", IF(AND(ISNUMBER(B630)=FALSE, C630&lt;&gt;""),"Text - Converted to Date", IF(ISNUMBER(B630),"Valid","Check"))))</f>
        <v>Text - Converted to Date</v>
      </c>
      <c r="E630" s="5">
        <f t="shared" si="73"/>
        <v>6</v>
      </c>
      <c r="F630" s="5">
        <f t="shared" si="74"/>
        <v>2025</v>
      </c>
      <c r="G630" s="3" t="s">
        <v>2853</v>
      </c>
      <c r="H630" s="9">
        <f>IFERROR(DATEVALUE(TEXT(G630,"DD/MM/YYYY")), IF(ISNUMBER(G630), G630, ""))</f>
        <v>45846</v>
      </c>
      <c r="I630" s="9" t="str">
        <f>IF(G630="","Missing", IF(AND(ISNUMBER(G630)=FALSE, H630=""),"Invalid - Could Not Parse", IF(AND(ISNUMBER(G630)=FALSE, H630&lt;&gt;""),"Text - Converted to Date", IF(ISNUMBER(G630),"Valid","Check"))))</f>
        <v>Text - Converted to Date</v>
      </c>
      <c r="J630" s="9" t="str">
        <f>IF(OR(C630="", H630=""), "Cannot Check - Date Missing", IF(H630&lt;C630, "Invalid - Ship Before Order", "Valid"))</f>
        <v>Valid</v>
      </c>
      <c r="K630" s="5">
        <f>IF(OR(C630="", H630=""), "", IF(H630&lt;C630, "", H630-C630))</f>
        <v>31</v>
      </c>
      <c r="L630" s="3" t="s">
        <v>3629</v>
      </c>
      <c r="M630" s="3" t="s">
        <v>72</v>
      </c>
      <c r="N630" s="4" t="str">
        <f>TRIM(SUBSTITUTE(M630,"_"," "))</f>
        <v>Ananya Rao</v>
      </c>
      <c r="O630" s="3" t="s">
        <v>108</v>
      </c>
      <c r="P630" s="6" t="str">
        <f>PROPER(TRIM(SUBSTITUTE(O630,".","")))</f>
        <v>Corporate</v>
      </c>
      <c r="Q630" s="3" t="s">
        <v>27</v>
      </c>
      <c r="R630" s="7" t="str">
        <f>PROPER(TRIM(SUBSTITUTE(Q630,"  "," ")))</f>
        <v>North</v>
      </c>
      <c r="S630" s="3" t="s">
        <v>28</v>
      </c>
      <c r="T630" s="6" t="str">
        <f>PROPER(TRIM(SUBSTITUTE(S630,"  "," ")))</f>
        <v>Rajasthan</v>
      </c>
      <c r="U630" s="3" t="s">
        <v>29</v>
      </c>
      <c r="V630" s="6" t="str">
        <f>PROPER(TRIM(SUBSTITUTE(U630,"  "," ")))</f>
        <v>Jaipur</v>
      </c>
      <c r="W630" s="3" t="s">
        <v>45</v>
      </c>
      <c r="X630" s="6" t="str">
        <f>PROPER(TRIM(SUBSTITUTE(W630,"  "," ")))</f>
        <v>Furniture</v>
      </c>
      <c r="Y630" s="3" t="s">
        <v>65</v>
      </c>
      <c r="Z630" s="6" t="str">
        <f>PROPER(TRIM(SUBSTITUTE(Y630,"  "," ")))</f>
        <v>Furnishings</v>
      </c>
      <c r="AA630" s="3" t="s">
        <v>3630</v>
      </c>
      <c r="AB630" s="3"/>
      <c r="AC630" s="11" t="str">
        <f>IF(ISBLANK(AB630), "Unknown", AB630)</f>
        <v>Unknown</v>
      </c>
      <c r="AD630" s="3">
        <v>4</v>
      </c>
      <c r="AE630" s="3">
        <v>715.45</v>
      </c>
      <c r="AF630" s="3">
        <v>0.05</v>
      </c>
      <c r="AG630" s="17">
        <v>0.05</v>
      </c>
      <c r="AH630" s="6" t="str">
        <f t="shared" si="75"/>
        <v>Valid</v>
      </c>
      <c r="AI630" s="3">
        <v>2718.71</v>
      </c>
      <c r="AJ630" s="3">
        <v>2065.0500000000002</v>
      </c>
      <c r="AK630" s="3">
        <v>653.66</v>
      </c>
      <c r="AL630" s="3" t="s">
        <v>124</v>
      </c>
      <c r="AM630" s="6" t="str">
        <f>PROPER(TRIM(SUBSTITUTE(AL630,".","")))</f>
        <v>Refunded</v>
      </c>
      <c r="AN630" s="3" t="s">
        <v>125</v>
      </c>
      <c r="AO630" s="8" t="str">
        <f>PROPER(TRIM(SUBSTITUTE(AN630,".","")))</f>
        <v>Returned</v>
      </c>
      <c r="AP630" t="str">
        <f>IF(COUNTIF($A$2:$A$933, A630) &gt; 1, "Duplicate ID", "Unique")</f>
        <v>Unique</v>
      </c>
      <c r="AR630">
        <f t="shared" si="76"/>
        <v>2718.71</v>
      </c>
      <c r="AS630">
        <f t="shared" si="77"/>
        <v>653.65999999999985</v>
      </c>
      <c r="AT630" s="15">
        <f t="shared" si="78"/>
        <v>0.24043020403058799</v>
      </c>
      <c r="AU630" t="str">
        <f t="shared" si="79"/>
        <v>Clean</v>
      </c>
      <c r="AV630" s="8" t="str">
        <f t="shared" si="80"/>
        <v>Refund</v>
      </c>
    </row>
    <row r="631" spans="1:48">
      <c r="A631" s="3" t="s">
        <v>3586</v>
      </c>
      <c r="B631" s="3" t="s">
        <v>3587</v>
      </c>
      <c r="C631" s="9">
        <f>IFERROR(DATEVALUE(TEXT(B631,"DD/MM/YYYY")), IF(ISNUMBER(B631), B631, ""))</f>
        <v>45816</v>
      </c>
      <c r="D631" s="9" t="str">
        <f>IF(B631="","Missing", IF(AND(ISNUMBER(B631)=FALSE, C631=""),"Invalid - Could Not Parse", IF(AND(ISNUMBER(B631)=FALSE, C631&lt;&gt;""),"Text - Converted to Date", IF(ISNUMBER(B631),"Valid","Check"))))</f>
        <v>Text - Converted to Date</v>
      </c>
      <c r="E631" s="5">
        <f t="shared" si="73"/>
        <v>6</v>
      </c>
      <c r="F631" s="5">
        <f t="shared" si="74"/>
        <v>2025</v>
      </c>
      <c r="G631" s="3" t="s">
        <v>2351</v>
      </c>
      <c r="H631" s="9">
        <f>IFERROR(DATEVALUE(MID(G631,4,2) &amp; "/" &amp; LEFT(G631,2) &amp; "/" &amp; RIGHT(G631,4)), IF(ISNUMBER(G631), G631, IFERROR(DATEVALUE(G631), "")))</f>
        <v>45821</v>
      </c>
      <c r="I631" s="9" t="str">
        <f>IF(G631="","Missing", IF(AND(ISNUMBER(G631)=FALSE, H631=""),"Invalid - Could Not Parse", IF(AND(ISNUMBER(G631)=FALSE, H631&lt;&gt;""),"Text - Converted to Date", IF(ISNUMBER(G631),"Valid","Check"))))</f>
        <v>Text - Converted to Date</v>
      </c>
      <c r="J631" s="9" t="str">
        <f>IF(OR(C631="", H631=""), "Cannot Check - Date Missing", IF(H631&lt;C631, "Invalid - Ship Before Order", "Valid"))</f>
        <v>Valid</v>
      </c>
      <c r="K631" s="5">
        <f>IF(OR(C631="", H631=""), "", IF(H631&lt;C631, "", H631-C631))</f>
        <v>5</v>
      </c>
      <c r="L631" s="3" t="s">
        <v>3588</v>
      </c>
      <c r="M631" s="3" t="s">
        <v>107</v>
      </c>
      <c r="N631" s="4" t="str">
        <f>TRIM(SUBSTITUTE(M631,"_"," "))</f>
        <v>Aditi Sen</v>
      </c>
      <c r="O631" s="3" t="s">
        <v>41</v>
      </c>
      <c r="P631" s="6" t="str">
        <f>PROPER(TRIM(SUBSTITUTE(O631,".","")))</f>
        <v>Small Business</v>
      </c>
      <c r="Q631" s="3" t="s">
        <v>27</v>
      </c>
      <c r="R631" s="7" t="str">
        <f>PROPER(TRIM(SUBSTITUTE(Q631,"  "," ")))</f>
        <v>North</v>
      </c>
      <c r="S631" s="3" t="s">
        <v>28</v>
      </c>
      <c r="T631" s="6" t="str">
        <f>PROPER(TRIM(SUBSTITUTE(S631,"  "," ")))</f>
        <v>Rajasthan</v>
      </c>
      <c r="U631" s="3" t="s">
        <v>29</v>
      </c>
      <c r="V631" s="6" t="str">
        <f>PROPER(TRIM(SUBSTITUTE(U631,"  "," ")))</f>
        <v>Jaipur</v>
      </c>
      <c r="W631" s="3" t="s">
        <v>86</v>
      </c>
      <c r="X631" s="6" t="str">
        <f>PROPER(TRIM(SUBSTITUTE(W631,"  "," ")))</f>
        <v>Technology</v>
      </c>
      <c r="Y631" s="3" t="s">
        <v>94</v>
      </c>
      <c r="Z631" s="6" t="str">
        <f>PROPER(TRIM(SUBSTITUTE(Y631,"  "," ")))</f>
        <v>Copiers</v>
      </c>
      <c r="AA631" s="3" t="s">
        <v>3589</v>
      </c>
      <c r="AB631" s="3" t="s">
        <v>33</v>
      </c>
      <c r="AC631" s="6" t="str">
        <f>PROPER(TRIM(SUBSTITUTE(AB631,"  "," ")))</f>
        <v>Second Class</v>
      </c>
      <c r="AD631" s="3">
        <v>7</v>
      </c>
      <c r="AE631" s="3">
        <v>3857.13</v>
      </c>
      <c r="AF631" s="3">
        <v>0</v>
      </c>
      <c r="AG631" s="17">
        <v>0</v>
      </c>
      <c r="AH631" s="6" t="str">
        <f t="shared" si="75"/>
        <v>Valid</v>
      </c>
      <c r="AI631" s="3">
        <v>26999.91</v>
      </c>
      <c r="AJ631" s="3">
        <v>17815.98</v>
      </c>
      <c r="AK631" s="3">
        <v>9183.93</v>
      </c>
      <c r="AL631" s="3" t="s">
        <v>34</v>
      </c>
      <c r="AM631" s="6" t="str">
        <f>PROPER(TRIM(SUBSTITUTE(AL631,".","")))</f>
        <v>Paid</v>
      </c>
      <c r="AN631" s="3" t="s">
        <v>35</v>
      </c>
      <c r="AO631" s="8" t="str">
        <f>PROPER(TRIM(SUBSTITUTE(AN631,".","")))</f>
        <v>Completed</v>
      </c>
      <c r="AP631" t="str">
        <f>IF(COUNTIF($A$2:$A$933, A631) &gt; 1, "Duplicate ID", "Unique")</f>
        <v>Unique</v>
      </c>
      <c r="AR631">
        <f t="shared" si="76"/>
        <v>26999.91</v>
      </c>
      <c r="AS631">
        <f t="shared" si="77"/>
        <v>9183.93</v>
      </c>
      <c r="AT631" s="15">
        <f t="shared" si="78"/>
        <v>0.34014668937785347</v>
      </c>
      <c r="AU631" t="str">
        <f t="shared" si="79"/>
        <v>Warning</v>
      </c>
      <c r="AV631" s="8" t="str">
        <f t="shared" si="80"/>
        <v>Active</v>
      </c>
    </row>
    <row r="632" spans="1:48">
      <c r="A632" s="3" t="s">
        <v>1966</v>
      </c>
      <c r="B632" s="3" t="s">
        <v>1967</v>
      </c>
      <c r="C632" s="9">
        <f>IFERROR(DATEVALUE(TEXT(B632,"DD/MM/YYYY")), IF(ISNUMBER(B632), B632, ""))</f>
        <v>45817</v>
      </c>
      <c r="D632" s="9" t="str">
        <f>IF(B632="","Missing", IF(AND(ISNUMBER(B632)=FALSE, C632=""),"Invalid - Could Not Parse", IF(AND(ISNUMBER(B632)=FALSE, C632&lt;&gt;""),"Text - Converted to Date", IF(ISNUMBER(B632),"Valid","Check"))))</f>
        <v>Text - Converted to Date</v>
      </c>
      <c r="E632" s="5">
        <f t="shared" si="73"/>
        <v>6</v>
      </c>
      <c r="F632" s="5">
        <f t="shared" si="74"/>
        <v>2025</v>
      </c>
      <c r="G632" s="3" t="s">
        <v>1968</v>
      </c>
      <c r="H632" s="9">
        <f>IFERROR(DATEVALUE(TEXT(G632,"DD/MM/YYYY")), IF(ISNUMBER(G632), G632, ""))</f>
        <v>45818</v>
      </c>
      <c r="I632" s="9" t="str">
        <f>IF(G632="","Missing", IF(AND(ISNUMBER(G632)=FALSE, H632=""),"Invalid - Could Not Parse", IF(AND(ISNUMBER(G632)=FALSE, H632&lt;&gt;""),"Text - Converted to Date", IF(ISNUMBER(G632),"Valid","Check"))))</f>
        <v>Text - Converted to Date</v>
      </c>
      <c r="J632" s="9" t="str">
        <f>IF(OR(C632="", H632=""), "Cannot Check - Date Missing", IF(H632&lt;C632, "Invalid - Ship Before Order", "Valid"))</f>
        <v>Valid</v>
      </c>
      <c r="K632" s="5">
        <f>IF(OR(C632="", H632=""), "", IF(H632&lt;C632, "", H632-C632))</f>
        <v>1</v>
      </c>
      <c r="L632" s="3" t="s">
        <v>1969</v>
      </c>
      <c r="M632" s="3" t="s">
        <v>168</v>
      </c>
      <c r="N632" s="4" t="str">
        <f>TRIM(SUBSTITUTE(M632,"_"," "))</f>
        <v>Sneha Kapoor</v>
      </c>
      <c r="O632" s="3" t="s">
        <v>41</v>
      </c>
      <c r="P632" s="6" t="str">
        <f>PROPER(TRIM(SUBSTITUTE(O632,".","")))</f>
        <v>Small Business</v>
      </c>
      <c r="Q632" s="3" t="s">
        <v>27</v>
      </c>
      <c r="R632" s="7" t="str">
        <f>PROPER(TRIM(SUBSTITUTE(Q632,"  "," ")))</f>
        <v>North</v>
      </c>
      <c r="S632" s="3" t="s">
        <v>174</v>
      </c>
      <c r="T632" s="6" t="str">
        <f>PROPER(TRIM(SUBSTITUTE(S632,"  "," ")))</f>
        <v>Uttar Pradesh</v>
      </c>
      <c r="U632" s="3" t="s">
        <v>175</v>
      </c>
      <c r="V632" s="6" t="str">
        <f>PROPER(TRIM(SUBSTITUTE(U632,"  "," ")))</f>
        <v>Noida</v>
      </c>
      <c r="W632" s="3" t="s">
        <v>45</v>
      </c>
      <c r="X632" s="6" t="str">
        <f>PROPER(TRIM(SUBSTITUTE(W632,"  "," ")))</f>
        <v>Furniture</v>
      </c>
      <c r="Y632" s="3" t="s">
        <v>46</v>
      </c>
      <c r="Z632" s="6" t="str">
        <f>PROPER(TRIM(SUBSTITUTE(Y632,"  "," ")))</f>
        <v>Tables</v>
      </c>
      <c r="AA632" s="3" t="s">
        <v>1970</v>
      </c>
      <c r="AB632" s="3" t="s">
        <v>33</v>
      </c>
      <c r="AC632" s="6" t="str">
        <f>PROPER(TRIM(SUBSTITUTE(AB632,"  "," ")))</f>
        <v>Second Class</v>
      </c>
      <c r="AD632" s="3">
        <v>2</v>
      </c>
      <c r="AE632" s="3">
        <v>1731.88</v>
      </c>
      <c r="AF632" s="3">
        <v>0</v>
      </c>
      <c r="AG632" s="17">
        <v>0</v>
      </c>
      <c r="AH632" s="6" t="str">
        <f t="shared" si="75"/>
        <v>Valid</v>
      </c>
      <c r="AI632" s="3">
        <v>3463.76</v>
      </c>
      <c r="AJ632" s="3">
        <v>2143.7399999999998</v>
      </c>
      <c r="AK632" s="3">
        <v>1320.02</v>
      </c>
      <c r="AL632" s="3" t="s">
        <v>34</v>
      </c>
      <c r="AM632" s="6" t="str">
        <f>PROPER(TRIM(SUBSTITUTE(AL632,".","")))</f>
        <v>Paid</v>
      </c>
      <c r="AN632" s="3" t="s">
        <v>35</v>
      </c>
      <c r="AO632" s="8" t="str">
        <f>PROPER(TRIM(SUBSTITUTE(AN632,".","")))</f>
        <v>Completed</v>
      </c>
      <c r="AP632" t="str">
        <f>IF(COUNTIF($A$2:$A$933, A632) &gt; 1, "Duplicate ID", "Unique")</f>
        <v>Unique</v>
      </c>
      <c r="AR632">
        <f t="shared" si="76"/>
        <v>3463.76</v>
      </c>
      <c r="AS632">
        <f t="shared" si="77"/>
        <v>1320.0200000000004</v>
      </c>
      <c r="AT632" s="15">
        <f t="shared" si="78"/>
        <v>0.38109453310852959</v>
      </c>
      <c r="AU632" t="str">
        <f t="shared" si="79"/>
        <v>Clean</v>
      </c>
      <c r="AV632" s="8" t="str">
        <f t="shared" si="80"/>
        <v>Active</v>
      </c>
    </row>
    <row r="633" spans="1:48">
      <c r="A633" s="3" t="s">
        <v>3106</v>
      </c>
      <c r="B633" s="3" t="s">
        <v>3107</v>
      </c>
      <c r="C633" s="9">
        <f>IFERROR(DATEVALUE(TEXT(B633,"DD/MM/YYYY")), IF(ISNUMBER(B633), B633, ""))</f>
        <v>45817</v>
      </c>
      <c r="D633" s="9" t="str">
        <f>IF(B633="","Missing", IF(AND(ISNUMBER(B633)=FALSE, C633=""),"Invalid - Could Not Parse", IF(AND(ISNUMBER(B633)=FALSE, C633&lt;&gt;""),"Text - Converted to Date", IF(ISNUMBER(B633),"Valid","Check"))))</f>
        <v>Text - Converted to Date</v>
      </c>
      <c r="E633" s="5">
        <f t="shared" si="73"/>
        <v>6</v>
      </c>
      <c r="F633" s="5">
        <f t="shared" si="74"/>
        <v>2025</v>
      </c>
      <c r="G633" s="3" t="s">
        <v>2213</v>
      </c>
      <c r="H633" s="9">
        <f>IFERROR(DATEVALUE(TEXT(G633,"DD/MM/YYYY")), IF(ISNUMBER(G633), G633, ""))</f>
        <v>45997</v>
      </c>
      <c r="I633" s="9" t="str">
        <f>IF(G633="","Missing", IF(AND(ISNUMBER(G633)=FALSE, H633=""),"Invalid - Could Not Parse", IF(AND(ISNUMBER(G633)=FALSE, H633&lt;&gt;""),"Text - Converted to Date", IF(ISNUMBER(G633),"Valid","Check"))))</f>
        <v>Text - Converted to Date</v>
      </c>
      <c r="J633" s="9" t="str">
        <f>IF(OR(C633="", H633=""), "Cannot Check - Date Missing", IF(H633&lt;C633, "Invalid - Ship Before Order", "Valid"))</f>
        <v>Valid</v>
      </c>
      <c r="K633" s="5">
        <f>IF(OR(C633="", H633=""), "", IF(H633&lt;C633, "", H633-C633))</f>
        <v>180</v>
      </c>
      <c r="L633" s="3" t="s">
        <v>3108</v>
      </c>
      <c r="M633" s="3" t="s">
        <v>168</v>
      </c>
      <c r="N633" s="4" t="str">
        <f>TRIM(SUBSTITUTE(M633,"_"," "))</f>
        <v>Sneha Kapoor</v>
      </c>
      <c r="O633" s="3" t="s">
        <v>26</v>
      </c>
      <c r="P633" s="6" t="str">
        <f>PROPER(TRIM(SUBSTITUTE(O633,".","")))</f>
        <v>Consumer</v>
      </c>
      <c r="Q633" s="3"/>
      <c r="R633" s="6" t="str">
        <f>IF(ISBLANK(Q633), "Unknown", Q633)</f>
        <v>Unknown</v>
      </c>
      <c r="S633" s="3" t="s">
        <v>186</v>
      </c>
      <c r="T633" s="6" t="str">
        <f>PROPER(TRIM(SUBSTITUTE(S633,"  "," ")))</f>
        <v>Bihar</v>
      </c>
      <c r="U633" s="3" t="s">
        <v>187</v>
      </c>
      <c r="V633" s="6" t="str">
        <f>PROPER(TRIM(SUBSTITUTE(U633,"  "," ")))</f>
        <v>Patna</v>
      </c>
      <c r="W633" s="3" t="s">
        <v>30</v>
      </c>
      <c r="X633" s="6" t="str">
        <f>PROPER(TRIM(SUBSTITUTE(W633,"  "," ")))</f>
        <v>Office Supplies</v>
      </c>
      <c r="Y633" s="3" t="s">
        <v>54</v>
      </c>
      <c r="Z633" s="6" t="str">
        <f>PROPER(TRIM(SUBSTITUTE(Y633,"  "," ")))</f>
        <v>Art</v>
      </c>
      <c r="AA633" s="3" t="s">
        <v>3109</v>
      </c>
      <c r="AB633" s="3" t="s">
        <v>56</v>
      </c>
      <c r="AC633" s="6" t="str">
        <f>PROPER(TRIM(SUBSTITUTE(AB633,"  "," ")))</f>
        <v>First Class</v>
      </c>
      <c r="AD633" s="3">
        <v>7</v>
      </c>
      <c r="AE633" s="3">
        <v>2852.42</v>
      </c>
      <c r="AF633" s="3">
        <v>0</v>
      </c>
      <c r="AG633" s="17">
        <v>0</v>
      </c>
      <c r="AH633" s="6" t="str">
        <f t="shared" si="75"/>
        <v>Valid</v>
      </c>
      <c r="AI633" s="3">
        <v>19966.939999999999</v>
      </c>
      <c r="AJ633" s="3">
        <v>12690.83</v>
      </c>
      <c r="AK633" s="3">
        <v>7276.11</v>
      </c>
      <c r="AL633" s="3" t="s">
        <v>124</v>
      </c>
      <c r="AM633" s="6" t="str">
        <f>PROPER(TRIM(SUBSTITUTE(AL633,".","")))</f>
        <v>Refunded</v>
      </c>
      <c r="AN633" s="3" t="s">
        <v>78</v>
      </c>
      <c r="AO633" s="8" t="str">
        <f>PROPER(TRIM(SUBSTITUTE(AN633,".","")))</f>
        <v>Cancelled</v>
      </c>
      <c r="AP633" t="str">
        <f>IF(COUNTIF($A$2:$A$933, A633) &gt; 1, "Duplicate ID", "Unique")</f>
        <v>Unique</v>
      </c>
      <c r="AR633">
        <f t="shared" si="76"/>
        <v>19966.940000000002</v>
      </c>
      <c r="AS633">
        <f t="shared" si="77"/>
        <v>7276.1100000000024</v>
      </c>
      <c r="AT633" s="15">
        <f t="shared" si="78"/>
        <v>0.36440786620283339</v>
      </c>
      <c r="AU633" t="str">
        <f t="shared" si="79"/>
        <v>Clean</v>
      </c>
      <c r="AV633" s="8" t="str">
        <f t="shared" si="80"/>
        <v>Refund</v>
      </c>
    </row>
    <row r="634" spans="1:48">
      <c r="A634" s="3" t="s">
        <v>3944</v>
      </c>
      <c r="B634" s="3" t="s">
        <v>3945</v>
      </c>
      <c r="C634" s="9">
        <f>IFERROR(DATEVALUE(TEXT(B634,"DD/MM/YYYY")), IF(ISNUMBER(B634), B634, ""))</f>
        <v>45817</v>
      </c>
      <c r="D634" s="9" t="str">
        <f>IF(B634="","Missing", IF(AND(ISNUMBER(B634)=FALSE, C634=""),"Invalid - Could Not Parse", IF(AND(ISNUMBER(B634)=FALSE, C634&lt;&gt;""),"Text - Converted to Date", IF(ISNUMBER(B634),"Valid","Check"))))</f>
        <v>Text - Converted to Date</v>
      </c>
      <c r="E634" s="5">
        <f t="shared" si="73"/>
        <v>6</v>
      </c>
      <c r="F634" s="5">
        <f t="shared" si="74"/>
        <v>2025</v>
      </c>
      <c r="G634" s="3" t="s">
        <v>2732</v>
      </c>
      <c r="H634" s="9">
        <f>IFERROR(DATEVALUE(TEXT(G634,"DD/MM/YYYY")), IF(ISNUMBER(G634), G634, ""))</f>
        <v>45878</v>
      </c>
      <c r="I634" s="9" t="str">
        <f>IF(G634="","Missing", IF(AND(ISNUMBER(G634)=FALSE, H634=""),"Invalid - Could Not Parse", IF(AND(ISNUMBER(G634)=FALSE, H634&lt;&gt;""),"Text - Converted to Date", IF(ISNUMBER(G634),"Valid","Check"))))</f>
        <v>Text - Converted to Date</v>
      </c>
      <c r="J634" s="9" t="str">
        <f>IF(OR(C634="", H634=""), "Cannot Check - Date Missing", IF(H634&lt;C634, "Invalid - Ship Before Order", "Valid"))</f>
        <v>Valid</v>
      </c>
      <c r="K634" s="5">
        <f>IF(OR(C634="", H634=""), "", IF(H634&lt;C634, "", H634-C634))</f>
        <v>61</v>
      </c>
      <c r="L634" s="3" t="s">
        <v>3946</v>
      </c>
      <c r="M634" s="3" t="s">
        <v>162</v>
      </c>
      <c r="N634" s="4" t="str">
        <f>TRIM(SUBSTITUTE(M634,"_"," "))</f>
        <v>Aarav Sharma</v>
      </c>
      <c r="O634" s="3" t="s">
        <v>115</v>
      </c>
      <c r="P634" s="6" t="str">
        <f>PROPER(TRIM(SUBSTITUTE(O634,".","")))</f>
        <v>Home Office</v>
      </c>
      <c r="Q634" s="3" t="s">
        <v>73</v>
      </c>
      <c r="R634" s="7" t="str">
        <f>PROPER(TRIM(SUBSTITUTE(Q634,"  "," ")))</f>
        <v>West</v>
      </c>
      <c r="S634" s="3" t="s">
        <v>84</v>
      </c>
      <c r="T634" s="6" t="str">
        <f>PROPER(TRIM(SUBSTITUTE(S634,"  "," ")))</f>
        <v>Madhya Pradesh</v>
      </c>
      <c r="U634" s="3" t="s">
        <v>85</v>
      </c>
      <c r="V634" s="6" t="str">
        <f>PROPER(TRIM(SUBSTITUTE(U634,"  "," ")))</f>
        <v>Indore</v>
      </c>
      <c r="W634" s="3" t="s">
        <v>45</v>
      </c>
      <c r="X634" s="6" t="str">
        <f>PROPER(TRIM(SUBSTITUTE(W634,"  "," ")))</f>
        <v>Furniture</v>
      </c>
      <c r="Y634" s="3" t="s">
        <v>65</v>
      </c>
      <c r="Z634" s="6" t="str">
        <f>PROPER(TRIM(SUBSTITUTE(Y634,"  "," ")))</f>
        <v>Furnishings</v>
      </c>
      <c r="AA634" s="3" t="s">
        <v>3947</v>
      </c>
      <c r="AB634" s="3" t="s">
        <v>48</v>
      </c>
      <c r="AC634" s="6" t="str">
        <f>PROPER(TRIM(SUBSTITUTE(AB634,"  "," ")))</f>
        <v>Same Day</v>
      </c>
      <c r="AD634" s="3">
        <v>3</v>
      </c>
      <c r="AE634" s="3">
        <v>2937.23</v>
      </c>
      <c r="AF634" s="3">
        <v>0</v>
      </c>
      <c r="AG634" s="17">
        <v>0</v>
      </c>
      <c r="AH634" s="6" t="str">
        <f t="shared" si="75"/>
        <v>Valid</v>
      </c>
      <c r="AI634" s="3">
        <v>8811.69</v>
      </c>
      <c r="AJ634" s="3">
        <v>6765.91</v>
      </c>
      <c r="AK634" s="3">
        <v>2045.78</v>
      </c>
      <c r="AL634" s="3" t="s">
        <v>34</v>
      </c>
      <c r="AM634" s="6" t="str">
        <f>PROPER(TRIM(SUBSTITUTE(AL634,".","")))</f>
        <v>Paid</v>
      </c>
      <c r="AN634" s="3" t="s">
        <v>35</v>
      </c>
      <c r="AO634" s="8" t="str">
        <f>PROPER(TRIM(SUBSTITUTE(AN634,".","")))</f>
        <v>Completed</v>
      </c>
      <c r="AP634" t="str">
        <f>IF(COUNTIF($A$2:$A$933, A634) &gt; 1, "Duplicate ID", "Unique")</f>
        <v>Unique</v>
      </c>
      <c r="AR634">
        <f t="shared" si="76"/>
        <v>8811.69</v>
      </c>
      <c r="AS634">
        <f t="shared" si="77"/>
        <v>2045.7800000000007</v>
      </c>
      <c r="AT634" s="15">
        <f t="shared" si="78"/>
        <v>0.23216658779416893</v>
      </c>
      <c r="AU634" t="str">
        <f t="shared" si="79"/>
        <v>Warning</v>
      </c>
      <c r="AV634" s="8" t="str">
        <f t="shared" si="80"/>
        <v>Active</v>
      </c>
    </row>
    <row r="635" spans="1:48">
      <c r="A635" s="3" t="s">
        <v>2374</v>
      </c>
      <c r="B635" s="3" t="s">
        <v>1968</v>
      </c>
      <c r="C635" s="9">
        <f>IFERROR(DATEVALUE(TEXT(B635,"DD/MM/YYYY")), IF(ISNUMBER(B635), B635, ""))</f>
        <v>45818</v>
      </c>
      <c r="D635" s="9" t="str">
        <f>IF(B635="","Missing", IF(AND(ISNUMBER(B635)=FALSE, C635=""),"Invalid - Could Not Parse", IF(AND(ISNUMBER(B635)=FALSE, C635&lt;&gt;""),"Text - Converted to Date", IF(ISNUMBER(B635),"Valid","Check"))))</f>
        <v>Text - Converted to Date</v>
      </c>
      <c r="E635" s="5">
        <f t="shared" si="73"/>
        <v>6</v>
      </c>
      <c r="F635" s="5">
        <f t="shared" si="74"/>
        <v>2025</v>
      </c>
      <c r="G635" s="3" t="s">
        <v>2375</v>
      </c>
      <c r="H635" s="9">
        <f>IFERROR(DATEVALUE(MID(G635,4,2) &amp; "/" &amp; LEFT(G635,2) &amp; "/" &amp; RIGHT(G635,4)), IF(ISNUMBER(G635), G635, IFERROR(DATEVALUE(G635), "")))</f>
        <v>45825</v>
      </c>
      <c r="I635" s="9" t="str">
        <f>IF(G635="","Missing", IF(AND(ISNUMBER(G635)=FALSE, H635=""),"Invalid - Could Not Parse", IF(AND(ISNUMBER(G635)=FALSE, H635&lt;&gt;""),"Text - Converted to Date", IF(ISNUMBER(G635),"Valid","Check"))))</f>
        <v>Text - Converted to Date</v>
      </c>
      <c r="J635" s="9" t="str">
        <f>IF(OR(C635="", H635=""), "Cannot Check - Date Missing", IF(H635&lt;C635, "Invalid - Ship Before Order", "Valid"))</f>
        <v>Valid</v>
      </c>
      <c r="K635" s="5">
        <f>IF(OR(C635="", H635=""), "", IF(H635&lt;C635, "", H635-C635))</f>
        <v>7</v>
      </c>
      <c r="L635" s="3" t="s">
        <v>2376</v>
      </c>
      <c r="M635" s="3" t="s">
        <v>148</v>
      </c>
      <c r="N635" s="4" t="str">
        <f>TRIM(SUBSTITUTE(M635,"_"," "))</f>
        <v>Rahul Verma</v>
      </c>
      <c r="O635" s="3" t="s">
        <v>108</v>
      </c>
      <c r="P635" s="6" t="str">
        <f>PROPER(TRIM(SUBSTITUTE(O635,".","")))</f>
        <v>Corporate</v>
      </c>
      <c r="Q635" s="3" t="s">
        <v>62</v>
      </c>
      <c r="R635" s="7" t="str">
        <f>PROPER(TRIM(SUBSTITUTE(Q635,"  "," ")))</f>
        <v>South</v>
      </c>
      <c r="S635" s="3" t="s">
        <v>63</v>
      </c>
      <c r="T635" s="6" t="str">
        <f>PROPER(TRIM(SUBSTITUTE(S635,"  "," ")))</f>
        <v>Telangana</v>
      </c>
      <c r="U635" s="3" t="s">
        <v>64</v>
      </c>
      <c r="V635" s="6" t="str">
        <f>PROPER(TRIM(SUBSTITUTE(U635,"  "," ")))</f>
        <v>Hyderabad</v>
      </c>
      <c r="W635" s="3" t="s">
        <v>45</v>
      </c>
      <c r="X635" s="6" t="str">
        <f>PROPER(TRIM(SUBSTITUTE(W635,"  "," ")))</f>
        <v>Furniture</v>
      </c>
      <c r="Y635" s="3" t="s">
        <v>65</v>
      </c>
      <c r="Z635" s="6" t="str">
        <f>PROPER(TRIM(SUBSTITUTE(Y635,"  "," ")))</f>
        <v>Furnishings</v>
      </c>
      <c r="AA635" s="3" t="s">
        <v>2377</v>
      </c>
      <c r="AB635" s="3" t="s">
        <v>67</v>
      </c>
      <c r="AC635" s="6" t="str">
        <f>PROPER(TRIM(SUBSTITUTE(AB635,"  "," ")))</f>
        <v>Standard Class</v>
      </c>
      <c r="AD635" s="3">
        <v>5</v>
      </c>
      <c r="AE635" s="3">
        <v>1231.0999999999999</v>
      </c>
      <c r="AF635" s="3">
        <v>0</v>
      </c>
      <c r="AG635" s="17">
        <v>0</v>
      </c>
      <c r="AH635" s="6" t="str">
        <f t="shared" si="75"/>
        <v>Valid</v>
      </c>
      <c r="AI635" s="3">
        <v>6155.5</v>
      </c>
      <c r="AJ635" s="3">
        <v>4282.09</v>
      </c>
      <c r="AK635" s="3">
        <v>1873.41</v>
      </c>
      <c r="AL635" s="3" t="s">
        <v>124</v>
      </c>
      <c r="AM635" s="6" t="str">
        <f>PROPER(TRIM(SUBSTITUTE(AL635,".","")))</f>
        <v>Refunded</v>
      </c>
      <c r="AN635" s="3" t="s">
        <v>125</v>
      </c>
      <c r="AO635" s="8" t="str">
        <f>PROPER(TRIM(SUBSTITUTE(AN635,".","")))</f>
        <v>Returned</v>
      </c>
      <c r="AP635" t="str">
        <f>IF(COUNTIF($A$2:$A$933, A635) &gt; 1, "Duplicate ID", "Unique")</f>
        <v>Unique</v>
      </c>
      <c r="AR635">
        <f t="shared" si="76"/>
        <v>6155.5</v>
      </c>
      <c r="AS635">
        <f t="shared" si="77"/>
        <v>1873.4099999999999</v>
      </c>
      <c r="AT635" s="15">
        <f t="shared" si="78"/>
        <v>0.3043473316546178</v>
      </c>
      <c r="AU635" t="str">
        <f t="shared" si="79"/>
        <v>Clean</v>
      </c>
      <c r="AV635" s="8" t="str">
        <f t="shared" si="80"/>
        <v>Refund</v>
      </c>
    </row>
    <row r="636" spans="1:48">
      <c r="A636" s="3" t="s">
        <v>3369</v>
      </c>
      <c r="B636" s="3" t="s">
        <v>887</v>
      </c>
      <c r="C636" s="9">
        <f>IFERROR(DATEVALUE(TEXT(B636,"DD/MM/YYYY")), IF(ISNUMBER(B636), B636, ""))</f>
        <v>45818</v>
      </c>
      <c r="D636" s="9" t="str">
        <f>IF(B636="","Missing", IF(AND(ISNUMBER(B636)=FALSE, C636=""),"Invalid - Could Not Parse", IF(AND(ISNUMBER(B636)=FALSE, C636&lt;&gt;""),"Text - Converted to Date", IF(ISNUMBER(B636),"Valid","Check"))))</f>
        <v>Text - Converted to Date</v>
      </c>
      <c r="E636" s="5">
        <f t="shared" si="73"/>
        <v>6</v>
      </c>
      <c r="F636" s="5">
        <f t="shared" si="74"/>
        <v>2025</v>
      </c>
      <c r="G636" s="3" t="s">
        <v>3370</v>
      </c>
      <c r="H636" s="9">
        <f>IFERROR(DATEVALUE(TEXT(G636,"DD/MM/YYYY")), IF(ISNUMBER(G636), G636, ""))</f>
        <v>45943</v>
      </c>
      <c r="I636" s="9" t="str">
        <f>IF(G636="","Missing", IF(AND(ISNUMBER(G636)=FALSE, H636=""),"Invalid - Could Not Parse", IF(AND(ISNUMBER(G636)=FALSE, H636&lt;&gt;""),"Text - Converted to Date", IF(ISNUMBER(G636),"Valid","Check"))))</f>
        <v>Text - Converted to Date</v>
      </c>
      <c r="J636" s="9" t="str">
        <f>IF(OR(C636="", H636=""), "Cannot Check - Date Missing", IF(H636&lt;C636, "Invalid - Ship Before Order", "Valid"))</f>
        <v>Valid</v>
      </c>
      <c r="K636" s="5">
        <f>IF(OR(C636="", H636=""), "", IF(H636&lt;C636, "", H636-C636))</f>
        <v>125</v>
      </c>
      <c r="L636" s="3" t="s">
        <v>3371</v>
      </c>
      <c r="M636" s="3" t="s">
        <v>366</v>
      </c>
      <c r="N636" s="4" t="str">
        <f>TRIM(SUBSTITUTE(M636,"_"," "))</f>
        <v>Kabir Singh</v>
      </c>
      <c r="O636" s="3" t="s">
        <v>115</v>
      </c>
      <c r="P636" s="6" t="str">
        <f>PROPER(TRIM(SUBSTITUTE(O636,".","")))</f>
        <v>Home Office</v>
      </c>
      <c r="Q636" s="3" t="s">
        <v>42</v>
      </c>
      <c r="R636" s="7" t="str">
        <f>PROPER(TRIM(SUBSTITUTE(Q636,"  "," ")))</f>
        <v>East</v>
      </c>
      <c r="S636" s="3" t="s">
        <v>311</v>
      </c>
      <c r="T636" s="6" t="str">
        <f>PROPER(TRIM(SUBSTITUTE(S636,"  "," ")))</f>
        <v>Jharkhand</v>
      </c>
      <c r="U636" s="3" t="s">
        <v>312</v>
      </c>
      <c r="V636" s="6" t="str">
        <f>PROPER(TRIM(SUBSTITUTE(U636,"  "," ")))</f>
        <v>Ranchi</v>
      </c>
      <c r="W636" s="3" t="s">
        <v>86</v>
      </c>
      <c r="X636" s="6" t="str">
        <f>PROPER(TRIM(SUBSTITUTE(W636,"  "," ")))</f>
        <v>Technology</v>
      </c>
      <c r="Y636" s="3" t="s">
        <v>87</v>
      </c>
      <c r="Z636" s="6" t="str">
        <f>PROPER(TRIM(SUBSTITUTE(Y636,"  "," ")))</f>
        <v>Accessories</v>
      </c>
      <c r="AA636" s="3" t="s">
        <v>3372</v>
      </c>
      <c r="AB636" s="3" t="s">
        <v>67</v>
      </c>
      <c r="AC636" s="6" t="str">
        <f>PROPER(TRIM(SUBSTITUTE(AB636,"  "," ")))</f>
        <v>Standard Class</v>
      </c>
      <c r="AD636" s="3">
        <v>6</v>
      </c>
      <c r="AE636" s="3">
        <v>2391.9299999999998</v>
      </c>
      <c r="AF636" s="3">
        <v>0.05</v>
      </c>
      <c r="AG636" s="17">
        <v>0.05</v>
      </c>
      <c r="AH636" s="6" t="str">
        <f t="shared" si="75"/>
        <v>Valid</v>
      </c>
      <c r="AI636" s="3">
        <v>13634</v>
      </c>
      <c r="AJ636" s="3">
        <v>9589.81</v>
      </c>
      <c r="AK636" s="3">
        <v>4044.19</v>
      </c>
      <c r="AL636" s="3" t="s">
        <v>200</v>
      </c>
      <c r="AM636" s="6" t="str">
        <f>PROPER(TRIM(SUBSTITUTE(AL636,".","")))</f>
        <v>Failed</v>
      </c>
      <c r="AN636" s="3" t="s">
        <v>125</v>
      </c>
      <c r="AO636" s="8" t="str">
        <f>PROPER(TRIM(SUBSTITUTE(AN636,".","")))</f>
        <v>Returned</v>
      </c>
      <c r="AP636" t="str">
        <f>IF(COUNTIF($A$2:$A$933, A636) &gt; 1, "Duplicate ID", "Unique")</f>
        <v>Unique</v>
      </c>
      <c r="AR636">
        <f t="shared" si="76"/>
        <v>13634.000999999998</v>
      </c>
      <c r="AS636">
        <f t="shared" si="77"/>
        <v>4044.1909999999989</v>
      </c>
      <c r="AT636" s="15">
        <f t="shared" si="78"/>
        <v>0.29662539998346776</v>
      </c>
      <c r="AU636" t="str">
        <f t="shared" si="79"/>
        <v>Clean</v>
      </c>
      <c r="AV636" s="8" t="str">
        <f t="shared" si="80"/>
        <v>Active</v>
      </c>
    </row>
    <row r="637" spans="1:48">
      <c r="A637" s="3" t="s">
        <v>1575</v>
      </c>
      <c r="B637" s="3" t="s">
        <v>1576</v>
      </c>
      <c r="C637" s="9">
        <f>IFERROR(DATEVALUE(TEXT(B637,"DD/MM/YYYY")), IF(ISNUMBER(B637), B637, ""))</f>
        <v>45821</v>
      </c>
      <c r="D637" s="9" t="str">
        <f>IF(B637="","Missing", IF(AND(ISNUMBER(B637)=FALSE, C637=""),"Invalid - Could Not Parse", IF(AND(ISNUMBER(B637)=FALSE, C637&lt;&gt;""),"Text - Converted to Date", IF(ISNUMBER(B637),"Valid","Check"))))</f>
        <v>Text - Converted to Date</v>
      </c>
      <c r="E637" s="5">
        <f t="shared" si="73"/>
        <v>6</v>
      </c>
      <c r="F637" s="5">
        <f t="shared" si="74"/>
        <v>2025</v>
      </c>
      <c r="G637" s="3" t="s">
        <v>1577</v>
      </c>
      <c r="H637" s="9">
        <f>IFERROR(DATEVALUE(TEXT(G637,"DD/MM/YYYY")), IF(ISNUMBER(G637), G637, ""))</f>
        <v>45827</v>
      </c>
      <c r="I637" s="9" t="str">
        <f>IF(G637="","Missing", IF(AND(ISNUMBER(G637)=FALSE, H637=""),"Invalid - Could Not Parse", IF(AND(ISNUMBER(G637)=FALSE, H637&lt;&gt;""),"Text - Converted to Date", IF(ISNUMBER(G637),"Valid","Check"))))</f>
        <v>Text - Converted to Date</v>
      </c>
      <c r="J637" s="9" t="str">
        <f>IF(OR(C637="", H637=""), "Cannot Check - Date Missing", IF(H637&lt;C637, "Invalid - Ship Before Order", "Valid"))</f>
        <v>Valid</v>
      </c>
      <c r="K637" s="5">
        <f>IF(OR(C637="", H637=""), "", IF(H637&lt;C637, "", H637-C637))</f>
        <v>6</v>
      </c>
      <c r="L637" s="3" t="s">
        <v>1578</v>
      </c>
      <c r="M637" s="3" t="s">
        <v>180</v>
      </c>
      <c r="N637" s="4" t="str">
        <f>TRIM(SUBSTITUTE(M637,"_"," "))</f>
        <v>Rohan Mehta</v>
      </c>
      <c r="O637" s="3" t="s">
        <v>26</v>
      </c>
      <c r="P637" s="6" t="str">
        <f>PROPER(TRIM(SUBSTITUTE(O637,".","")))</f>
        <v>Consumer</v>
      </c>
      <c r="Q637" s="3" t="s">
        <v>27</v>
      </c>
      <c r="R637" s="7" t="str">
        <f>PROPER(TRIM(SUBSTITUTE(Q637,"  "," ")))</f>
        <v>North</v>
      </c>
      <c r="S637" s="3" t="s">
        <v>28</v>
      </c>
      <c r="T637" s="6" t="str">
        <f>PROPER(TRIM(SUBSTITUTE(S637,"  "," ")))</f>
        <v>Rajasthan</v>
      </c>
      <c r="U637" s="3" t="s">
        <v>29</v>
      </c>
      <c r="V637" s="6" t="str">
        <f>PROPER(TRIM(SUBSTITUTE(U637,"  "," ")))</f>
        <v>Jaipur</v>
      </c>
      <c r="W637" s="3" t="s">
        <v>45</v>
      </c>
      <c r="X637" s="6" t="str">
        <f>PROPER(TRIM(SUBSTITUTE(W637,"  "," ")))</f>
        <v>Furniture</v>
      </c>
      <c r="Y637" s="3" t="s">
        <v>46</v>
      </c>
      <c r="Z637" s="6" t="str">
        <f>PROPER(TRIM(SUBSTITUTE(Y637,"  "," ")))</f>
        <v>Tables</v>
      </c>
      <c r="AA637" s="3" t="s">
        <v>1579</v>
      </c>
      <c r="AB637" s="3" t="s">
        <v>56</v>
      </c>
      <c r="AC637" s="6" t="str">
        <f>PROPER(TRIM(SUBSTITUTE(AB637,"  "," ")))</f>
        <v>First Class</v>
      </c>
      <c r="AD637" s="3">
        <v>4</v>
      </c>
      <c r="AE637" s="3">
        <v>731.57</v>
      </c>
      <c r="AF637" s="3">
        <v>0.2</v>
      </c>
      <c r="AG637" s="17">
        <v>0.2</v>
      </c>
      <c r="AH637" s="6" t="str">
        <f t="shared" si="75"/>
        <v>Valid</v>
      </c>
      <c r="AI637" s="3">
        <v>2341.02</v>
      </c>
      <c r="AJ637" s="3">
        <v>1565.49</v>
      </c>
      <c r="AK637" s="3">
        <v>775.53</v>
      </c>
      <c r="AL637" s="3" t="s">
        <v>34</v>
      </c>
      <c r="AM637" s="6" t="str">
        <f>PROPER(TRIM(SUBSTITUTE(AL637,".","")))</f>
        <v>Paid</v>
      </c>
      <c r="AN637" s="3" t="s">
        <v>35</v>
      </c>
      <c r="AO637" s="8" t="str">
        <f>PROPER(TRIM(SUBSTITUTE(AN637,".","")))</f>
        <v>Completed</v>
      </c>
      <c r="AP637" t="str">
        <f>IF(COUNTIF($A$2:$A$933, A637) &gt; 1, "Duplicate ID", "Unique")</f>
        <v>Unique</v>
      </c>
      <c r="AR637">
        <f t="shared" si="76"/>
        <v>2341.0240000000003</v>
      </c>
      <c r="AS637">
        <f t="shared" si="77"/>
        <v>775.53400000000033</v>
      </c>
      <c r="AT637" s="15">
        <f t="shared" si="78"/>
        <v>0.33127981601213835</v>
      </c>
      <c r="AU637" t="str">
        <f t="shared" si="79"/>
        <v>Clean</v>
      </c>
      <c r="AV637" s="8" t="str">
        <f t="shared" si="80"/>
        <v>Active</v>
      </c>
    </row>
    <row r="638" spans="1:48">
      <c r="A638" s="3" t="s">
        <v>252</v>
      </c>
      <c r="B638" s="3" t="s">
        <v>253</v>
      </c>
      <c r="C638" s="9">
        <f>IFERROR(DATEVALUE(TEXT(B638,"DD/MM/YYYY")), IF(ISNUMBER(B638), B638, ""))</f>
        <v>45823</v>
      </c>
      <c r="D638" s="9" t="str">
        <f>IF(B638="","Missing", IF(AND(ISNUMBER(B638)=FALSE, C638=""),"Invalid - Could Not Parse", IF(AND(ISNUMBER(B638)=FALSE, C638&lt;&gt;""),"Text - Converted to Date", IF(ISNUMBER(B638),"Valid","Check"))))</f>
        <v>Text - Converted to Date</v>
      </c>
      <c r="E638" s="5">
        <f t="shared" si="73"/>
        <v>6</v>
      </c>
      <c r="F638" s="5">
        <f t="shared" si="74"/>
        <v>2025</v>
      </c>
      <c r="G638" s="3" t="s">
        <v>254</v>
      </c>
      <c r="H638" s="9">
        <f>IFERROR(DATEVALUE(TEXT(G638,"DD/MM/YYYY")), IF(ISNUMBER(G638), G638, ""))</f>
        <v>45827</v>
      </c>
      <c r="I638" s="9" t="str">
        <f>IF(G638="","Missing", IF(AND(ISNUMBER(G638)=FALSE, H638=""),"Invalid - Could Not Parse", IF(AND(ISNUMBER(G638)=FALSE, H638&lt;&gt;""),"Text - Converted to Date", IF(ISNUMBER(G638),"Valid","Check"))))</f>
        <v>Text - Converted to Date</v>
      </c>
      <c r="J638" s="9" t="str">
        <f>IF(OR(C638="", H638=""), "Cannot Check - Date Missing", IF(H638&lt;C638, "Invalid - Ship Before Order", "Valid"))</f>
        <v>Valid</v>
      </c>
      <c r="K638" s="5">
        <f>IF(OR(C638="", H638=""), "", IF(H638&lt;C638, "", H638-C638))</f>
        <v>4</v>
      </c>
      <c r="L638" s="3" t="s">
        <v>255</v>
      </c>
      <c r="M638" s="3" t="s">
        <v>25</v>
      </c>
      <c r="N638" s="4" t="str">
        <f>TRIM(SUBSTITUTE(M638,"_"," "))</f>
        <v>Karan Malhotra</v>
      </c>
      <c r="O638" s="3" t="s">
        <v>41</v>
      </c>
      <c r="P638" s="6" t="str">
        <f>PROPER(TRIM(SUBSTITUTE(O638,".","")))</f>
        <v>Small Business</v>
      </c>
      <c r="Q638" s="3" t="s">
        <v>73</v>
      </c>
      <c r="R638" s="7" t="str">
        <f>PROPER(TRIM(SUBSTITUTE(Q638,"  "," ")))</f>
        <v>West</v>
      </c>
      <c r="S638" s="3" t="s">
        <v>84</v>
      </c>
      <c r="T638" s="6" t="str">
        <f>PROPER(TRIM(SUBSTITUTE(S638,"  "," ")))</f>
        <v>Madhya Pradesh</v>
      </c>
      <c r="U638" s="3" t="s">
        <v>85</v>
      </c>
      <c r="V638" s="6" t="str">
        <f>PROPER(TRIM(SUBSTITUTE(U638,"  "," ")))</f>
        <v>Indore</v>
      </c>
      <c r="W638" s="3" t="s">
        <v>30</v>
      </c>
      <c r="X638" s="6" t="str">
        <f>PROPER(TRIM(SUBSTITUTE(W638,"  "," ")))</f>
        <v>Office Supplies</v>
      </c>
      <c r="Y638" s="3" t="s">
        <v>31</v>
      </c>
      <c r="Z638" s="6" t="str">
        <f>PROPER(TRIM(SUBSTITUTE(Y638,"  "," ")))</f>
        <v>Paper</v>
      </c>
      <c r="AA638" s="3" t="s">
        <v>256</v>
      </c>
      <c r="AB638" s="3" t="s">
        <v>33</v>
      </c>
      <c r="AC638" s="6" t="str">
        <f>PROPER(TRIM(SUBSTITUTE(AB638,"  "," ")))</f>
        <v>Second Class</v>
      </c>
      <c r="AD638" s="3">
        <v>9</v>
      </c>
      <c r="AE638" s="3">
        <v>3092.55</v>
      </c>
      <c r="AF638" s="3">
        <v>0</v>
      </c>
      <c r="AG638" s="17">
        <v>0</v>
      </c>
      <c r="AH638" s="6" t="str">
        <f t="shared" si="75"/>
        <v>Valid</v>
      </c>
      <c r="AI638" s="3">
        <v>27832.95</v>
      </c>
      <c r="AJ638" s="3">
        <v>17769.75</v>
      </c>
      <c r="AK638" s="3">
        <v>10063.200000000001</v>
      </c>
      <c r="AL638" s="3" t="s">
        <v>200</v>
      </c>
      <c r="AM638" s="6" t="str">
        <f>PROPER(TRIM(SUBSTITUTE(AL638,".","")))</f>
        <v>Failed</v>
      </c>
      <c r="AN638" s="3" t="s">
        <v>125</v>
      </c>
      <c r="AO638" s="8" t="str">
        <f>PROPER(TRIM(SUBSTITUTE(AN638,".","")))</f>
        <v>Returned</v>
      </c>
      <c r="AP638" t="str">
        <f>IF(COUNTIF($A$2:$A$933, A638) &gt; 1, "Duplicate ID", "Unique")</f>
        <v>Unique</v>
      </c>
      <c r="AR638">
        <f t="shared" si="76"/>
        <v>27832.95</v>
      </c>
      <c r="AS638">
        <f t="shared" si="77"/>
        <v>10063.200000000001</v>
      </c>
      <c r="AT638" s="15">
        <f t="shared" si="78"/>
        <v>0.36155707533696574</v>
      </c>
      <c r="AU638" t="str">
        <f t="shared" si="79"/>
        <v>Clean</v>
      </c>
      <c r="AV638" s="8" t="str">
        <f t="shared" si="80"/>
        <v>Active</v>
      </c>
    </row>
    <row r="639" spans="1:48">
      <c r="A639" s="3" t="s">
        <v>1487</v>
      </c>
      <c r="B639" s="3" t="s">
        <v>254</v>
      </c>
      <c r="C639" s="9">
        <f>IFERROR(DATEVALUE(TEXT(B639,"DD/MM/YYYY")), IF(ISNUMBER(B639), B639, ""))</f>
        <v>45827</v>
      </c>
      <c r="D639" s="9" t="str">
        <f>IF(B639="","Missing", IF(AND(ISNUMBER(B639)=FALSE, C639=""),"Invalid - Could Not Parse", IF(AND(ISNUMBER(B639)=FALSE, C639&lt;&gt;""),"Text - Converted to Date", IF(ISNUMBER(B639),"Valid","Check"))))</f>
        <v>Text - Converted to Date</v>
      </c>
      <c r="E639" s="5">
        <f t="shared" si="73"/>
        <v>6</v>
      </c>
      <c r="F639" s="5">
        <f t="shared" si="74"/>
        <v>2025</v>
      </c>
      <c r="G639" s="3" t="s">
        <v>649</v>
      </c>
      <c r="H639" s="9">
        <f>IFERROR(DATEVALUE(MID(G639,4,2) &amp; "/" &amp; LEFT(G639,2) &amp; "/" &amp; RIGHT(G639,4)), IF(ISNUMBER(G639), G639, IFERROR(DATEVALUE(G639), "")))</f>
        <v>45835</v>
      </c>
      <c r="I639" s="9" t="str">
        <f>IF(G639="","Missing", IF(AND(ISNUMBER(G639)=FALSE, H639=""),"Invalid - Could Not Parse", IF(AND(ISNUMBER(G639)=FALSE, H639&lt;&gt;""),"Text - Converted to Date", IF(ISNUMBER(G639),"Valid","Check"))))</f>
        <v>Text - Converted to Date</v>
      </c>
      <c r="J639" s="9" t="str">
        <f>IF(OR(C639="", H639=""), "Cannot Check - Date Missing", IF(H639&lt;C639, "Invalid - Ship Before Order", "Valid"))</f>
        <v>Valid</v>
      </c>
      <c r="K639" s="5">
        <f>IF(OR(C639="", H639=""), "", IF(H639&lt;C639, "", H639-C639))</f>
        <v>8</v>
      </c>
      <c r="L639" s="3" t="s">
        <v>1488</v>
      </c>
      <c r="M639" s="3" t="s">
        <v>25</v>
      </c>
      <c r="N639" s="4" t="str">
        <f>TRIM(SUBSTITUTE(M639,"_"," "))</f>
        <v>Karan Malhotra</v>
      </c>
      <c r="O639" s="3" t="s">
        <v>115</v>
      </c>
      <c r="P639" s="6" t="str">
        <f>PROPER(TRIM(SUBSTITUTE(O639,".","")))</f>
        <v>Home Office</v>
      </c>
      <c r="Q639" s="3" t="s">
        <v>62</v>
      </c>
      <c r="R639" s="7" t="str">
        <f>PROPER(TRIM(SUBSTITUTE(Q639,"  "," ")))</f>
        <v>South</v>
      </c>
      <c r="S639" s="3" t="s">
        <v>339</v>
      </c>
      <c r="T639" s="6" t="str">
        <f>PROPER(TRIM(SUBSTITUTE(S639,"  "," ")))</f>
        <v>Tamil Nadu</v>
      </c>
      <c r="U639" s="3" t="s">
        <v>340</v>
      </c>
      <c r="V639" s="6" t="str">
        <f>PROPER(TRIM(SUBSTITUTE(U639,"  "," ")))</f>
        <v>Chennai</v>
      </c>
      <c r="W639" s="3" t="s">
        <v>45</v>
      </c>
      <c r="X639" s="6" t="str">
        <f>PROPER(TRIM(SUBSTITUTE(W639,"  "," ")))</f>
        <v>Furniture</v>
      </c>
      <c r="Y639" s="3" t="s">
        <v>204</v>
      </c>
      <c r="Z639" s="6" t="str">
        <f>PROPER(TRIM(SUBSTITUTE(Y639,"  "," ")))</f>
        <v>Bookcases</v>
      </c>
      <c r="AA639" s="3" t="s">
        <v>1489</v>
      </c>
      <c r="AB639" s="3" t="s">
        <v>56</v>
      </c>
      <c r="AC639" s="6" t="str">
        <f>PROPER(TRIM(SUBSTITUTE(AB639,"  "," ")))</f>
        <v>First Class</v>
      </c>
      <c r="AD639" s="3">
        <v>2</v>
      </c>
      <c r="AE639" s="3">
        <v>4346.6899999999996</v>
      </c>
      <c r="AF639" s="3">
        <v>0.05</v>
      </c>
      <c r="AG639" s="17">
        <v>0.05</v>
      </c>
      <c r="AH639" s="6" t="str">
        <f t="shared" si="75"/>
        <v>Valid</v>
      </c>
      <c r="AI639" s="3">
        <v>8258.7099999999991</v>
      </c>
      <c r="AJ639" s="3">
        <v>7018.97</v>
      </c>
      <c r="AK639" s="3">
        <v>1239.74</v>
      </c>
      <c r="AL639" s="3" t="s">
        <v>34</v>
      </c>
      <c r="AM639" s="6" t="str">
        <f>PROPER(TRIM(SUBSTITUTE(AL639,".","")))</f>
        <v>Paid</v>
      </c>
      <c r="AN639" s="3" t="s">
        <v>35</v>
      </c>
      <c r="AO639" s="8" t="str">
        <f>PROPER(TRIM(SUBSTITUTE(AN639,".","")))</f>
        <v>Completed</v>
      </c>
      <c r="AP639" t="str">
        <f>IF(COUNTIF($A$2:$A$933, A639) &gt; 1, "Duplicate ID", "Unique")</f>
        <v>Unique</v>
      </c>
      <c r="AR639">
        <f t="shared" si="76"/>
        <v>8258.7109999999993</v>
      </c>
      <c r="AS639">
        <f t="shared" si="77"/>
        <v>1239.7409999999991</v>
      </c>
      <c r="AT639" s="15">
        <f t="shared" si="78"/>
        <v>0.15011313508851432</v>
      </c>
      <c r="AU639" t="str">
        <f t="shared" si="79"/>
        <v>Clean</v>
      </c>
      <c r="AV639" s="8" t="str">
        <f t="shared" si="80"/>
        <v>Active</v>
      </c>
    </row>
    <row r="640" spans="1:48">
      <c r="A640" s="3" t="s">
        <v>3361</v>
      </c>
      <c r="B640" s="3" t="s">
        <v>254</v>
      </c>
      <c r="C640" s="9">
        <f>IFERROR(DATEVALUE(TEXT(B640,"DD/MM/YYYY")), IF(ISNUMBER(B640), B640, ""))</f>
        <v>45827</v>
      </c>
      <c r="D640" s="9" t="str">
        <f>IF(B640="","Missing", IF(AND(ISNUMBER(B640)=FALSE, C640=""),"Invalid - Could Not Parse", IF(AND(ISNUMBER(B640)=FALSE, C640&lt;&gt;""),"Text - Converted to Date", IF(ISNUMBER(B640),"Valid","Check"))))</f>
        <v>Text - Converted to Date</v>
      </c>
      <c r="E640" s="5">
        <f t="shared" si="73"/>
        <v>6</v>
      </c>
      <c r="F640" s="5">
        <f t="shared" si="74"/>
        <v>2025</v>
      </c>
      <c r="G640" s="3" t="s">
        <v>3362</v>
      </c>
      <c r="H640" s="9">
        <f>IFERROR(DATEVALUE(TEXT(G640,"DD/MM/YYYY")), IF(ISNUMBER(G640), G640, ""))</f>
        <v>45831</v>
      </c>
      <c r="I640" s="9" t="str">
        <f>IF(G640="","Missing", IF(AND(ISNUMBER(G640)=FALSE, H640=""),"Invalid - Could Not Parse", IF(AND(ISNUMBER(G640)=FALSE, H640&lt;&gt;""),"Text - Converted to Date", IF(ISNUMBER(G640),"Valid","Check"))))</f>
        <v>Text - Converted to Date</v>
      </c>
      <c r="J640" s="9" t="str">
        <f>IF(OR(C640="", H640=""), "Cannot Check - Date Missing", IF(H640&lt;C640, "Invalid - Ship Before Order", "Valid"))</f>
        <v>Valid</v>
      </c>
      <c r="K640" s="5">
        <f>IF(OR(C640="", H640=""), "", IF(H640&lt;C640, "", H640-C640))</f>
        <v>4</v>
      </c>
      <c r="L640" s="3" t="s">
        <v>3363</v>
      </c>
      <c r="M640" s="3" t="s">
        <v>168</v>
      </c>
      <c r="N640" s="4" t="str">
        <f>TRIM(SUBSTITUTE(M640,"_"," "))</f>
        <v>Sneha Kapoor</v>
      </c>
      <c r="O640" s="3" t="s">
        <v>26</v>
      </c>
      <c r="P640" s="6" t="str">
        <f>PROPER(TRIM(SUBSTITUTE(O640,".","")))</f>
        <v>Consumer</v>
      </c>
      <c r="Q640" s="3" t="s">
        <v>62</v>
      </c>
      <c r="R640" s="7" t="str">
        <f>PROPER(TRIM(SUBSTITUTE(Q640,"  "," ")))</f>
        <v>South</v>
      </c>
      <c r="S640" s="3" t="s">
        <v>229</v>
      </c>
      <c r="T640" s="6" t="str">
        <f>PROPER(TRIM(SUBSTITUTE(S640,"  "," ")))</f>
        <v>Karnataka</v>
      </c>
      <c r="U640" s="3" t="s">
        <v>230</v>
      </c>
      <c r="V640" s="6" t="str">
        <f>PROPER(TRIM(SUBSTITUTE(U640,"  "," ")))</f>
        <v>Bengaluru</v>
      </c>
      <c r="W640" s="3" t="s">
        <v>86</v>
      </c>
      <c r="X640" s="6" t="str">
        <f>PROPER(TRIM(SUBSTITUTE(W640,"  "," ")))</f>
        <v>Technology</v>
      </c>
      <c r="Y640" s="3" t="s">
        <v>94</v>
      </c>
      <c r="Z640" s="6" t="str">
        <f>PROPER(TRIM(SUBSTITUTE(Y640,"  "," ")))</f>
        <v>Copiers</v>
      </c>
      <c r="AA640" s="3" t="s">
        <v>3364</v>
      </c>
      <c r="AB640" s="3" t="s">
        <v>56</v>
      </c>
      <c r="AC640" s="6" t="str">
        <f>PROPER(TRIM(SUBSTITUTE(AB640,"  "," ")))</f>
        <v>First Class</v>
      </c>
      <c r="AD640" s="3">
        <v>5</v>
      </c>
      <c r="AE640" s="3">
        <v>2729.95</v>
      </c>
      <c r="AF640" s="3">
        <v>0</v>
      </c>
      <c r="AG640" s="17">
        <v>0</v>
      </c>
      <c r="AH640" s="6" t="str">
        <f t="shared" si="75"/>
        <v>Valid</v>
      </c>
      <c r="AI640" s="3">
        <v>13649.75</v>
      </c>
      <c r="AJ640" s="3">
        <v>10288.030000000001</v>
      </c>
      <c r="AK640" s="3">
        <v>3361.72</v>
      </c>
      <c r="AL640" s="3" t="s">
        <v>34</v>
      </c>
      <c r="AM640" s="6" t="str">
        <f>PROPER(TRIM(SUBSTITUTE(AL640,".","")))</f>
        <v>Paid</v>
      </c>
      <c r="AN640" s="3" t="s">
        <v>35</v>
      </c>
      <c r="AO640" s="8" t="str">
        <f>PROPER(TRIM(SUBSTITUTE(AN640,".","")))</f>
        <v>Completed</v>
      </c>
      <c r="AP640" t="str">
        <f>IF(COUNTIF($A$2:$A$933, A640) &gt; 1, "Duplicate ID", "Unique")</f>
        <v>Unique</v>
      </c>
      <c r="AR640">
        <f t="shared" si="76"/>
        <v>13649.75</v>
      </c>
      <c r="AS640">
        <f t="shared" si="77"/>
        <v>3361.7199999999993</v>
      </c>
      <c r="AT640" s="15">
        <f t="shared" si="78"/>
        <v>0.24628436418249414</v>
      </c>
      <c r="AU640" t="str">
        <f t="shared" si="79"/>
        <v>Clean</v>
      </c>
      <c r="AV640" s="8" t="str">
        <f t="shared" si="80"/>
        <v>Active</v>
      </c>
    </row>
    <row r="641" spans="1:48">
      <c r="A641" s="3" t="s">
        <v>1687</v>
      </c>
      <c r="B641" s="3" t="s">
        <v>1688</v>
      </c>
      <c r="C641" s="9">
        <f>IFERROR(DATEVALUE(TEXT(B641,"DD/MM/YYYY")), IF(ISNUMBER(B641), B641, ""))</f>
        <v>45830</v>
      </c>
      <c r="D641" s="9" t="str">
        <f>IF(B641="","Missing", IF(AND(ISNUMBER(B641)=FALSE, C641=""),"Invalid - Could Not Parse", IF(AND(ISNUMBER(B641)=FALSE, C641&lt;&gt;""),"Text - Converted to Date", IF(ISNUMBER(B641),"Valid","Check"))))</f>
        <v>Text - Converted to Date</v>
      </c>
      <c r="E641" s="5">
        <f t="shared" si="73"/>
        <v>6</v>
      </c>
      <c r="F641" s="5">
        <f t="shared" si="74"/>
        <v>2025</v>
      </c>
      <c r="G641" s="3" t="s">
        <v>1689</v>
      </c>
      <c r="H641" s="9">
        <f>IFERROR(DATEVALUE(TEXT(G641,"DD/MM/YYYY")), IF(ISNUMBER(G641), G641, ""))</f>
        <v>45835</v>
      </c>
      <c r="I641" s="9" t="str">
        <f>IF(G641="","Missing", IF(AND(ISNUMBER(G641)=FALSE, H641=""),"Invalid - Could Not Parse", IF(AND(ISNUMBER(G641)=FALSE, H641&lt;&gt;""),"Text - Converted to Date", IF(ISNUMBER(G641),"Valid","Check"))))</f>
        <v>Text - Converted to Date</v>
      </c>
      <c r="J641" s="9" t="str">
        <f>IF(OR(C641="", H641=""), "Cannot Check - Date Missing", IF(H641&lt;C641, "Invalid - Ship Before Order", "Valid"))</f>
        <v>Valid</v>
      </c>
      <c r="K641" s="5">
        <f>IF(OR(C641="", H641=""), "", IF(H641&lt;C641, "", H641-C641))</f>
        <v>5</v>
      </c>
      <c r="L641" s="3" t="s">
        <v>1690</v>
      </c>
      <c r="M641" s="3" t="s">
        <v>180</v>
      </c>
      <c r="N641" s="4" t="str">
        <f>TRIM(SUBSTITUTE(M641,"_"," "))</f>
        <v>Rohan Mehta</v>
      </c>
      <c r="O641" s="3" t="s">
        <v>115</v>
      </c>
      <c r="P641" s="6" t="str">
        <f>PROPER(TRIM(SUBSTITUTE(O641,".","")))</f>
        <v>Home Office</v>
      </c>
      <c r="Q641" s="3"/>
      <c r="R641" s="6" t="str">
        <f>IF(ISBLANK(Q641), "Unknown", Q641)</f>
        <v>Unknown</v>
      </c>
      <c r="S641" s="3" t="s">
        <v>506</v>
      </c>
      <c r="T641" s="6" t="str">
        <f>PROPER(TRIM(SUBSTITUTE(S641,"  "," ")))</f>
        <v>Delhi</v>
      </c>
      <c r="U641" s="3" t="s">
        <v>507</v>
      </c>
      <c r="V641" s="6" t="str">
        <f>PROPER(TRIM(SUBSTITUTE(U641,"  "," ")))</f>
        <v>New Delhi</v>
      </c>
      <c r="W641" s="3" t="s">
        <v>86</v>
      </c>
      <c r="X641" s="6" t="str">
        <f>PROPER(TRIM(SUBSTITUTE(W641,"  "," ")))</f>
        <v>Technology</v>
      </c>
      <c r="Y641" s="3" t="s">
        <v>223</v>
      </c>
      <c r="Z641" s="6" t="str">
        <f>PROPER(TRIM(SUBSTITUTE(Y641,"  "," ")))</f>
        <v>Phones</v>
      </c>
      <c r="AA641" s="3" t="s">
        <v>1691</v>
      </c>
      <c r="AB641" s="3" t="s">
        <v>56</v>
      </c>
      <c r="AC641" s="6" t="str">
        <f>PROPER(TRIM(SUBSTITUTE(AB641,"  "," ")))</f>
        <v>First Class</v>
      </c>
      <c r="AD641" s="3">
        <v>2</v>
      </c>
      <c r="AE641" s="3">
        <v>1468.05</v>
      </c>
      <c r="AF641" s="3">
        <v>0</v>
      </c>
      <c r="AG641" s="17">
        <v>0</v>
      </c>
      <c r="AH641" s="6" t="str">
        <f t="shared" si="75"/>
        <v>Valid</v>
      </c>
      <c r="AI641" s="3">
        <v>2936.1</v>
      </c>
      <c r="AJ641" s="3">
        <v>1923.1</v>
      </c>
      <c r="AK641" s="3">
        <v>1013</v>
      </c>
      <c r="AL641" s="3" t="s">
        <v>34</v>
      </c>
      <c r="AM641" s="6" t="str">
        <f>PROPER(TRIM(SUBSTITUTE(AL641,".","")))</f>
        <v>Paid</v>
      </c>
      <c r="AN641" s="3" t="s">
        <v>35</v>
      </c>
      <c r="AO641" s="8" t="str">
        <f>PROPER(TRIM(SUBSTITUTE(AN641,".","")))</f>
        <v>Completed</v>
      </c>
      <c r="AP641" t="str">
        <f>IF(COUNTIF($A$2:$A$933, A641) &gt; 1, "Duplicate ID", "Unique")</f>
        <v>Unique</v>
      </c>
      <c r="AR641">
        <f t="shared" si="76"/>
        <v>2936.1</v>
      </c>
      <c r="AS641">
        <f t="shared" si="77"/>
        <v>1013</v>
      </c>
      <c r="AT641" s="15">
        <f t="shared" si="78"/>
        <v>0.34501549674738602</v>
      </c>
      <c r="AU641" t="str">
        <f t="shared" si="79"/>
        <v>Clean</v>
      </c>
      <c r="AV641" s="8" t="str">
        <f t="shared" si="80"/>
        <v>Active</v>
      </c>
    </row>
    <row r="642" spans="1:48">
      <c r="A642" s="3" t="s">
        <v>2369</v>
      </c>
      <c r="B642" s="3" t="s">
        <v>2370</v>
      </c>
      <c r="C642" s="9">
        <f>IFERROR(DATEVALUE(TEXT(B642,"DD/MM/YYYY")), IF(ISNUMBER(B642), B642, ""))</f>
        <v>45830</v>
      </c>
      <c r="D642" s="9" t="str">
        <f>IF(B642="","Missing", IF(AND(ISNUMBER(B642)=FALSE, C642=""),"Invalid - Could Not Parse", IF(AND(ISNUMBER(B642)=FALSE, C642&lt;&gt;""),"Text - Converted to Date", IF(ISNUMBER(B642),"Valid","Check"))))</f>
        <v>Text - Converted to Date</v>
      </c>
      <c r="E642" s="5">
        <f t="shared" si="73"/>
        <v>6</v>
      </c>
      <c r="F642" s="5">
        <f t="shared" si="74"/>
        <v>2025</v>
      </c>
      <c r="G642" s="3" t="s">
        <v>2371</v>
      </c>
      <c r="H642" s="9">
        <f>IFERROR(DATEVALUE(MID(G642,4,2) &amp; "/" &amp; LEFT(G642,2) &amp; "/" &amp; RIGHT(G642,4)), IF(ISNUMBER(G642), G642, IFERROR(DATEVALUE(G642), "")))</f>
        <v>45834</v>
      </c>
      <c r="I642" s="9" t="str">
        <f>IF(G642="","Missing", IF(AND(ISNUMBER(G642)=FALSE, H642=""),"Invalid - Could Not Parse", IF(AND(ISNUMBER(G642)=FALSE, H642&lt;&gt;""),"Text - Converted to Date", IF(ISNUMBER(G642),"Valid","Check"))))</f>
        <v>Text - Converted to Date</v>
      </c>
      <c r="J642" s="9" t="str">
        <f>IF(OR(C642="", H642=""), "Cannot Check - Date Missing", IF(H642&lt;C642, "Invalid - Ship Before Order", "Valid"))</f>
        <v>Valid</v>
      </c>
      <c r="K642" s="5">
        <f>IF(OR(C642="", H642=""), "", IF(H642&lt;C642, "", H642-C642))</f>
        <v>4</v>
      </c>
      <c r="L642" s="3" t="s">
        <v>2372</v>
      </c>
      <c r="M642" s="3" t="s">
        <v>148</v>
      </c>
      <c r="N642" s="4" t="str">
        <f>TRIM(SUBSTITUTE(M642,"_"," "))</f>
        <v>Rahul Verma</v>
      </c>
      <c r="O642" s="3" t="s">
        <v>108</v>
      </c>
      <c r="P642" s="6" t="str">
        <f>PROPER(TRIM(SUBSTITUTE(O642,".","")))</f>
        <v>Corporate</v>
      </c>
      <c r="Q642" s="3" t="s">
        <v>73</v>
      </c>
      <c r="R642" s="7" t="str">
        <f>PROPER(TRIM(SUBSTITUTE(Q642,"  "," ")))</f>
        <v>West</v>
      </c>
      <c r="S642" s="3" t="s">
        <v>249</v>
      </c>
      <c r="T642" s="6" t="str">
        <f>PROPER(TRIM(SUBSTITUTE(S642,"  "," ")))</f>
        <v>Goa</v>
      </c>
      <c r="U642" s="3" t="s">
        <v>250</v>
      </c>
      <c r="V642" s="6" t="str">
        <f>PROPER(TRIM(SUBSTITUTE(U642,"  "," ")))</f>
        <v>Panaji</v>
      </c>
      <c r="W642" s="3" t="s">
        <v>45</v>
      </c>
      <c r="X642" s="6" t="str">
        <f>PROPER(TRIM(SUBSTITUTE(W642,"  "," ")))</f>
        <v>Furniture</v>
      </c>
      <c r="Y642" s="3" t="s">
        <v>46</v>
      </c>
      <c r="Z642" s="6" t="str">
        <f>PROPER(TRIM(SUBSTITUTE(Y642,"  "," ")))</f>
        <v>Tables</v>
      </c>
      <c r="AA642" s="3" t="s">
        <v>2373</v>
      </c>
      <c r="AB642" s="3" t="s">
        <v>67</v>
      </c>
      <c r="AC642" s="6" t="str">
        <f>PROPER(TRIM(SUBSTITUTE(AB642,"  "," ")))</f>
        <v>Standard Class</v>
      </c>
      <c r="AD642" s="3">
        <v>3</v>
      </c>
      <c r="AE642" s="3">
        <v>1946.18</v>
      </c>
      <c r="AF642" s="3">
        <v>0.2</v>
      </c>
      <c r="AG642" s="17">
        <v>0.2</v>
      </c>
      <c r="AH642" s="6" t="str">
        <f t="shared" si="75"/>
        <v>Valid</v>
      </c>
      <c r="AI642" s="3">
        <v>4670.83</v>
      </c>
      <c r="AJ642" s="3">
        <v>3166.49</v>
      </c>
      <c r="AK642" s="3">
        <v>1504.34</v>
      </c>
      <c r="AL642" s="3" t="s">
        <v>34</v>
      </c>
      <c r="AM642" s="6" t="str">
        <f>PROPER(TRIM(SUBSTITUTE(AL642,".","")))</f>
        <v>Paid</v>
      </c>
      <c r="AN642" s="3" t="s">
        <v>35</v>
      </c>
      <c r="AO642" s="8" t="str">
        <f>PROPER(TRIM(SUBSTITUTE(AN642,".","")))</f>
        <v>Completed</v>
      </c>
      <c r="AP642" t="str">
        <f>IF(COUNTIF($A$2:$A$933, A642) &gt; 1, "Duplicate ID", "Unique")</f>
        <v>Unique</v>
      </c>
      <c r="AR642">
        <f t="shared" si="76"/>
        <v>4670.8320000000003</v>
      </c>
      <c r="AS642">
        <f t="shared" si="77"/>
        <v>1504.3420000000006</v>
      </c>
      <c r="AT642" s="15">
        <f t="shared" si="78"/>
        <v>0.3220715281560117</v>
      </c>
      <c r="AU642" t="str">
        <f t="shared" si="79"/>
        <v>Warning</v>
      </c>
      <c r="AV642" s="8" t="str">
        <f t="shared" si="80"/>
        <v>Active</v>
      </c>
    </row>
    <row r="643" spans="1:48">
      <c r="A643" s="3" t="s">
        <v>2801</v>
      </c>
      <c r="B643" s="3" t="s">
        <v>1688</v>
      </c>
      <c r="C643" s="9">
        <f>IFERROR(DATEVALUE(TEXT(B643,"DD/MM/YYYY")), IF(ISNUMBER(B643), B643, ""))</f>
        <v>45830</v>
      </c>
      <c r="D643" s="9" t="str">
        <f>IF(B643="","Missing", IF(AND(ISNUMBER(B643)=FALSE, C643=""),"Invalid - Could Not Parse", IF(AND(ISNUMBER(B643)=FALSE, C643&lt;&gt;""),"Text - Converted to Date", IF(ISNUMBER(B643),"Valid","Check"))))</f>
        <v>Text - Converted to Date</v>
      </c>
      <c r="E643" s="5">
        <f t="shared" ref="E643:E706" si="81">IFERROR(MONTH(C643), "")</f>
        <v>6</v>
      </c>
      <c r="F643" s="5">
        <f t="shared" ref="F643:F706" si="82">IFERROR(YEAR(C643), "")</f>
        <v>2025</v>
      </c>
      <c r="G643" s="3" t="s">
        <v>2802</v>
      </c>
      <c r="H643" s="9">
        <f>IFERROR(DATEVALUE(TEXT(G643,"DD/MM/YYYY")), IF(ISNUMBER(G643), G643, ""))</f>
        <v>45833</v>
      </c>
      <c r="I643" s="9" t="str">
        <f>IF(G643="","Missing", IF(AND(ISNUMBER(G643)=FALSE, H643=""),"Invalid - Could Not Parse", IF(AND(ISNUMBER(G643)=FALSE, H643&lt;&gt;""),"Text - Converted to Date", IF(ISNUMBER(G643),"Valid","Check"))))</f>
        <v>Text - Converted to Date</v>
      </c>
      <c r="J643" s="9" t="str">
        <f>IF(OR(C643="", H643=""), "Cannot Check - Date Missing", IF(H643&lt;C643, "Invalid - Ship Before Order", "Valid"))</f>
        <v>Valid</v>
      </c>
      <c r="K643" s="5">
        <f>IF(OR(C643="", H643=""), "", IF(H643&lt;C643, "", H643-C643))</f>
        <v>3</v>
      </c>
      <c r="L643" s="3" t="s">
        <v>2803</v>
      </c>
      <c r="M643" s="3" t="s">
        <v>210</v>
      </c>
      <c r="N643" s="4" t="str">
        <f>TRIM(SUBSTITUTE(M643,"_"," "))</f>
        <v>Diya Patel</v>
      </c>
      <c r="O643" s="3" t="s">
        <v>41</v>
      </c>
      <c r="P643" s="6" t="str">
        <f>PROPER(TRIM(SUBSTITUTE(O643,".","")))</f>
        <v>Small Business</v>
      </c>
      <c r="Q643" s="3" t="s">
        <v>1050</v>
      </c>
      <c r="R643" s="7" t="str">
        <f>PROPER(TRIM(SUBSTITUTE(Q643,"  "," ")))</f>
        <v>West</v>
      </c>
      <c r="S643" s="3" t="s">
        <v>74</v>
      </c>
      <c r="T643" s="6" t="str">
        <f>PROPER(TRIM(SUBSTITUTE(S643,"  "," ")))</f>
        <v>Maharashtra</v>
      </c>
      <c r="U643" s="3" t="s">
        <v>75</v>
      </c>
      <c r="V643" s="6" t="str">
        <f>PROPER(TRIM(SUBSTITUTE(U643,"  "," ")))</f>
        <v>Mumbai</v>
      </c>
      <c r="W643" s="3" t="s">
        <v>86</v>
      </c>
      <c r="X643" s="6" t="str">
        <f>PROPER(TRIM(SUBSTITUTE(W643,"  "," ")))</f>
        <v>Technology</v>
      </c>
      <c r="Y643" s="3" t="s">
        <v>223</v>
      </c>
      <c r="Z643" s="6" t="str">
        <f>PROPER(TRIM(SUBSTITUTE(Y643,"  "," ")))</f>
        <v>Phones</v>
      </c>
      <c r="AA643" s="3" t="s">
        <v>2804</v>
      </c>
      <c r="AB643" s="3" t="s">
        <v>56</v>
      </c>
      <c r="AC643" s="6" t="str">
        <f>PROPER(TRIM(SUBSTITUTE(AB643,"  "," ")))</f>
        <v>First Class</v>
      </c>
      <c r="AD643" s="3">
        <v>8</v>
      </c>
      <c r="AE643" s="3">
        <v>3453.66</v>
      </c>
      <c r="AF643" s="3">
        <v>0</v>
      </c>
      <c r="AG643" s="17">
        <v>0</v>
      </c>
      <c r="AH643" s="6" t="str">
        <f t="shared" ref="AH643:AH706" si="83">IF(ISBLANK(AF643), "Missing", IF(AF643 &lt; 0, "Invalid - Negative", IF(AF643 &gt; 0.5, "Invalid - Above Range", "Valid")))</f>
        <v>Valid</v>
      </c>
      <c r="AI643" s="3">
        <v>27629.279999999999</v>
      </c>
      <c r="AJ643" s="3">
        <v>22026.48</v>
      </c>
      <c r="AK643" s="3">
        <v>5602.8</v>
      </c>
      <c r="AL643" s="3" t="s">
        <v>34</v>
      </c>
      <c r="AM643" s="6" t="str">
        <f>PROPER(TRIM(SUBSTITUTE(AL643,".","")))</f>
        <v>Paid</v>
      </c>
      <c r="AN643" s="3" t="s">
        <v>35</v>
      </c>
      <c r="AO643" s="8" t="str">
        <f>PROPER(TRIM(SUBSTITUTE(AN643,".","")))</f>
        <v>Completed</v>
      </c>
      <c r="AP643" t="str">
        <f>IF(COUNTIF($A$2:$A$933, A643) &gt; 1, "Duplicate ID", "Unique")</f>
        <v>Unique</v>
      </c>
      <c r="AR643">
        <f t="shared" ref="AR643:AR706" si="84">AD643 * AE643 * (1 - AG643)</f>
        <v>27629.279999999999</v>
      </c>
      <c r="AS643">
        <f t="shared" ref="AS643:AS706" si="85">AR643-AJ643</f>
        <v>5602.7999999999993</v>
      </c>
      <c r="AT643" s="15">
        <f t="shared" ref="AT643:AT706" si="86">IFERROR(AS643 / AR643, "")</f>
        <v>0.20278487170132553</v>
      </c>
      <c r="AU643" t="str">
        <f t="shared" ref="AU643:AU706" si="87">IF(OR(AH643="Invalid - Negative",AH643="Invalid - Above Range", J643="Invalid - Ship Before Order", AQ643="Conflicting Duplicate - Flagged"), "Invalid", IF(OR(R642="Unknown", AC642="Unknown", AH643="Missing"), "Warning", "Clean"))</f>
        <v>Clean</v>
      </c>
      <c r="AV643" s="8" t="str">
        <f t="shared" ref="AV643:AV706" si="88">IF(AM643 = "Refunded", "Refund", IF(AO643 = "Cancelled", "Cancelled", "Active"))</f>
        <v>Active</v>
      </c>
    </row>
    <row r="644" spans="1:48">
      <c r="A644" s="3" t="s">
        <v>3659</v>
      </c>
      <c r="B644" s="3" t="s">
        <v>3660</v>
      </c>
      <c r="C644" s="9">
        <f>IFERROR(DATEVALUE(TEXT(B644,"DD/MM/YYYY")), IF(ISNUMBER(B644), B644, ""))</f>
        <v>45830</v>
      </c>
      <c r="D644" s="9" t="str">
        <f>IF(B644="","Missing", IF(AND(ISNUMBER(B644)=FALSE, C644=""),"Invalid - Could Not Parse", IF(AND(ISNUMBER(B644)=FALSE, C644&lt;&gt;""),"Text - Converted to Date", IF(ISNUMBER(B644),"Valid","Check"))))</f>
        <v>Text - Converted to Date</v>
      </c>
      <c r="E644" s="5">
        <f t="shared" si="81"/>
        <v>6</v>
      </c>
      <c r="F644" s="5">
        <f t="shared" si="82"/>
        <v>2025</v>
      </c>
      <c r="G644" s="3" t="s">
        <v>996</v>
      </c>
      <c r="H644" s="9">
        <f>IFERROR(DATEVALUE(TEXT(G644,"DD/MM/YYYY")), IF(ISNUMBER(G644), G644, ""))</f>
        <v>45832</v>
      </c>
      <c r="I644" s="9" t="str">
        <f>IF(G644="","Missing", IF(AND(ISNUMBER(G644)=FALSE, H644=""),"Invalid - Could Not Parse", IF(AND(ISNUMBER(G644)=FALSE, H644&lt;&gt;""),"Text - Converted to Date", IF(ISNUMBER(G644),"Valid","Check"))))</f>
        <v>Text - Converted to Date</v>
      </c>
      <c r="J644" s="9" t="str">
        <f>IF(OR(C644="", H644=""), "Cannot Check - Date Missing", IF(H644&lt;C644, "Invalid - Ship Before Order", "Valid"))</f>
        <v>Valid</v>
      </c>
      <c r="K644" s="5">
        <f>IF(OR(C644="", H644=""), "", IF(H644&lt;C644, "", H644-C644))</f>
        <v>2</v>
      </c>
      <c r="L644" s="3" t="s">
        <v>3661</v>
      </c>
      <c r="M644" s="3" t="s">
        <v>168</v>
      </c>
      <c r="N644" s="4" t="str">
        <f>TRIM(SUBSTITUTE(M644,"_"," "))</f>
        <v>Sneha Kapoor</v>
      </c>
      <c r="O644" s="3" t="s">
        <v>108</v>
      </c>
      <c r="P644" s="6" t="str">
        <f>PROPER(TRIM(SUBSTITUTE(O644,".","")))</f>
        <v>Corporate</v>
      </c>
      <c r="Q644" s="3" t="s">
        <v>42</v>
      </c>
      <c r="R644" s="7" t="str">
        <f>PROPER(TRIM(SUBSTITUTE(Q644,"  "," ")))</f>
        <v>East</v>
      </c>
      <c r="S644" s="3" t="s">
        <v>216</v>
      </c>
      <c r="T644" s="6" t="str">
        <f>PROPER(TRIM(SUBSTITUTE(S644,"  "," ")))</f>
        <v>Assam</v>
      </c>
      <c r="U644" s="3" t="s">
        <v>217</v>
      </c>
      <c r="V644" s="6" t="str">
        <f>PROPER(TRIM(SUBSTITUTE(U644,"  "," ")))</f>
        <v>Guwahati</v>
      </c>
      <c r="W644" s="3" t="s">
        <v>30</v>
      </c>
      <c r="X644" s="6" t="str">
        <f>PROPER(TRIM(SUBSTITUTE(W644,"  "," ")))</f>
        <v>Office Supplies</v>
      </c>
      <c r="Y644" s="3" t="s">
        <v>31</v>
      </c>
      <c r="Z644" s="6" t="str">
        <f>PROPER(TRIM(SUBSTITUTE(Y644,"  "," ")))</f>
        <v>Paper</v>
      </c>
      <c r="AA644" s="3" t="s">
        <v>3662</v>
      </c>
      <c r="AB644" s="3" t="s">
        <v>67</v>
      </c>
      <c r="AC644" s="6" t="str">
        <f>PROPER(TRIM(SUBSTITUTE(AB644,"  "," ")))</f>
        <v>Standard Class</v>
      </c>
      <c r="AD644" s="3">
        <v>9</v>
      </c>
      <c r="AE644" s="3">
        <v>951.55</v>
      </c>
      <c r="AF644" s="3">
        <v>0.15</v>
      </c>
      <c r="AG644" s="17">
        <v>0.15</v>
      </c>
      <c r="AH644" s="6" t="str">
        <f t="shared" si="83"/>
        <v>Valid</v>
      </c>
      <c r="AI644" s="3">
        <v>7279.36</v>
      </c>
      <c r="AJ644" s="3">
        <v>4870.3900000000003</v>
      </c>
      <c r="AK644" s="3">
        <v>2408.9699999999998</v>
      </c>
      <c r="AL644" s="3" t="s">
        <v>34</v>
      </c>
      <c r="AM644" s="6" t="str">
        <f>PROPER(TRIM(SUBSTITUTE(AL644,".","")))</f>
        <v>Paid</v>
      </c>
      <c r="AN644" s="3" t="s">
        <v>35</v>
      </c>
      <c r="AO644" s="8" t="str">
        <f>PROPER(TRIM(SUBSTITUTE(AN644,".","")))</f>
        <v>Completed</v>
      </c>
      <c r="AP644" t="str">
        <f>IF(COUNTIF($A$2:$A$933, A644) &gt; 1, "Duplicate ID", "Unique")</f>
        <v>Unique</v>
      </c>
      <c r="AR644">
        <f t="shared" si="84"/>
        <v>7279.3574999999992</v>
      </c>
      <c r="AS644">
        <f t="shared" si="85"/>
        <v>2408.9674999999988</v>
      </c>
      <c r="AT644" s="15">
        <f t="shared" si="86"/>
        <v>0.33093133562955235</v>
      </c>
      <c r="AU644" t="str">
        <f t="shared" si="87"/>
        <v>Clean</v>
      </c>
      <c r="AV644" s="8" t="str">
        <f t="shared" si="88"/>
        <v>Active</v>
      </c>
    </row>
    <row r="645" spans="1:48">
      <c r="A645" s="3" t="s">
        <v>995</v>
      </c>
      <c r="B645" s="3" t="s">
        <v>996</v>
      </c>
      <c r="C645" s="9">
        <f>IFERROR(DATEVALUE(TEXT(B645,"DD/MM/YYYY")), IF(ISNUMBER(B645), B645, ""))</f>
        <v>45832</v>
      </c>
      <c r="D645" s="9" t="str">
        <f>IF(B645="","Missing", IF(AND(ISNUMBER(B645)=FALSE, C645=""),"Invalid - Could Not Parse", IF(AND(ISNUMBER(B645)=FALSE, C645&lt;&gt;""),"Text - Converted to Date", IF(ISNUMBER(B645),"Valid","Check"))))</f>
        <v>Text - Converted to Date</v>
      </c>
      <c r="E645" s="5">
        <f t="shared" si="81"/>
        <v>6</v>
      </c>
      <c r="F645" s="5">
        <f t="shared" si="82"/>
        <v>2025</v>
      </c>
      <c r="G645" s="3" t="s">
        <v>997</v>
      </c>
      <c r="H645" s="9">
        <f>IFERROR(DATEVALUE(TEXT(G645,"DD/MM/YYYY")), IF(ISNUMBER(G645), G645, ""))</f>
        <v>45835</v>
      </c>
      <c r="I645" s="9" t="str">
        <f>IF(G645="","Missing", IF(AND(ISNUMBER(G645)=FALSE, H645=""),"Invalid - Could Not Parse", IF(AND(ISNUMBER(G645)=FALSE, H645&lt;&gt;""),"Text - Converted to Date", IF(ISNUMBER(G645),"Valid","Check"))))</f>
        <v>Text - Converted to Date</v>
      </c>
      <c r="J645" s="9" t="str">
        <f>IF(OR(C645="", H645=""), "Cannot Check - Date Missing", IF(H645&lt;C645, "Invalid - Ship Before Order", "Valid"))</f>
        <v>Valid</v>
      </c>
      <c r="K645" s="5">
        <f>IF(OR(C645="", H645=""), "", IF(H645&lt;C645, "", H645-C645))</f>
        <v>3</v>
      </c>
      <c r="L645" s="3" t="s">
        <v>998</v>
      </c>
      <c r="M645" s="3" t="s">
        <v>83</v>
      </c>
      <c r="N645" s="4" t="str">
        <f>TRIM(SUBSTITUTE(M645,"_"," "))</f>
        <v>Vikram Iyer</v>
      </c>
      <c r="O645" s="3" t="s">
        <v>115</v>
      </c>
      <c r="P645" s="6" t="str">
        <f>PROPER(TRIM(SUBSTITUTE(O645,".","")))</f>
        <v>Home Office</v>
      </c>
      <c r="Q645" s="3" t="s">
        <v>62</v>
      </c>
      <c r="R645" s="7" t="str">
        <f>PROPER(TRIM(SUBSTITUTE(Q645,"  "," ")))</f>
        <v>South</v>
      </c>
      <c r="S645" s="3" t="s">
        <v>63</v>
      </c>
      <c r="T645" s="6" t="str">
        <f>PROPER(TRIM(SUBSTITUTE(S645,"  "," ")))</f>
        <v>Telangana</v>
      </c>
      <c r="U645" s="3" t="s">
        <v>64</v>
      </c>
      <c r="V645" s="6" t="str">
        <f>PROPER(TRIM(SUBSTITUTE(U645,"  "," ")))</f>
        <v>Hyderabad</v>
      </c>
      <c r="W645" s="3" t="s">
        <v>86</v>
      </c>
      <c r="X645" s="6" t="str">
        <f>PROPER(TRIM(SUBSTITUTE(W645,"  "," ")))</f>
        <v>Technology</v>
      </c>
      <c r="Y645" s="3" t="s">
        <v>94</v>
      </c>
      <c r="Z645" s="6" t="str">
        <f>PROPER(TRIM(SUBSTITUTE(Y645,"  "," ")))</f>
        <v>Copiers</v>
      </c>
      <c r="AA645" s="3" t="s">
        <v>999</v>
      </c>
      <c r="AB645" s="3" t="s">
        <v>67</v>
      </c>
      <c r="AC645" s="6" t="str">
        <f>PROPER(TRIM(SUBSTITUTE(AB645,"  "," ")))</f>
        <v>Standard Class</v>
      </c>
      <c r="AD645" s="3">
        <v>7</v>
      </c>
      <c r="AE645" s="3">
        <v>2304.86</v>
      </c>
      <c r="AF645" s="3">
        <v>0.2</v>
      </c>
      <c r="AG645" s="17">
        <v>0.2</v>
      </c>
      <c r="AH645" s="6" t="str">
        <f t="shared" si="83"/>
        <v>Valid</v>
      </c>
      <c r="AI645" s="3">
        <v>12907.22</v>
      </c>
      <c r="AJ645" s="3">
        <v>8327.89</v>
      </c>
      <c r="AK645" s="3">
        <v>4579.33</v>
      </c>
      <c r="AL645" s="3" t="s">
        <v>34</v>
      </c>
      <c r="AM645" s="6" t="str">
        <f>PROPER(TRIM(SUBSTITUTE(AL645,".","")))</f>
        <v>Paid</v>
      </c>
      <c r="AN645" s="3" t="s">
        <v>125</v>
      </c>
      <c r="AO645" s="8" t="str">
        <f>PROPER(TRIM(SUBSTITUTE(AN645,".","")))</f>
        <v>Returned</v>
      </c>
      <c r="AP645" t="str">
        <f>IF(COUNTIF($A$2:$A$933, A645) &gt; 1, "Duplicate ID", "Unique")</f>
        <v>Unique</v>
      </c>
      <c r="AR645">
        <f t="shared" si="84"/>
        <v>12907.216</v>
      </c>
      <c r="AS645">
        <f t="shared" si="85"/>
        <v>4579.3260000000009</v>
      </c>
      <c r="AT645" s="15">
        <f t="shared" si="86"/>
        <v>0.3547880503433119</v>
      </c>
      <c r="AU645" t="str">
        <f t="shared" si="87"/>
        <v>Clean</v>
      </c>
      <c r="AV645" s="8" t="str">
        <f t="shared" si="88"/>
        <v>Active</v>
      </c>
    </row>
    <row r="646" spans="1:48">
      <c r="A646" s="3" t="s">
        <v>1915</v>
      </c>
      <c r="B646" s="3" t="s">
        <v>996</v>
      </c>
      <c r="C646" s="9">
        <f>IFERROR(DATEVALUE(TEXT(B646,"DD/MM/YYYY")), IF(ISNUMBER(B646), B646, ""))</f>
        <v>45832</v>
      </c>
      <c r="D646" s="9" t="str">
        <f>IF(B646="","Missing", IF(AND(ISNUMBER(B646)=FALSE, C646=""),"Invalid - Could Not Parse", IF(AND(ISNUMBER(B646)=FALSE, C646&lt;&gt;""),"Text - Converted to Date", IF(ISNUMBER(B646),"Valid","Check"))))</f>
        <v>Text - Converted to Date</v>
      </c>
      <c r="E646" s="5">
        <f t="shared" si="81"/>
        <v>6</v>
      </c>
      <c r="F646" s="5">
        <f t="shared" si="82"/>
        <v>2025</v>
      </c>
      <c r="G646" s="3" t="s">
        <v>1916</v>
      </c>
      <c r="H646" s="9">
        <f>IFERROR(DATEVALUE(TEXT(G646,"DD/MM/YYYY")), IF(ISNUMBER(G646), G646, ""))</f>
        <v>45838</v>
      </c>
      <c r="I646" s="9" t="str">
        <f>IF(G646="","Missing", IF(AND(ISNUMBER(G646)=FALSE, H646=""),"Invalid - Could Not Parse", IF(AND(ISNUMBER(G646)=FALSE, H646&lt;&gt;""),"Text - Converted to Date", IF(ISNUMBER(G646),"Valid","Check"))))</f>
        <v>Text - Converted to Date</v>
      </c>
      <c r="J646" s="9" t="str">
        <f>IF(OR(C646="", H646=""), "Cannot Check - Date Missing", IF(H646&lt;C646, "Invalid - Ship Before Order", "Valid"))</f>
        <v>Valid</v>
      </c>
      <c r="K646" s="5">
        <f>IF(OR(C646="", H646=""), "", IF(H646&lt;C646, "", H646-C646))</f>
        <v>6</v>
      </c>
      <c r="L646" s="3" t="s">
        <v>1917</v>
      </c>
      <c r="M646" s="3" t="s">
        <v>61</v>
      </c>
      <c r="N646" s="4" t="str">
        <f>TRIM(SUBSTITUTE(M646,"_"," "))</f>
        <v>Arjun Bose</v>
      </c>
      <c r="O646" s="3" t="s">
        <v>26</v>
      </c>
      <c r="P646" s="6" t="str">
        <f>PROPER(TRIM(SUBSTITUTE(O646,".","")))</f>
        <v>Consumer</v>
      </c>
      <c r="Q646" s="3" t="s">
        <v>27</v>
      </c>
      <c r="R646" s="7" t="str">
        <f>PROPER(TRIM(SUBSTITUTE(Q646,"  "," ")))</f>
        <v>North</v>
      </c>
      <c r="S646" s="3" t="s">
        <v>323</v>
      </c>
      <c r="T646" s="6" t="str">
        <f>PROPER(TRIM(SUBSTITUTE(S646,"  "," ")))</f>
        <v>Haryana</v>
      </c>
      <c r="U646" s="3" t="s">
        <v>324</v>
      </c>
      <c r="V646" s="6" t="str">
        <f>PROPER(TRIM(SUBSTITUTE(U646,"  "," ")))</f>
        <v>Gurugram</v>
      </c>
      <c r="W646" s="3" t="s">
        <v>30</v>
      </c>
      <c r="X646" s="6" t="str">
        <f>PROPER(TRIM(SUBSTITUTE(W646,"  "," ")))</f>
        <v>Office Supplies</v>
      </c>
      <c r="Y646" s="3" t="s">
        <v>109</v>
      </c>
      <c r="Z646" s="6" t="str">
        <f>PROPER(TRIM(SUBSTITUTE(Y646,"  "," ")))</f>
        <v>Labels</v>
      </c>
      <c r="AA646" s="3" t="s">
        <v>1918</v>
      </c>
      <c r="AB646" s="3" t="s">
        <v>67</v>
      </c>
      <c r="AC646" s="6" t="str">
        <f>PROPER(TRIM(SUBSTITUTE(AB646,"  "," ")))</f>
        <v>Standard Class</v>
      </c>
      <c r="AD646" s="3">
        <v>6</v>
      </c>
      <c r="AE646" s="3">
        <v>365.76</v>
      </c>
      <c r="AF646" s="3">
        <v>0.1</v>
      </c>
      <c r="AG646" s="17">
        <v>0.1</v>
      </c>
      <c r="AH646" s="6" t="str">
        <f t="shared" si="83"/>
        <v>Valid</v>
      </c>
      <c r="AI646" s="3">
        <v>1975.1</v>
      </c>
      <c r="AJ646" s="3">
        <v>1115.3499999999999</v>
      </c>
      <c r="AK646" s="3">
        <v>859.75</v>
      </c>
      <c r="AL646" s="3" t="s">
        <v>34</v>
      </c>
      <c r="AM646" s="6" t="str">
        <f>PROPER(TRIM(SUBSTITUTE(AL646,".","")))</f>
        <v>Paid</v>
      </c>
      <c r="AN646" s="3" t="s">
        <v>35</v>
      </c>
      <c r="AO646" s="8" t="str">
        <f>PROPER(TRIM(SUBSTITUTE(AN646,".","")))</f>
        <v>Completed</v>
      </c>
      <c r="AP646" t="str">
        <f>IF(COUNTIF($A$2:$A$933, A646) &gt; 1, "Duplicate ID", "Unique")</f>
        <v>Unique</v>
      </c>
      <c r="AR646">
        <f t="shared" si="84"/>
        <v>1975.104</v>
      </c>
      <c r="AS646">
        <f t="shared" si="85"/>
        <v>859.75400000000013</v>
      </c>
      <c r="AT646" s="15">
        <f t="shared" si="86"/>
        <v>0.4352955591199249</v>
      </c>
      <c r="AU646" t="str">
        <f t="shared" si="87"/>
        <v>Clean</v>
      </c>
      <c r="AV646" s="8" t="str">
        <f t="shared" si="88"/>
        <v>Active</v>
      </c>
    </row>
    <row r="647" spans="1:48">
      <c r="A647" s="3" t="s">
        <v>3309</v>
      </c>
      <c r="B647" s="3" t="s">
        <v>3310</v>
      </c>
      <c r="C647" s="9">
        <f>IFERROR(DATEVALUE(TEXT(B647,"DD/MM/YYYY")), IF(ISNUMBER(B647), B647, ""))</f>
        <v>45832</v>
      </c>
      <c r="D647" s="9" t="str">
        <f>IF(B647="","Missing", IF(AND(ISNUMBER(B647)=FALSE, C647=""),"Invalid - Could Not Parse", IF(AND(ISNUMBER(B647)=FALSE, C647&lt;&gt;""),"Text - Converted to Date", IF(ISNUMBER(B647),"Valid","Check"))))</f>
        <v>Text - Converted to Date</v>
      </c>
      <c r="E647" s="5">
        <f t="shared" si="81"/>
        <v>6</v>
      </c>
      <c r="F647" s="5">
        <f t="shared" si="82"/>
        <v>2025</v>
      </c>
      <c r="G647" s="3" t="s">
        <v>2371</v>
      </c>
      <c r="H647" s="9">
        <f>IFERROR(DATEVALUE(MID(G647,4,2) &amp; "/" &amp; LEFT(G647,2) &amp; "/" &amp; RIGHT(G647,4)), IF(ISNUMBER(G647), G647, IFERROR(DATEVALUE(G647), "")))</f>
        <v>45834</v>
      </c>
      <c r="I647" s="9" t="str">
        <f>IF(G647="","Missing", IF(AND(ISNUMBER(G647)=FALSE, H647=""),"Invalid - Could Not Parse", IF(AND(ISNUMBER(G647)=FALSE, H647&lt;&gt;""),"Text - Converted to Date", IF(ISNUMBER(G647),"Valid","Check"))))</f>
        <v>Text - Converted to Date</v>
      </c>
      <c r="J647" s="9" t="str">
        <f>IF(OR(C647="", H647=""), "Cannot Check - Date Missing", IF(H647&lt;C647, "Invalid - Ship Before Order", "Valid"))</f>
        <v>Valid</v>
      </c>
      <c r="K647" s="5">
        <f>IF(OR(C647="", H647=""), "", IF(H647&lt;C647, "", H647-C647))</f>
        <v>2</v>
      </c>
      <c r="L647" s="3" t="s">
        <v>3311</v>
      </c>
      <c r="M647" s="3" t="s">
        <v>83</v>
      </c>
      <c r="N647" s="4" t="str">
        <f>TRIM(SUBSTITUTE(M647,"_"," "))</f>
        <v>Vikram Iyer</v>
      </c>
      <c r="O647" s="3" t="s">
        <v>26</v>
      </c>
      <c r="P647" s="6" t="str">
        <f>PROPER(TRIM(SUBSTITUTE(O647,".","")))</f>
        <v>Consumer</v>
      </c>
      <c r="Q647" s="3" t="s">
        <v>27</v>
      </c>
      <c r="R647" s="7" t="str">
        <f>PROPER(TRIM(SUBSTITUTE(Q647,"  "," ")))</f>
        <v>North</v>
      </c>
      <c r="S647" s="3" t="s">
        <v>28</v>
      </c>
      <c r="T647" s="6" t="str">
        <f>PROPER(TRIM(SUBSTITUTE(S647,"  "," ")))</f>
        <v>Rajasthan</v>
      </c>
      <c r="U647" s="3" t="s">
        <v>29</v>
      </c>
      <c r="V647" s="6" t="str">
        <f>PROPER(TRIM(SUBSTITUTE(U647,"  "," ")))</f>
        <v>Jaipur</v>
      </c>
      <c r="W647" s="3" t="s">
        <v>86</v>
      </c>
      <c r="X647" s="6" t="str">
        <f>PROPER(TRIM(SUBSTITUTE(W647,"  "," ")))</f>
        <v>Technology</v>
      </c>
      <c r="Y647" s="3" t="s">
        <v>87</v>
      </c>
      <c r="Z647" s="6" t="str">
        <f>PROPER(TRIM(SUBSTITUTE(Y647,"  "," ")))</f>
        <v>Accessories</v>
      </c>
      <c r="AA647" s="3" t="s">
        <v>3312</v>
      </c>
      <c r="AB647" s="3" t="s">
        <v>48</v>
      </c>
      <c r="AC647" s="6" t="str">
        <f>PROPER(TRIM(SUBSTITUTE(AB647,"  "," ")))</f>
        <v>Same Day</v>
      </c>
      <c r="AD647" s="3">
        <v>5</v>
      </c>
      <c r="AE647" s="3">
        <v>3722.66</v>
      </c>
      <c r="AF647" s="3">
        <v>0.55000000000000004</v>
      </c>
      <c r="AG647" s="17">
        <v>0.55000000000000004</v>
      </c>
      <c r="AH647" s="6" t="str">
        <f t="shared" si="83"/>
        <v>Invalid - Above Range</v>
      </c>
      <c r="AI647" s="3">
        <v>16751.97</v>
      </c>
      <c r="AJ647" s="3">
        <v>11678.32</v>
      </c>
      <c r="AK647" s="3">
        <v>5073.6499999999996</v>
      </c>
      <c r="AL647" s="3" t="s">
        <v>34</v>
      </c>
      <c r="AM647" s="6" t="str">
        <f>PROPER(TRIM(SUBSTITUTE(AL647,".","")))</f>
        <v>Paid</v>
      </c>
      <c r="AN647" s="3" t="s">
        <v>35</v>
      </c>
      <c r="AO647" s="8" t="str">
        <f>PROPER(TRIM(SUBSTITUTE(AN647,".","")))</f>
        <v>Completed</v>
      </c>
      <c r="AP647" t="str">
        <f>IF(COUNTIF($A$2:$A$933, A647) &gt; 1, "Duplicate ID", "Unique")</f>
        <v>Unique</v>
      </c>
      <c r="AR647">
        <f t="shared" si="84"/>
        <v>8375.9849999999988</v>
      </c>
      <c r="AS647">
        <f t="shared" si="85"/>
        <v>-3302.3350000000009</v>
      </c>
      <c r="AT647" s="15">
        <f t="shared" si="86"/>
        <v>-0.39426228676388525</v>
      </c>
      <c r="AU647" t="str">
        <f t="shared" si="87"/>
        <v>Invalid</v>
      </c>
      <c r="AV647" s="8" t="str">
        <f t="shared" si="88"/>
        <v>Active</v>
      </c>
    </row>
    <row r="648" spans="1:48">
      <c r="A648" s="3" t="s">
        <v>1319</v>
      </c>
      <c r="B648" s="3" t="s">
        <v>1320</v>
      </c>
      <c r="C648" s="9">
        <f>IFERROR(DATEVALUE(TEXT(B648,"DD/MM/YYYY")), IF(ISNUMBER(B648), B648, ""))</f>
        <v>45833</v>
      </c>
      <c r="D648" s="9" t="str">
        <f>IF(B648="","Missing", IF(AND(ISNUMBER(B648)=FALSE, C648=""),"Invalid - Could Not Parse", IF(AND(ISNUMBER(B648)=FALSE, C648&lt;&gt;""),"Text - Converted to Date", IF(ISNUMBER(B648),"Valid","Check"))))</f>
        <v>Text - Converted to Date</v>
      </c>
      <c r="E648" s="5">
        <f t="shared" si="81"/>
        <v>6</v>
      </c>
      <c r="F648" s="5">
        <f t="shared" si="82"/>
        <v>2025</v>
      </c>
      <c r="G648" s="3" t="s">
        <v>1215</v>
      </c>
      <c r="H648" s="9">
        <f>IFERROR(DATEVALUE(TEXT(G648,"DD/MM/YYYY")), IF(ISNUMBER(G648), G648, ""))</f>
        <v>45836</v>
      </c>
      <c r="I648" s="9" t="str">
        <f>IF(G648="","Missing", IF(AND(ISNUMBER(G648)=FALSE, H648=""),"Invalid - Could Not Parse", IF(AND(ISNUMBER(G648)=FALSE, H648&lt;&gt;""),"Text - Converted to Date", IF(ISNUMBER(G648),"Valid","Check"))))</f>
        <v>Text - Converted to Date</v>
      </c>
      <c r="J648" s="9" t="str">
        <f>IF(OR(C648="", H648=""), "Cannot Check - Date Missing", IF(H648&lt;C648, "Invalid - Ship Before Order", "Valid"))</f>
        <v>Valid</v>
      </c>
      <c r="K648" s="5">
        <f>IF(OR(C648="", H648=""), "", IF(H648&lt;C648, "", H648-C648))</f>
        <v>3</v>
      </c>
      <c r="L648" s="3" t="s">
        <v>1321</v>
      </c>
      <c r="M648" s="3" t="s">
        <v>61</v>
      </c>
      <c r="N648" s="4" t="str">
        <f>TRIM(SUBSTITUTE(M648,"_"," "))</f>
        <v>Arjun Bose</v>
      </c>
      <c r="O648" s="3" t="s">
        <v>108</v>
      </c>
      <c r="P648" s="6" t="str">
        <f>PROPER(TRIM(SUBSTITUTE(O648,".","")))</f>
        <v>Corporate</v>
      </c>
      <c r="Q648" s="3" t="s">
        <v>27</v>
      </c>
      <c r="R648" s="7" t="str">
        <f>PROPER(TRIM(SUBSTITUTE(Q648,"  "," ")))</f>
        <v>North</v>
      </c>
      <c r="S648" s="3" t="s">
        <v>323</v>
      </c>
      <c r="T648" s="6" t="str">
        <f>PROPER(TRIM(SUBSTITUTE(S648,"  "," ")))</f>
        <v>Haryana</v>
      </c>
      <c r="U648" s="3" t="s">
        <v>324</v>
      </c>
      <c r="V648" s="6" t="str">
        <f>PROPER(TRIM(SUBSTITUTE(U648,"  "," ")))</f>
        <v>Gurugram</v>
      </c>
      <c r="W648" s="3" t="s">
        <v>30</v>
      </c>
      <c r="X648" s="6" t="str">
        <f>PROPER(TRIM(SUBSTITUTE(W648,"  "," ")))</f>
        <v>Office Supplies</v>
      </c>
      <c r="Y648" s="3" t="s">
        <v>156</v>
      </c>
      <c r="Z648" s="6" t="str">
        <f>PROPER(TRIM(SUBSTITUTE(Y648,"  "," ")))</f>
        <v>Storage</v>
      </c>
      <c r="AA648" s="3" t="s">
        <v>1322</v>
      </c>
      <c r="AB648" s="3" t="s">
        <v>56</v>
      </c>
      <c r="AC648" s="6" t="str">
        <f>PROPER(TRIM(SUBSTITUTE(AB648,"  "," ")))</f>
        <v>First Class</v>
      </c>
      <c r="AD648" s="3">
        <v>2</v>
      </c>
      <c r="AE648" s="3">
        <v>1455.92</v>
      </c>
      <c r="AF648" s="3">
        <v>0.2</v>
      </c>
      <c r="AG648" s="17">
        <v>0.2</v>
      </c>
      <c r="AH648" s="6" t="str">
        <f t="shared" si="83"/>
        <v>Valid</v>
      </c>
      <c r="AI648" s="3">
        <v>2329.4699999999998</v>
      </c>
      <c r="AJ648" s="3">
        <v>1603.62</v>
      </c>
      <c r="AK648" s="3">
        <v>725.85</v>
      </c>
      <c r="AL648" s="3" t="s">
        <v>137</v>
      </c>
      <c r="AM648" s="6" t="str">
        <f>PROPER(TRIM(SUBSTITUTE(AL648,".","")))</f>
        <v>Pending</v>
      </c>
      <c r="AN648" s="3" t="s">
        <v>125</v>
      </c>
      <c r="AO648" s="8" t="str">
        <f>PROPER(TRIM(SUBSTITUTE(AN648,".","")))</f>
        <v>Returned</v>
      </c>
      <c r="AP648" t="str">
        <f>IF(COUNTIF($A$2:$A$933, A648) &gt; 1, "Duplicate ID", "Unique")</f>
        <v>Unique</v>
      </c>
      <c r="AR648">
        <f t="shared" si="84"/>
        <v>2329.4720000000002</v>
      </c>
      <c r="AS648">
        <f t="shared" si="85"/>
        <v>725.85200000000032</v>
      </c>
      <c r="AT648" s="15">
        <f t="shared" si="86"/>
        <v>0.31159507390515973</v>
      </c>
      <c r="AU648" t="str">
        <f t="shared" si="87"/>
        <v>Clean</v>
      </c>
      <c r="AV648" s="8" t="str">
        <f t="shared" si="88"/>
        <v>Active</v>
      </c>
    </row>
    <row r="649" spans="1:48">
      <c r="A649" s="3" t="s">
        <v>1515</v>
      </c>
      <c r="B649" s="3" t="s">
        <v>1516</v>
      </c>
      <c r="C649" s="9">
        <f>IFERROR(DATEVALUE(TEXT(B649,"DD/MM/YYYY")), IF(ISNUMBER(B649), B649, ""))</f>
        <v>45833</v>
      </c>
      <c r="D649" s="9" t="str">
        <f>IF(B649="","Missing", IF(AND(ISNUMBER(B649)=FALSE, C649=""),"Invalid - Could Not Parse", IF(AND(ISNUMBER(B649)=FALSE, C649&lt;&gt;""),"Text - Converted to Date", IF(ISNUMBER(B649),"Valid","Check"))))</f>
        <v>Text - Converted to Date</v>
      </c>
      <c r="E649" s="5">
        <f t="shared" si="81"/>
        <v>6</v>
      </c>
      <c r="F649" s="5">
        <f t="shared" si="82"/>
        <v>2025</v>
      </c>
      <c r="G649" s="3" t="s">
        <v>1517</v>
      </c>
      <c r="H649" s="9">
        <f>IFERROR(DATEVALUE(TEXT(G649,"DD/MM/YYYY")), IF(ISNUMBER(G649), G649, ""))</f>
        <v>45836</v>
      </c>
      <c r="I649" s="9" t="str">
        <f>IF(G649="","Missing", IF(AND(ISNUMBER(G649)=FALSE, H649=""),"Invalid - Could Not Parse", IF(AND(ISNUMBER(G649)=FALSE, H649&lt;&gt;""),"Text - Converted to Date", IF(ISNUMBER(G649),"Valid","Check"))))</f>
        <v>Text - Converted to Date</v>
      </c>
      <c r="J649" s="9" t="str">
        <f>IF(OR(C649="", H649=""), "Cannot Check - Date Missing", IF(H649&lt;C649, "Invalid - Ship Before Order", "Valid"))</f>
        <v>Valid</v>
      </c>
      <c r="K649" s="5">
        <f>IF(OR(C649="", H649=""), "", IF(H649&lt;C649, "", H649-C649))</f>
        <v>3</v>
      </c>
      <c r="L649" s="3" t="s">
        <v>1518</v>
      </c>
      <c r="M649" s="3" t="s">
        <v>107</v>
      </c>
      <c r="N649" s="4" t="str">
        <f>TRIM(SUBSTITUTE(M649,"_"," "))</f>
        <v>Aditi Sen</v>
      </c>
      <c r="O649" s="3" t="s">
        <v>41</v>
      </c>
      <c r="P649" s="6" t="str">
        <f>PROPER(TRIM(SUBSTITUTE(O649,".","")))</f>
        <v>Small Business</v>
      </c>
      <c r="Q649" s="3" t="s">
        <v>42</v>
      </c>
      <c r="R649" s="7" t="str">
        <f>PROPER(TRIM(SUBSTITUTE(Q649,"  "," ")))</f>
        <v>East</v>
      </c>
      <c r="S649" s="3" t="s">
        <v>216</v>
      </c>
      <c r="T649" s="6" t="str">
        <f>PROPER(TRIM(SUBSTITUTE(S649,"  "," ")))</f>
        <v>Assam</v>
      </c>
      <c r="U649" s="3" t="s">
        <v>217</v>
      </c>
      <c r="V649" s="6" t="str">
        <f>PROPER(TRIM(SUBSTITUTE(U649,"  "," ")))</f>
        <v>Guwahati</v>
      </c>
      <c r="W649" s="3" t="s">
        <v>30</v>
      </c>
      <c r="X649" s="6" t="str">
        <f>PROPER(TRIM(SUBSTITUTE(W649,"  "," ")))</f>
        <v>Office Supplies</v>
      </c>
      <c r="Y649" s="3" t="s">
        <v>198</v>
      </c>
      <c r="Z649" s="6" t="str">
        <f>PROPER(TRIM(SUBSTITUTE(Y649,"  "," ")))</f>
        <v>Binders</v>
      </c>
      <c r="AA649" s="3" t="s">
        <v>1519</v>
      </c>
      <c r="AB649" s="3" t="s">
        <v>67</v>
      </c>
      <c r="AC649" s="6" t="str">
        <f>PROPER(TRIM(SUBSTITUTE(AB649,"  "," ")))</f>
        <v>Standard Class</v>
      </c>
      <c r="AD649" s="3">
        <v>3</v>
      </c>
      <c r="AE649" s="3">
        <v>3476.05</v>
      </c>
      <c r="AF649" s="3">
        <v>0.1</v>
      </c>
      <c r="AG649" s="17">
        <v>0.1</v>
      </c>
      <c r="AH649" s="6" t="str">
        <f t="shared" si="83"/>
        <v>Valid</v>
      </c>
      <c r="AI649" s="3">
        <v>9385.34</v>
      </c>
      <c r="AJ649" s="3">
        <v>5828.54</v>
      </c>
      <c r="AK649" s="3">
        <v>3556.8</v>
      </c>
      <c r="AL649" s="3" t="s">
        <v>34</v>
      </c>
      <c r="AM649" s="6" t="str">
        <f>PROPER(TRIM(SUBSTITUTE(AL649,".","")))</f>
        <v>Paid</v>
      </c>
      <c r="AN649" s="3" t="s">
        <v>35</v>
      </c>
      <c r="AO649" s="8" t="str">
        <f>PROPER(TRIM(SUBSTITUTE(AN649,".","")))</f>
        <v>Completed</v>
      </c>
      <c r="AP649" t="str">
        <f>IF(COUNTIF($A$2:$A$933, A649) &gt; 1, "Duplicate ID", "Unique")</f>
        <v>Unique</v>
      </c>
      <c r="AR649">
        <f t="shared" si="84"/>
        <v>9385.3350000000009</v>
      </c>
      <c r="AS649">
        <f t="shared" si="85"/>
        <v>3556.795000000001</v>
      </c>
      <c r="AT649" s="15">
        <f t="shared" si="86"/>
        <v>0.37897368607513748</v>
      </c>
      <c r="AU649" t="str">
        <f t="shared" si="87"/>
        <v>Clean</v>
      </c>
      <c r="AV649" s="8" t="str">
        <f t="shared" si="88"/>
        <v>Active</v>
      </c>
    </row>
    <row r="650" spans="1:48">
      <c r="A650" s="3" t="s">
        <v>3719</v>
      </c>
      <c r="B650" s="3" t="s">
        <v>1516</v>
      </c>
      <c r="C650" s="9">
        <f>IFERROR(DATEVALUE(TEXT(B650,"DD/MM/YYYY")), IF(ISNUMBER(B650), B650, ""))</f>
        <v>45833</v>
      </c>
      <c r="D650" s="9" t="str">
        <f>IF(B650="","Missing", IF(AND(ISNUMBER(B650)=FALSE, C650=""),"Invalid - Could Not Parse", IF(AND(ISNUMBER(B650)=FALSE, C650&lt;&gt;""),"Text - Converted to Date", IF(ISNUMBER(B650),"Valid","Check"))))</f>
        <v>Text - Converted to Date</v>
      </c>
      <c r="E650" s="5">
        <f t="shared" si="81"/>
        <v>6</v>
      </c>
      <c r="F650" s="5">
        <f t="shared" si="82"/>
        <v>2025</v>
      </c>
      <c r="G650" s="3" t="s">
        <v>1516</v>
      </c>
      <c r="H650" s="9">
        <f>IFERROR(DATEVALUE(TEXT(G650,"DD/MM/YYYY")), IF(ISNUMBER(G650), G650, ""))</f>
        <v>45833</v>
      </c>
      <c r="I650" s="9" t="str">
        <f>IF(G650="","Missing", IF(AND(ISNUMBER(G650)=FALSE, H650=""),"Invalid - Could Not Parse", IF(AND(ISNUMBER(G650)=FALSE, H650&lt;&gt;""),"Text - Converted to Date", IF(ISNUMBER(G650),"Valid","Check"))))</f>
        <v>Text - Converted to Date</v>
      </c>
      <c r="J650" s="9" t="str">
        <f>IF(OR(C650="", H650=""), "Cannot Check - Date Missing", IF(H650&lt;C650, "Invalid - Ship Before Order", "Valid"))</f>
        <v>Valid</v>
      </c>
      <c r="K650" s="5">
        <f>IF(OR(C650="", H650=""), "", IF(H650&lt;C650, "", H650-C650))</f>
        <v>0</v>
      </c>
      <c r="L650" s="3" t="s">
        <v>3720</v>
      </c>
      <c r="M650" s="3" t="s">
        <v>61</v>
      </c>
      <c r="N650" s="4" t="str">
        <f>TRIM(SUBSTITUTE(M650,"_"," "))</f>
        <v>Arjun Bose</v>
      </c>
      <c r="O650" s="3" t="s">
        <v>41</v>
      </c>
      <c r="P650" s="6" t="str">
        <f>PROPER(TRIM(SUBSTITUTE(O650,".","")))</f>
        <v>Small Business</v>
      </c>
      <c r="Q650" s="3"/>
      <c r="R650" s="6" t="str">
        <f>IF(ISBLANK(Q650), "Unknown", Q650)</f>
        <v>Unknown</v>
      </c>
      <c r="S650" s="3" t="s">
        <v>154</v>
      </c>
      <c r="T650" s="6" t="str">
        <f>PROPER(TRIM(SUBSTITUTE(S650,"  "," ")))</f>
        <v>Punjab</v>
      </c>
      <c r="U650" s="3" t="s">
        <v>155</v>
      </c>
      <c r="V650" s="6" t="str">
        <f>PROPER(TRIM(SUBSTITUTE(U650,"  "," ")))</f>
        <v>Ludhiana</v>
      </c>
      <c r="W650" s="3" t="s">
        <v>30</v>
      </c>
      <c r="X650" s="6" t="str">
        <f>PROPER(TRIM(SUBSTITUTE(W650,"  "," ")))</f>
        <v>Office Supplies</v>
      </c>
      <c r="Y650" s="3" t="s">
        <v>198</v>
      </c>
      <c r="Z650" s="6" t="str">
        <f>PROPER(TRIM(SUBSTITUTE(Y650,"  "," ")))</f>
        <v>Binders</v>
      </c>
      <c r="AA650" s="3" t="s">
        <v>3721</v>
      </c>
      <c r="AB650" s="3" t="s">
        <v>33</v>
      </c>
      <c r="AC650" s="6" t="str">
        <f>PROPER(TRIM(SUBSTITUTE(AB650,"  "," ")))</f>
        <v>Second Class</v>
      </c>
      <c r="AD650" s="3">
        <v>6</v>
      </c>
      <c r="AE650" s="3">
        <v>1366.13</v>
      </c>
      <c r="AF650" s="3">
        <v>0.1</v>
      </c>
      <c r="AG650" s="17">
        <v>0.1</v>
      </c>
      <c r="AH650" s="6" t="str">
        <f t="shared" si="83"/>
        <v>Valid</v>
      </c>
      <c r="AI650" s="3">
        <v>7377.1</v>
      </c>
      <c r="AJ650" s="3">
        <v>5085.21</v>
      </c>
      <c r="AK650" s="3">
        <v>2291.89</v>
      </c>
      <c r="AL650" s="3" t="s">
        <v>34</v>
      </c>
      <c r="AM650" s="6" t="str">
        <f>PROPER(TRIM(SUBSTITUTE(AL650,".","")))</f>
        <v>Paid</v>
      </c>
      <c r="AN650" s="3" t="s">
        <v>35</v>
      </c>
      <c r="AO650" s="8" t="str">
        <f>PROPER(TRIM(SUBSTITUTE(AN650,".","")))</f>
        <v>Completed</v>
      </c>
      <c r="AP650" t="str">
        <f>IF(COUNTIF($A$2:$A$933, A650) &gt; 1, "Duplicate ID", "Unique")</f>
        <v>Unique</v>
      </c>
      <c r="AR650">
        <f t="shared" si="84"/>
        <v>7377.1020000000008</v>
      </c>
      <c r="AS650">
        <f t="shared" si="85"/>
        <v>2291.8920000000007</v>
      </c>
      <c r="AT650" s="15">
        <f t="shared" si="86"/>
        <v>0.31067646888981615</v>
      </c>
      <c r="AU650" t="str">
        <f t="shared" si="87"/>
        <v>Clean</v>
      </c>
      <c r="AV650" s="8" t="str">
        <f t="shared" si="88"/>
        <v>Active</v>
      </c>
    </row>
    <row r="651" spans="1:48">
      <c r="A651" s="3" t="s">
        <v>648</v>
      </c>
      <c r="B651" s="3" t="s">
        <v>649</v>
      </c>
      <c r="C651" s="9">
        <v>45835</v>
      </c>
      <c r="D651" s="9" t="str">
        <f>IF(B651="","Missing", IF(AND(ISNUMBER(B651)=FALSE, C651=""),"Invalid - Could Not Parse", IF(AND(ISNUMBER(B651)=FALSE, C651&lt;&gt;""),"Text - Converted to Date", IF(ISNUMBER(B651),"Valid","Check"))))</f>
        <v>Text - Converted to Date</v>
      </c>
      <c r="E651" s="5">
        <f t="shared" si="81"/>
        <v>6</v>
      </c>
      <c r="F651" s="5">
        <f t="shared" si="82"/>
        <v>2025</v>
      </c>
      <c r="G651" s="3" t="s">
        <v>650</v>
      </c>
      <c r="H651" s="9">
        <f>IFERROR(DATEVALUE(TEXT(G651,"DD/MM/YYYY")), IF(ISNUMBER(G651), G651, ""))</f>
        <v>45838</v>
      </c>
      <c r="I651" s="9" t="str">
        <f>IF(G651="","Missing", IF(AND(ISNUMBER(G651)=FALSE, H651=""),"Invalid - Could Not Parse", IF(AND(ISNUMBER(G651)=FALSE, H651&lt;&gt;""),"Text - Converted to Date", IF(ISNUMBER(G651),"Valid","Check"))))</f>
        <v>Text - Converted to Date</v>
      </c>
      <c r="J651" s="9" t="str">
        <f>IF(OR(C651="", H651=""), "Cannot Check - Date Missing", IF(H651&lt;C651, "Invalid - Ship Before Order", "Valid"))</f>
        <v>Valid</v>
      </c>
      <c r="K651" s="5">
        <f>IF(OR(C651="", H651=""), "", IF(H651&lt;C651, "", H651-C651))</f>
        <v>3</v>
      </c>
      <c r="L651" s="3" t="s">
        <v>651</v>
      </c>
      <c r="M651" s="3" t="s">
        <v>93</v>
      </c>
      <c r="N651" s="4" t="str">
        <f>TRIM(SUBSTITUTE(M651,"_"," "))</f>
        <v>Neha Gupta</v>
      </c>
      <c r="O651" s="3" t="s">
        <v>108</v>
      </c>
      <c r="P651" s="6" t="str">
        <f>PROPER(TRIM(SUBSTITUTE(O651,".","")))</f>
        <v>Corporate</v>
      </c>
      <c r="Q651" s="3" t="s">
        <v>42</v>
      </c>
      <c r="R651" s="7" t="str">
        <f>PROPER(TRIM(SUBSTITUTE(Q651,"  "," ")))</f>
        <v>East</v>
      </c>
      <c r="S651" s="3" t="s">
        <v>186</v>
      </c>
      <c r="T651" s="6" t="str">
        <f>PROPER(TRIM(SUBSTITUTE(S651,"  "," ")))</f>
        <v>Bihar</v>
      </c>
      <c r="U651" s="3" t="s">
        <v>187</v>
      </c>
      <c r="V651" s="6" t="str">
        <f>PROPER(TRIM(SUBSTITUTE(U651,"  "," ")))</f>
        <v>Patna</v>
      </c>
      <c r="W651" s="3" t="s">
        <v>86</v>
      </c>
      <c r="X651" s="6" t="str">
        <f>PROPER(TRIM(SUBSTITUTE(W651,"  "," ")))</f>
        <v>Technology</v>
      </c>
      <c r="Y651" s="3" t="s">
        <v>87</v>
      </c>
      <c r="Z651" s="6" t="str">
        <f>PROPER(TRIM(SUBSTITUTE(Y651,"  "," ")))</f>
        <v>Accessories</v>
      </c>
      <c r="AA651" s="3" t="s">
        <v>652</v>
      </c>
      <c r="AB651" s="3" t="s">
        <v>56</v>
      </c>
      <c r="AC651" s="6" t="str">
        <f>PROPER(TRIM(SUBSTITUTE(AB651,"  "," ")))</f>
        <v>First Class</v>
      </c>
      <c r="AD651" s="3">
        <v>1</v>
      </c>
      <c r="AE651" s="3">
        <v>1708.44</v>
      </c>
      <c r="AF651" s="3">
        <v>0.05</v>
      </c>
      <c r="AG651" s="17">
        <v>0.05</v>
      </c>
      <c r="AH651" s="6" t="str">
        <f t="shared" si="83"/>
        <v>Valid</v>
      </c>
      <c r="AI651" s="3">
        <v>1623.02</v>
      </c>
      <c r="AJ651" s="3">
        <v>1077.46</v>
      </c>
      <c r="AK651" s="3">
        <v>545.55999999999995</v>
      </c>
      <c r="AL651" s="3" t="s">
        <v>137</v>
      </c>
      <c r="AM651" s="6" t="str">
        <f>PROPER(TRIM(SUBSTITUTE(AL651,".","")))</f>
        <v>Pending</v>
      </c>
      <c r="AN651" s="3" t="s">
        <v>78</v>
      </c>
      <c r="AO651" s="8" t="str">
        <f>PROPER(TRIM(SUBSTITUTE(AN651,".","")))</f>
        <v>Cancelled</v>
      </c>
      <c r="AP651" t="str">
        <f>IF(COUNTIF($A$2:$A$933, A651) &gt; 1, "Duplicate ID", "Unique")</f>
        <v>Unique</v>
      </c>
      <c r="AR651">
        <f t="shared" si="84"/>
        <v>1623.018</v>
      </c>
      <c r="AS651">
        <f t="shared" si="85"/>
        <v>545.55799999999999</v>
      </c>
      <c r="AT651" s="15">
        <f t="shared" si="86"/>
        <v>0.3361379849145234</v>
      </c>
      <c r="AU651" t="str">
        <f t="shared" si="87"/>
        <v>Warning</v>
      </c>
      <c r="AV651" s="8" t="str">
        <f t="shared" si="88"/>
        <v>Cancelled</v>
      </c>
    </row>
    <row r="652" spans="1:48">
      <c r="A652" s="3" t="s">
        <v>1074</v>
      </c>
      <c r="B652" s="3" t="s">
        <v>997</v>
      </c>
      <c r="C652" s="9">
        <f>IFERROR(DATEVALUE(TEXT(B652,"DD/MM/YYYY")), IF(ISNUMBER(B652), B652, ""))</f>
        <v>45835</v>
      </c>
      <c r="D652" s="9" t="str">
        <f>IF(B652="","Missing", IF(AND(ISNUMBER(B652)=FALSE, C652=""),"Invalid - Could Not Parse", IF(AND(ISNUMBER(B652)=FALSE, C652&lt;&gt;""),"Text - Converted to Date", IF(ISNUMBER(B652),"Valid","Check"))))</f>
        <v>Text - Converted to Date</v>
      </c>
      <c r="E652" s="5">
        <f t="shared" si="81"/>
        <v>6</v>
      </c>
      <c r="F652" s="5">
        <f t="shared" si="82"/>
        <v>2025</v>
      </c>
      <c r="G652" s="3" t="s">
        <v>1075</v>
      </c>
      <c r="H652" s="9">
        <f>IFERROR(DATEVALUE(TEXT(G652,"DD/MM/YYYY")), IF(ISNUMBER(G652), G652, ""))</f>
        <v>45843</v>
      </c>
      <c r="I652" s="9" t="str">
        <f>IF(G652="","Missing", IF(AND(ISNUMBER(G652)=FALSE, H652=""),"Invalid - Could Not Parse", IF(AND(ISNUMBER(G652)=FALSE, H652&lt;&gt;""),"Text - Converted to Date", IF(ISNUMBER(G652),"Valid","Check"))))</f>
        <v>Text - Converted to Date</v>
      </c>
      <c r="J652" s="9" t="str">
        <f>IF(OR(C652="", H652=""), "Cannot Check - Date Missing", IF(H652&lt;C652, "Invalid - Ship Before Order", "Valid"))</f>
        <v>Valid</v>
      </c>
      <c r="K652" s="5">
        <f>IF(OR(C652="", H652=""), "", IF(H652&lt;C652, "", H652-C652))</f>
        <v>8</v>
      </c>
      <c r="L652" s="3" t="s">
        <v>1076</v>
      </c>
      <c r="M652" s="3" t="s">
        <v>142</v>
      </c>
      <c r="N652" s="4" t="str">
        <f>TRIM(SUBSTITUTE(M652,"_"," "))</f>
        <v>Priya Menon</v>
      </c>
      <c r="O652" s="3" t="s">
        <v>41</v>
      </c>
      <c r="P652" s="6" t="str">
        <f>PROPER(TRIM(SUBSTITUTE(O652,".","")))</f>
        <v>Small Business</v>
      </c>
      <c r="Q652" s="3" t="s">
        <v>27</v>
      </c>
      <c r="R652" s="7" t="str">
        <f>PROPER(TRIM(SUBSTITUTE(Q652,"  "," ")))</f>
        <v>North</v>
      </c>
      <c r="S652" s="3" t="s">
        <v>28</v>
      </c>
      <c r="T652" s="6" t="str">
        <f>PROPER(TRIM(SUBSTITUTE(S652,"  "," ")))</f>
        <v>Rajasthan</v>
      </c>
      <c r="U652" s="3" t="s">
        <v>29</v>
      </c>
      <c r="V652" s="6" t="str">
        <f>PROPER(TRIM(SUBSTITUTE(U652,"  "," ")))</f>
        <v>Jaipur</v>
      </c>
      <c r="W652" s="3" t="s">
        <v>86</v>
      </c>
      <c r="X652" s="6" t="str">
        <f>PROPER(TRIM(SUBSTITUTE(W652,"  "," ")))</f>
        <v>Technology</v>
      </c>
      <c r="Y652" s="3" t="s">
        <v>94</v>
      </c>
      <c r="Z652" s="6" t="str">
        <f>PROPER(TRIM(SUBSTITUTE(Y652,"  "," ")))</f>
        <v>Copiers</v>
      </c>
      <c r="AA652" s="3" t="s">
        <v>1077</v>
      </c>
      <c r="AB652" s="3" t="s">
        <v>56</v>
      </c>
      <c r="AC652" s="6" t="str">
        <f>PROPER(TRIM(SUBSTITUTE(AB652,"  "," ")))</f>
        <v>First Class</v>
      </c>
      <c r="AD652" s="3">
        <v>5</v>
      </c>
      <c r="AE652" s="3">
        <v>2868.44</v>
      </c>
      <c r="AF652" s="3">
        <v>0.1</v>
      </c>
      <c r="AG652" s="17">
        <v>0.1</v>
      </c>
      <c r="AH652" s="6" t="str">
        <f t="shared" si="83"/>
        <v>Valid</v>
      </c>
      <c r="AI652" s="3">
        <v>12907.98</v>
      </c>
      <c r="AJ652" s="3">
        <v>9197.08</v>
      </c>
      <c r="AK652" s="3">
        <v>3710.9</v>
      </c>
      <c r="AL652" s="3" t="s">
        <v>137</v>
      </c>
      <c r="AM652" s="6" t="str">
        <f>PROPER(TRIM(SUBSTITUTE(AL652,".","")))</f>
        <v>Pending</v>
      </c>
      <c r="AN652" s="3" t="s">
        <v>78</v>
      </c>
      <c r="AO652" s="8" t="str">
        <f>PROPER(TRIM(SUBSTITUTE(AN652,".","")))</f>
        <v>Cancelled</v>
      </c>
      <c r="AP652" t="str">
        <f>IF(COUNTIF($A$2:$A$933, A652) &gt; 1, "Duplicate ID", "Unique")</f>
        <v>Unique</v>
      </c>
      <c r="AR652">
        <f t="shared" si="84"/>
        <v>12907.980000000001</v>
      </c>
      <c r="AS652">
        <f t="shared" si="85"/>
        <v>3710.9000000000015</v>
      </c>
      <c r="AT652" s="15">
        <f t="shared" si="86"/>
        <v>0.28748882474252369</v>
      </c>
      <c r="AU652" t="str">
        <f t="shared" si="87"/>
        <v>Clean</v>
      </c>
      <c r="AV652" s="8" t="str">
        <f t="shared" si="88"/>
        <v>Cancelled</v>
      </c>
    </row>
    <row r="653" spans="1:48">
      <c r="A653" s="3" t="s">
        <v>1788</v>
      </c>
      <c r="B653" s="3" t="s">
        <v>1789</v>
      </c>
      <c r="C653" s="9">
        <f>IFERROR(DATEVALUE(TEXT(B653,"DD/MM/YYYY")), IF(ISNUMBER(B653), B653, ""))</f>
        <v>45835</v>
      </c>
      <c r="D653" s="9" t="str">
        <f>IF(B653="","Missing", IF(AND(ISNUMBER(B653)=FALSE, C653=""),"Invalid - Could Not Parse", IF(AND(ISNUMBER(B653)=FALSE, C653&lt;&gt;""),"Text - Converted to Date", IF(ISNUMBER(B653),"Valid","Check"))))</f>
        <v>Text - Converted to Date</v>
      </c>
      <c r="E653" s="5">
        <f t="shared" si="81"/>
        <v>6</v>
      </c>
      <c r="F653" s="5">
        <f t="shared" si="82"/>
        <v>2025</v>
      </c>
      <c r="G653" s="3" t="s">
        <v>1790</v>
      </c>
      <c r="H653" s="9">
        <f>IFERROR(DATEVALUE(TEXT(G653,"DD/MM/YYYY")), IF(ISNUMBER(G653), G653, ""))</f>
        <v>45837</v>
      </c>
      <c r="I653" s="9" t="str">
        <f>IF(G653="","Missing", IF(AND(ISNUMBER(G653)=FALSE, H653=""),"Invalid - Could Not Parse", IF(AND(ISNUMBER(G653)=FALSE, H653&lt;&gt;""),"Text - Converted to Date", IF(ISNUMBER(G653),"Valid","Check"))))</f>
        <v>Text - Converted to Date</v>
      </c>
      <c r="J653" s="9" t="str">
        <f>IF(OR(C653="", H653=""), "Cannot Check - Date Missing", IF(H653&lt;C653, "Invalid - Ship Before Order", "Valid"))</f>
        <v>Valid</v>
      </c>
      <c r="K653" s="5">
        <f>IF(OR(C653="", H653=""), "", IF(H653&lt;C653, "", H653-C653))</f>
        <v>2</v>
      </c>
      <c r="L653" s="3" t="s">
        <v>1791</v>
      </c>
      <c r="M653" s="3" t="s">
        <v>180</v>
      </c>
      <c r="N653" s="4" t="str">
        <f>TRIM(SUBSTITUTE(M653,"_"," "))</f>
        <v>Rohan Mehta</v>
      </c>
      <c r="O653" s="3" t="s">
        <v>115</v>
      </c>
      <c r="P653" s="6" t="str">
        <f>PROPER(TRIM(SUBSTITUTE(O653,".","")))</f>
        <v>Home Office</v>
      </c>
      <c r="Q653" s="3" t="s">
        <v>62</v>
      </c>
      <c r="R653" s="7" t="str">
        <f>PROPER(TRIM(SUBSTITUTE(Q653,"  "," ")))</f>
        <v>South</v>
      </c>
      <c r="S653" s="3" t="s">
        <v>63</v>
      </c>
      <c r="T653" s="6" t="str">
        <f>PROPER(TRIM(SUBSTITUTE(S653,"  "," ")))</f>
        <v>Telangana</v>
      </c>
      <c r="U653" s="3" t="s">
        <v>64</v>
      </c>
      <c r="V653" s="6" t="str">
        <f>PROPER(TRIM(SUBSTITUTE(U653,"  "," ")))</f>
        <v>Hyderabad</v>
      </c>
      <c r="W653" s="3" t="s">
        <v>45</v>
      </c>
      <c r="X653" s="6" t="str">
        <f>PROPER(TRIM(SUBSTITUTE(W653,"  "," ")))</f>
        <v>Furniture</v>
      </c>
      <c r="Y653" s="3" t="s">
        <v>76</v>
      </c>
      <c r="Z653" s="6" t="str">
        <f>PROPER(TRIM(SUBSTITUTE(Y653,"  "," ")))</f>
        <v>Chairs</v>
      </c>
      <c r="AA653" s="3" t="s">
        <v>1792</v>
      </c>
      <c r="AB653" s="3" t="s">
        <v>56</v>
      </c>
      <c r="AC653" s="6" t="str">
        <f>PROPER(TRIM(SUBSTITUTE(AB653,"  "," ")))</f>
        <v>First Class</v>
      </c>
      <c r="AD653" s="3">
        <v>5</v>
      </c>
      <c r="AE653" s="3">
        <v>621.70000000000005</v>
      </c>
      <c r="AF653" s="3">
        <v>0.2</v>
      </c>
      <c r="AG653" s="17">
        <v>0.2</v>
      </c>
      <c r="AH653" s="6" t="str">
        <f t="shared" si="83"/>
        <v>Valid</v>
      </c>
      <c r="AI653" s="3">
        <v>2486.8000000000002</v>
      </c>
      <c r="AJ653" s="3">
        <v>2131.73</v>
      </c>
      <c r="AK653" s="3">
        <v>355.07</v>
      </c>
      <c r="AL653" s="3" t="s">
        <v>137</v>
      </c>
      <c r="AM653" s="6" t="str">
        <f>PROPER(TRIM(SUBSTITUTE(AL653,".","")))</f>
        <v>Pending</v>
      </c>
      <c r="AN653" s="3" t="s">
        <v>125</v>
      </c>
      <c r="AO653" s="8" t="str">
        <f>PROPER(TRIM(SUBSTITUTE(AN653,".","")))</f>
        <v>Returned</v>
      </c>
      <c r="AP653" t="str">
        <f>IF(COUNTIF($A$2:$A$933, A653) &gt; 1, "Duplicate ID", "Unique")</f>
        <v>Unique</v>
      </c>
      <c r="AR653">
        <f t="shared" si="84"/>
        <v>2486.8000000000002</v>
      </c>
      <c r="AS653">
        <f t="shared" si="85"/>
        <v>355.07000000000016</v>
      </c>
      <c r="AT653" s="15">
        <f t="shared" si="86"/>
        <v>0.1427818883705968</v>
      </c>
      <c r="AU653" t="str">
        <f t="shared" si="87"/>
        <v>Clean</v>
      </c>
      <c r="AV653" s="8" t="str">
        <f t="shared" si="88"/>
        <v>Active</v>
      </c>
    </row>
    <row r="654" spans="1:48">
      <c r="A654" s="3" t="s">
        <v>2490</v>
      </c>
      <c r="B654" s="3" t="s">
        <v>997</v>
      </c>
      <c r="C654" s="9">
        <f>IFERROR(DATEVALUE(TEXT(B654,"DD/MM/YYYY")), IF(ISNUMBER(B654), B654, ""))</f>
        <v>45835</v>
      </c>
      <c r="D654" s="9" t="str">
        <f>IF(B654="","Missing", IF(AND(ISNUMBER(B654)=FALSE, C654=""),"Invalid - Could Not Parse", IF(AND(ISNUMBER(B654)=FALSE, C654&lt;&gt;""),"Text - Converted to Date", IF(ISNUMBER(B654),"Valid","Check"))))</f>
        <v>Text - Converted to Date</v>
      </c>
      <c r="E654" s="5">
        <f t="shared" si="81"/>
        <v>6</v>
      </c>
      <c r="F654" s="5">
        <f t="shared" si="82"/>
        <v>2025</v>
      </c>
      <c r="G654" s="3" t="s">
        <v>2397</v>
      </c>
      <c r="H654" s="9">
        <f>IFERROR(DATEVALUE(TEXT(G654,"DD/MM/YYYY")), IF(ISNUMBER(G654), G654, ""))</f>
        <v>45695</v>
      </c>
      <c r="I654" s="9" t="str">
        <f>IF(G654="","Missing", IF(AND(ISNUMBER(G654)=FALSE, H654=""),"Invalid - Could Not Parse", IF(AND(ISNUMBER(G654)=FALSE, H654&lt;&gt;""),"Text - Converted to Date", IF(ISNUMBER(G654),"Valid","Check"))))</f>
        <v>Text - Converted to Date</v>
      </c>
      <c r="J654" s="9" t="str">
        <f>IF(OR(C654="", H654=""), "Cannot Check - Date Missing", IF(H654&lt;C654, "Invalid - Ship Before Order", "Valid"))</f>
        <v>Invalid - Ship Before Order</v>
      </c>
      <c r="K654" s="5" t="str">
        <f>IF(OR(C654="", H654=""), "", IF(H654&lt;C654, "", H654-C654))</f>
        <v/>
      </c>
      <c r="L654" s="3" t="s">
        <v>2491</v>
      </c>
      <c r="M654" s="3" t="s">
        <v>162</v>
      </c>
      <c r="N654" s="4" t="str">
        <f>TRIM(SUBSTITUTE(M654,"_"," "))</f>
        <v>Aarav Sharma</v>
      </c>
      <c r="O654" s="3" t="s">
        <v>108</v>
      </c>
      <c r="P654" s="6" t="str">
        <f>PROPER(TRIM(SUBSTITUTE(O654,".","")))</f>
        <v>Corporate</v>
      </c>
      <c r="Q654" s="3" t="s">
        <v>62</v>
      </c>
      <c r="R654" s="7" t="str">
        <f>PROPER(TRIM(SUBSTITUTE(Q654,"  "," ")))</f>
        <v>South</v>
      </c>
      <c r="S654" s="3" t="s">
        <v>242</v>
      </c>
      <c r="T654" s="6" t="str">
        <f>PROPER(TRIM(SUBSTITUTE(S654,"  "," ")))</f>
        <v>Kerala</v>
      </c>
      <c r="U654" s="3" t="s">
        <v>243</v>
      </c>
      <c r="V654" s="6" t="str">
        <f>PROPER(TRIM(SUBSTITUTE(U654,"  "," ")))</f>
        <v>Kochi</v>
      </c>
      <c r="W654" s="3" t="s">
        <v>86</v>
      </c>
      <c r="X654" s="6" t="str">
        <f>PROPER(TRIM(SUBSTITUTE(W654,"  "," ")))</f>
        <v>Technology</v>
      </c>
      <c r="Y654" s="3" t="s">
        <v>87</v>
      </c>
      <c r="Z654" s="6" t="str">
        <f>PROPER(TRIM(SUBSTITUTE(Y654,"  "," ")))</f>
        <v>Accessories</v>
      </c>
      <c r="AA654" s="3" t="s">
        <v>2492</v>
      </c>
      <c r="AB654" s="3" t="s">
        <v>56</v>
      </c>
      <c r="AC654" s="6" t="str">
        <f>PROPER(TRIM(SUBSTITUTE(AB654,"  "," ")))</f>
        <v>First Class</v>
      </c>
      <c r="AD654" s="3">
        <v>6</v>
      </c>
      <c r="AE654" s="3">
        <v>1099.49</v>
      </c>
      <c r="AF654" s="3">
        <v>0.1</v>
      </c>
      <c r="AG654" s="17">
        <v>0.1</v>
      </c>
      <c r="AH654" s="6" t="str">
        <f t="shared" si="83"/>
        <v>Valid</v>
      </c>
      <c r="AI654" s="3">
        <v>6212.38</v>
      </c>
      <c r="AJ654" s="3">
        <v>4088.46</v>
      </c>
      <c r="AK654" s="3">
        <v>1848.79</v>
      </c>
      <c r="AL654" s="3" t="s">
        <v>34</v>
      </c>
      <c r="AM654" s="6" t="str">
        <f>PROPER(TRIM(SUBSTITUTE(AL654,".","")))</f>
        <v>Paid</v>
      </c>
      <c r="AN654" s="3" t="s">
        <v>35</v>
      </c>
      <c r="AO654" s="8" t="str">
        <f>PROPER(TRIM(SUBSTITUTE(AN654,".","")))</f>
        <v>Completed</v>
      </c>
      <c r="AP654" t="str">
        <f>IF(COUNTIF($A$2:$A$933, A654) &gt; 1, "Duplicate ID", "Unique")</f>
        <v>Unique</v>
      </c>
      <c r="AR654">
        <f t="shared" si="84"/>
        <v>5937.246000000001</v>
      </c>
      <c r="AS654">
        <f t="shared" si="85"/>
        <v>1848.786000000001</v>
      </c>
      <c r="AT654" s="15">
        <f t="shared" si="86"/>
        <v>0.31138780505304997</v>
      </c>
      <c r="AU654" t="str">
        <f t="shared" si="87"/>
        <v>Invalid</v>
      </c>
      <c r="AV654" s="8" t="str">
        <f t="shared" si="88"/>
        <v>Active</v>
      </c>
    </row>
    <row r="655" spans="1:48">
      <c r="A655" s="3" t="s">
        <v>1214</v>
      </c>
      <c r="B655" s="3" t="s">
        <v>1215</v>
      </c>
      <c r="C655" s="9">
        <f>IFERROR(DATEVALUE(TEXT(B655,"DD/MM/YYYY")), IF(ISNUMBER(B655), B655, ""))</f>
        <v>45836</v>
      </c>
      <c r="D655" s="9" t="str">
        <f>IF(B655="","Missing", IF(AND(ISNUMBER(B655)=FALSE, C655=""),"Invalid - Could Not Parse", IF(AND(ISNUMBER(B655)=FALSE, C655&lt;&gt;""),"Text - Converted to Date", IF(ISNUMBER(B655),"Valid","Check"))))</f>
        <v>Text - Converted to Date</v>
      </c>
      <c r="E655" s="5">
        <f t="shared" si="81"/>
        <v>6</v>
      </c>
      <c r="F655" s="5">
        <f t="shared" si="82"/>
        <v>2025</v>
      </c>
      <c r="G655" s="3" t="s">
        <v>1216</v>
      </c>
      <c r="H655" s="9">
        <f>IFERROR(DATEVALUE(TEXT(G655,"DD/MM/YYYY")), IF(ISNUMBER(G655), G655, ""))</f>
        <v>45754</v>
      </c>
      <c r="I655" s="9" t="str">
        <f>IF(G655="","Missing", IF(AND(ISNUMBER(G655)=FALSE, H655=""),"Invalid - Could Not Parse", IF(AND(ISNUMBER(G655)=FALSE, H655&lt;&gt;""),"Text - Converted to Date", IF(ISNUMBER(G655),"Valid","Check"))))</f>
        <v>Text - Converted to Date</v>
      </c>
      <c r="J655" s="9" t="str">
        <f>IF(OR(C655="", H655=""), "Cannot Check - Date Missing", IF(H655&lt;C655, "Invalid - Ship Before Order", "Valid"))</f>
        <v>Invalid - Ship Before Order</v>
      </c>
      <c r="K655" s="5" t="str">
        <f>IF(OR(C655="", H655=""), "", IF(H655&lt;C655, "", H655-C655))</f>
        <v/>
      </c>
      <c r="L655" s="3" t="s">
        <v>1217</v>
      </c>
      <c r="M655" s="3" t="s">
        <v>180</v>
      </c>
      <c r="N655" s="4" t="str">
        <f>TRIM(SUBSTITUTE(M655,"_"," "))</f>
        <v>Rohan Mehta</v>
      </c>
      <c r="O655" s="3" t="s">
        <v>26</v>
      </c>
      <c r="P655" s="6" t="str">
        <f>PROPER(TRIM(SUBSTITUTE(O655,".","")))</f>
        <v>Consumer</v>
      </c>
      <c r="Q655" s="3" t="s">
        <v>62</v>
      </c>
      <c r="R655" s="7" t="str">
        <f>PROPER(TRIM(SUBSTITUTE(Q655,"  "," ")))</f>
        <v>South</v>
      </c>
      <c r="S655" s="3" t="s">
        <v>63</v>
      </c>
      <c r="T655" s="6" t="str">
        <f>PROPER(TRIM(SUBSTITUTE(S655,"  "," ")))</f>
        <v>Telangana</v>
      </c>
      <c r="U655" s="3" t="s">
        <v>64</v>
      </c>
      <c r="V655" s="6" t="str">
        <f>PROPER(TRIM(SUBSTITUTE(U655,"  "," ")))</f>
        <v>Hyderabad</v>
      </c>
      <c r="W655" s="3" t="s">
        <v>45</v>
      </c>
      <c r="X655" s="6" t="str">
        <f>PROPER(TRIM(SUBSTITUTE(W655,"  "," ")))</f>
        <v>Furniture</v>
      </c>
      <c r="Y655" s="3" t="s">
        <v>204</v>
      </c>
      <c r="Z655" s="6" t="str">
        <f>PROPER(TRIM(SUBSTITUTE(Y655,"  "," ")))</f>
        <v>Bookcases</v>
      </c>
      <c r="AA655" s="3" t="s">
        <v>1218</v>
      </c>
      <c r="AB655" s="3" t="s">
        <v>56</v>
      </c>
      <c r="AC655" s="6" t="str">
        <f>PROPER(TRIM(SUBSTITUTE(AB655,"  "," ")))</f>
        <v>First Class</v>
      </c>
      <c r="AD655" s="3">
        <v>3</v>
      </c>
      <c r="AE655" s="3">
        <v>2886.23</v>
      </c>
      <c r="AF655" s="3">
        <v>0</v>
      </c>
      <c r="AG655" s="17">
        <v>0</v>
      </c>
      <c r="AH655" s="6" t="str">
        <f t="shared" si="83"/>
        <v>Valid</v>
      </c>
      <c r="AI655" s="3">
        <v>8658.69</v>
      </c>
      <c r="AJ655" s="3">
        <v>5535.94</v>
      </c>
      <c r="AK655" s="3">
        <v>3122.75</v>
      </c>
      <c r="AL655" s="3" t="s">
        <v>124</v>
      </c>
      <c r="AM655" s="6" t="str">
        <f>PROPER(TRIM(SUBSTITUTE(AL655,".","")))</f>
        <v>Refunded</v>
      </c>
      <c r="AN655" s="3" t="s">
        <v>125</v>
      </c>
      <c r="AO655" s="8" t="str">
        <f>PROPER(TRIM(SUBSTITUTE(AN655,".","")))</f>
        <v>Returned</v>
      </c>
      <c r="AP655" t="str">
        <f>IF(COUNTIF($A$2:$A$933, A655) &gt; 1, "Duplicate ID", "Unique")</f>
        <v>Unique</v>
      </c>
      <c r="AR655">
        <f t="shared" si="84"/>
        <v>8658.69</v>
      </c>
      <c r="AS655">
        <f t="shared" si="85"/>
        <v>3122.7500000000009</v>
      </c>
      <c r="AT655" s="15">
        <f t="shared" si="86"/>
        <v>0.36064924370776652</v>
      </c>
      <c r="AU655" t="str">
        <f t="shared" si="87"/>
        <v>Invalid</v>
      </c>
      <c r="AV655" s="8" t="str">
        <f t="shared" si="88"/>
        <v>Refund</v>
      </c>
    </row>
    <row r="656" spans="1:48">
      <c r="A656" s="3" t="s">
        <v>1907</v>
      </c>
      <c r="B656" s="3" t="s">
        <v>1517</v>
      </c>
      <c r="C656" s="9">
        <f>IFERROR(DATEVALUE(TEXT(B656,"DD/MM/YYYY")), IF(ISNUMBER(B656), B656, ""))</f>
        <v>45836</v>
      </c>
      <c r="D656" s="9" t="str">
        <f>IF(B656="","Missing", IF(AND(ISNUMBER(B656)=FALSE, C656=""),"Invalid - Could Not Parse", IF(AND(ISNUMBER(B656)=FALSE, C656&lt;&gt;""),"Text - Converted to Date", IF(ISNUMBER(B656),"Valid","Check"))))</f>
        <v>Text - Converted to Date</v>
      </c>
      <c r="E656" s="5">
        <f t="shared" si="81"/>
        <v>6</v>
      </c>
      <c r="F656" s="5">
        <f t="shared" si="82"/>
        <v>2025</v>
      </c>
      <c r="G656" s="3" t="s">
        <v>1075</v>
      </c>
      <c r="H656" s="9">
        <f>IFERROR(DATEVALUE(TEXT(G656,"DD/MM/YYYY")), IF(ISNUMBER(G656), G656, ""))</f>
        <v>45843</v>
      </c>
      <c r="I656" s="9" t="str">
        <f>IF(G656="","Missing", IF(AND(ISNUMBER(G656)=FALSE, H656=""),"Invalid - Could Not Parse", IF(AND(ISNUMBER(G656)=FALSE, H656&lt;&gt;""),"Text - Converted to Date", IF(ISNUMBER(G656),"Valid","Check"))))</f>
        <v>Text - Converted to Date</v>
      </c>
      <c r="J656" s="9" t="str">
        <f>IF(OR(C656="", H656=""), "Cannot Check - Date Missing", IF(H656&lt;C656, "Invalid - Ship Before Order", "Valid"))</f>
        <v>Valid</v>
      </c>
      <c r="K656" s="5">
        <f>IF(OR(C656="", H656=""), "", IF(H656&lt;C656, "", H656-C656))</f>
        <v>7</v>
      </c>
      <c r="L656" s="3" t="s">
        <v>1908</v>
      </c>
      <c r="M656" s="3" t="s">
        <v>83</v>
      </c>
      <c r="N656" s="4" t="str">
        <f>TRIM(SUBSTITUTE(M656,"_"," "))</f>
        <v>Vikram Iyer</v>
      </c>
      <c r="O656" s="3" t="s">
        <v>108</v>
      </c>
      <c r="P656" s="6" t="str">
        <f>PROPER(TRIM(SUBSTITUTE(O656,".","")))</f>
        <v>Corporate</v>
      </c>
      <c r="Q656" s="3" t="s">
        <v>42</v>
      </c>
      <c r="R656" s="7" t="str">
        <f>PROPER(TRIM(SUBSTITUTE(Q656,"  "," ")))</f>
        <v>East</v>
      </c>
      <c r="S656" s="3" t="s">
        <v>121</v>
      </c>
      <c r="T656" s="6" t="str">
        <f>PROPER(TRIM(SUBSTITUTE(S656,"  "," ")))</f>
        <v>West Bengal</v>
      </c>
      <c r="U656" s="3" t="s">
        <v>122</v>
      </c>
      <c r="V656" s="6" t="str">
        <f>PROPER(TRIM(SUBSTITUTE(U656,"  "," ")))</f>
        <v>Kolkata</v>
      </c>
      <c r="W656" s="3" t="s">
        <v>30</v>
      </c>
      <c r="X656" s="6" t="str">
        <f>PROPER(TRIM(SUBSTITUTE(W656,"  "," ")))</f>
        <v>Office Supplies</v>
      </c>
      <c r="Y656" s="3" t="s">
        <v>54</v>
      </c>
      <c r="Z656" s="6" t="str">
        <f>PROPER(TRIM(SUBSTITUTE(Y656,"  "," ")))</f>
        <v>Art</v>
      </c>
      <c r="AA656" s="3" t="s">
        <v>1909</v>
      </c>
      <c r="AB656" s="3" t="s">
        <v>56</v>
      </c>
      <c r="AC656" s="6" t="str">
        <f>PROPER(TRIM(SUBSTITUTE(AB656,"  "," ")))</f>
        <v>First Class</v>
      </c>
      <c r="AD656" s="3">
        <v>2</v>
      </c>
      <c r="AE656" s="3">
        <v>2242.75</v>
      </c>
      <c r="AF656" s="3">
        <v>0</v>
      </c>
      <c r="AG656" s="17">
        <v>0</v>
      </c>
      <c r="AH656" s="6" t="str">
        <f t="shared" si="83"/>
        <v>Valid</v>
      </c>
      <c r="AI656" s="3">
        <v>4485.5</v>
      </c>
      <c r="AJ656" s="3">
        <v>3131.86</v>
      </c>
      <c r="AK656" s="3">
        <v>1353.64</v>
      </c>
      <c r="AL656" s="3" t="s">
        <v>34</v>
      </c>
      <c r="AM656" s="6" t="str">
        <f>PROPER(TRIM(SUBSTITUTE(AL656,".","")))</f>
        <v>Paid</v>
      </c>
      <c r="AN656" s="3" t="s">
        <v>78</v>
      </c>
      <c r="AO656" s="8" t="str">
        <f>PROPER(TRIM(SUBSTITUTE(AN656,".","")))</f>
        <v>Cancelled</v>
      </c>
      <c r="AP656" t="str">
        <f>IF(COUNTIF($A$2:$A$933, A656) &gt; 1, "Duplicate ID", "Unique")</f>
        <v>Unique</v>
      </c>
      <c r="AR656">
        <f t="shared" si="84"/>
        <v>4485.5</v>
      </c>
      <c r="AS656">
        <f t="shared" si="85"/>
        <v>1353.6399999999999</v>
      </c>
      <c r="AT656" s="15">
        <f t="shared" si="86"/>
        <v>0.30178129528480657</v>
      </c>
      <c r="AU656" t="str">
        <f t="shared" si="87"/>
        <v>Clean</v>
      </c>
      <c r="AV656" s="8" t="str">
        <f t="shared" si="88"/>
        <v>Cancelled</v>
      </c>
    </row>
    <row r="657" spans="1:48">
      <c r="A657" s="3" t="s">
        <v>2395</v>
      </c>
      <c r="B657" s="3" t="s">
        <v>2396</v>
      </c>
      <c r="C657" s="9">
        <f>IFERROR(DATEVALUE(TEXT(B657,"DD/MM/YYYY")), IF(ISNUMBER(B657), B657, ""))</f>
        <v>45836</v>
      </c>
      <c r="D657" s="9" t="str">
        <f>IF(B657="","Missing", IF(AND(ISNUMBER(B657)=FALSE, C657=""),"Invalid - Could Not Parse", IF(AND(ISNUMBER(B657)=FALSE, C657&lt;&gt;""),"Text - Converted to Date", IF(ISNUMBER(B657),"Valid","Check"))))</f>
        <v>Text - Converted to Date</v>
      </c>
      <c r="E657" s="5">
        <f t="shared" si="81"/>
        <v>6</v>
      </c>
      <c r="F657" s="5">
        <f t="shared" si="82"/>
        <v>2025</v>
      </c>
      <c r="G657" s="3" t="s">
        <v>2397</v>
      </c>
      <c r="H657" s="9">
        <f>IFERROR(DATEVALUE(TEXT(G657,"DD/MM/YYYY")), IF(ISNUMBER(G657), G657, ""))</f>
        <v>45695</v>
      </c>
      <c r="I657" s="9" t="str">
        <f>IF(G657="","Missing", IF(AND(ISNUMBER(G657)=FALSE, H657=""),"Invalid - Could Not Parse", IF(AND(ISNUMBER(G657)=FALSE, H657&lt;&gt;""),"Text - Converted to Date", IF(ISNUMBER(G657),"Valid","Check"))))</f>
        <v>Text - Converted to Date</v>
      </c>
      <c r="J657" s="9" t="str">
        <f>IF(OR(C657="", H657=""), "Cannot Check - Date Missing", IF(H657&lt;C657, "Invalid - Ship Before Order", "Valid"))</f>
        <v>Invalid - Ship Before Order</v>
      </c>
      <c r="K657" s="5" t="str">
        <f>IF(OR(C657="", H657=""), "", IF(H657&lt;C657, "", H657-C657))</f>
        <v/>
      </c>
      <c r="L657" s="3" t="s">
        <v>2398</v>
      </c>
      <c r="M657" s="3" t="s">
        <v>72</v>
      </c>
      <c r="N657" s="4" t="str">
        <f>TRIM(SUBSTITUTE(M657,"_"," "))</f>
        <v>Ananya Rao</v>
      </c>
      <c r="O657" s="3" t="s">
        <v>108</v>
      </c>
      <c r="P657" s="6" t="str">
        <f>PROPER(TRIM(SUBSTITUTE(O657,".","")))</f>
        <v>Corporate</v>
      </c>
      <c r="Q657" s="3" t="s">
        <v>62</v>
      </c>
      <c r="R657" s="7" t="str">
        <f>PROPER(TRIM(SUBSTITUTE(Q657,"  "," ")))</f>
        <v>South</v>
      </c>
      <c r="S657" s="3" t="s">
        <v>100</v>
      </c>
      <c r="T657" s="6" t="str">
        <f>PROPER(TRIM(SUBSTITUTE(S657,"  "," ")))</f>
        <v>Andhra Pradesh</v>
      </c>
      <c r="U657" s="3" t="s">
        <v>101</v>
      </c>
      <c r="V657" s="6" t="str">
        <f>PROPER(TRIM(SUBSTITUTE(U657,"  "," ")))</f>
        <v>Vijayawada</v>
      </c>
      <c r="W657" s="3" t="s">
        <v>30</v>
      </c>
      <c r="X657" s="6" t="str">
        <f>PROPER(TRIM(SUBSTITUTE(W657,"  "," ")))</f>
        <v>Office Supplies</v>
      </c>
      <c r="Y657" s="3" t="s">
        <v>156</v>
      </c>
      <c r="Z657" s="6" t="str">
        <f>PROPER(TRIM(SUBSTITUTE(Y657,"  "," ")))</f>
        <v>Storage</v>
      </c>
      <c r="AA657" s="3" t="s">
        <v>2399</v>
      </c>
      <c r="AB657" s="3" t="s">
        <v>33</v>
      </c>
      <c r="AC657" s="6" t="str">
        <f>PROPER(TRIM(SUBSTITUTE(AB657,"  "," ")))</f>
        <v>Second Class</v>
      </c>
      <c r="AD657" s="3">
        <v>2</v>
      </c>
      <c r="AE657" s="3">
        <v>2725.44</v>
      </c>
      <c r="AF657" s="3">
        <v>0.25</v>
      </c>
      <c r="AG657" s="17">
        <v>0.25</v>
      </c>
      <c r="AH657" s="6" t="str">
        <f t="shared" si="83"/>
        <v>Valid</v>
      </c>
      <c r="AI657" s="3">
        <v>4088.16</v>
      </c>
      <c r="AJ657" s="3">
        <v>3205.68</v>
      </c>
      <c r="AK657" s="3">
        <v>882.48</v>
      </c>
      <c r="AL657" s="3" t="s">
        <v>34</v>
      </c>
      <c r="AM657" s="6" t="str">
        <f>PROPER(TRIM(SUBSTITUTE(AL657,".","")))</f>
        <v>Paid</v>
      </c>
      <c r="AN657" s="3" t="s">
        <v>35</v>
      </c>
      <c r="AO657" s="8" t="str">
        <f>PROPER(TRIM(SUBSTITUTE(AN657,".","")))</f>
        <v>Completed</v>
      </c>
      <c r="AP657" t="str">
        <f>IF(COUNTIF($A$2:$A$933, A657) &gt; 1, "Duplicate ID", "Unique")</f>
        <v>Unique</v>
      </c>
      <c r="AR657">
        <f t="shared" si="84"/>
        <v>4088.16</v>
      </c>
      <c r="AS657">
        <f t="shared" si="85"/>
        <v>882.48</v>
      </c>
      <c r="AT657" s="15">
        <f t="shared" si="86"/>
        <v>0.21586239286133616</v>
      </c>
      <c r="AU657" t="str">
        <f t="shared" si="87"/>
        <v>Invalid</v>
      </c>
      <c r="AV657" s="8" t="str">
        <f t="shared" si="88"/>
        <v>Active</v>
      </c>
    </row>
    <row r="658" spans="1:48">
      <c r="A658" s="3" t="s">
        <v>3542</v>
      </c>
      <c r="B658" s="3" t="s">
        <v>3543</v>
      </c>
      <c r="C658" s="9">
        <f>IFERROR(DATEVALUE(TEXT(B658,"DD/MM/YYYY")), IF(ISNUMBER(B658), B658, ""))</f>
        <v>45837</v>
      </c>
      <c r="D658" s="9" t="str">
        <f>IF(B658="","Missing", IF(AND(ISNUMBER(B658)=FALSE, C658=""),"Invalid - Could Not Parse", IF(AND(ISNUMBER(B658)=FALSE, C658&lt;&gt;""),"Text - Converted to Date", IF(ISNUMBER(B658),"Valid","Check"))))</f>
        <v>Text - Converted to Date</v>
      </c>
      <c r="E658" s="5">
        <f t="shared" si="81"/>
        <v>6</v>
      </c>
      <c r="F658" s="5">
        <f t="shared" si="82"/>
        <v>2025</v>
      </c>
      <c r="G658" s="3" t="s">
        <v>3544</v>
      </c>
      <c r="H658" s="9">
        <f>IFERROR(DATEVALUE(TEXT(G658,"DD/MM/YYYY")), IF(ISNUMBER(G658), G658, ""))</f>
        <v>45841</v>
      </c>
      <c r="I658" s="9" t="str">
        <f>IF(G658="","Missing", IF(AND(ISNUMBER(G658)=FALSE, H658=""),"Invalid - Could Not Parse", IF(AND(ISNUMBER(G658)=FALSE, H658&lt;&gt;""),"Text - Converted to Date", IF(ISNUMBER(G658),"Valid","Check"))))</f>
        <v>Text - Converted to Date</v>
      </c>
      <c r="J658" s="9" t="str">
        <f>IF(OR(C658="", H658=""), "Cannot Check - Date Missing", IF(H658&lt;C658, "Invalid - Ship Before Order", "Valid"))</f>
        <v>Valid</v>
      </c>
      <c r="K658" s="5">
        <f>IF(OR(C658="", H658=""), "", IF(H658&lt;C658, "", H658-C658))</f>
        <v>4</v>
      </c>
      <c r="L658" s="3" t="s">
        <v>3545</v>
      </c>
      <c r="M658" s="3" t="s">
        <v>83</v>
      </c>
      <c r="N658" s="4" t="str">
        <f>TRIM(SUBSTITUTE(M658,"_"," "))</f>
        <v>Vikram Iyer</v>
      </c>
      <c r="O658" s="3" t="s">
        <v>108</v>
      </c>
      <c r="P658" s="6" t="str">
        <f>PROPER(TRIM(SUBSTITUTE(O658,".","")))</f>
        <v>Corporate</v>
      </c>
      <c r="Q658" s="3" t="s">
        <v>42</v>
      </c>
      <c r="R658" s="7" t="str">
        <f>PROPER(TRIM(SUBSTITUTE(Q658,"  "," ")))</f>
        <v>East</v>
      </c>
      <c r="S658" s="3" t="s">
        <v>311</v>
      </c>
      <c r="T658" s="6" t="str">
        <f>PROPER(TRIM(SUBSTITUTE(S658,"  "," ")))</f>
        <v>Jharkhand</v>
      </c>
      <c r="U658" s="3" t="s">
        <v>312</v>
      </c>
      <c r="V658" s="6" t="str">
        <f>PROPER(TRIM(SUBSTITUTE(U658,"  "," ")))</f>
        <v>Ranchi</v>
      </c>
      <c r="W658" s="3" t="s">
        <v>30</v>
      </c>
      <c r="X658" s="6" t="str">
        <f>PROPER(TRIM(SUBSTITUTE(W658,"  "," ")))</f>
        <v>Office Supplies</v>
      </c>
      <c r="Y658" s="3" t="s">
        <v>109</v>
      </c>
      <c r="Z658" s="6" t="str">
        <f>PROPER(TRIM(SUBSTITUTE(Y658,"  "," ")))</f>
        <v>Labels</v>
      </c>
      <c r="AA658" s="3" t="s">
        <v>3546</v>
      </c>
      <c r="AB658" s="3" t="s">
        <v>56</v>
      </c>
      <c r="AC658" s="6" t="str">
        <f>PROPER(TRIM(SUBSTITUTE(AB658,"  "," ")))</f>
        <v>First Class</v>
      </c>
      <c r="AD658" s="3">
        <v>3</v>
      </c>
      <c r="AE658" s="3">
        <v>608.14</v>
      </c>
      <c r="AF658" s="3">
        <v>0</v>
      </c>
      <c r="AG658" s="17">
        <v>0</v>
      </c>
      <c r="AH658" s="6" t="str">
        <f t="shared" si="83"/>
        <v>Valid</v>
      </c>
      <c r="AI658" s="3">
        <v>1824.42</v>
      </c>
      <c r="AJ658" s="3">
        <v>1214.8699999999999</v>
      </c>
      <c r="AK658" s="3">
        <v>609.54999999999995</v>
      </c>
      <c r="AL658" s="3" t="s">
        <v>34</v>
      </c>
      <c r="AM658" s="6" t="str">
        <f>PROPER(TRIM(SUBSTITUTE(AL658,".","")))</f>
        <v>Paid</v>
      </c>
      <c r="AN658" s="3" t="s">
        <v>35</v>
      </c>
      <c r="AO658" s="8" t="str">
        <f>PROPER(TRIM(SUBSTITUTE(AN658,".","")))</f>
        <v>Completed</v>
      </c>
      <c r="AP658" t="str">
        <f>IF(COUNTIF($A$2:$A$933, A658) &gt; 1, "Duplicate ID", "Unique")</f>
        <v>Unique</v>
      </c>
      <c r="AR658">
        <f t="shared" si="84"/>
        <v>1824.42</v>
      </c>
      <c r="AS658">
        <f t="shared" si="85"/>
        <v>609.55000000000018</v>
      </c>
      <c r="AT658" s="15">
        <f t="shared" si="86"/>
        <v>0.33410618169061956</v>
      </c>
      <c r="AU658" t="str">
        <f t="shared" si="87"/>
        <v>Clean</v>
      </c>
      <c r="AV658" s="8" t="str">
        <f t="shared" si="88"/>
        <v>Active</v>
      </c>
    </row>
    <row r="659" spans="1:48">
      <c r="A659" s="3" t="s">
        <v>2164</v>
      </c>
      <c r="B659" s="3" t="s">
        <v>2165</v>
      </c>
      <c r="C659" s="9">
        <f>IFERROR(DATEVALUE(TEXT(B659,"DD/MM/YYYY")), IF(ISNUMBER(B659), B659, ""))</f>
        <v>45838</v>
      </c>
      <c r="D659" s="9" t="str">
        <f>IF(B659="","Missing", IF(AND(ISNUMBER(B659)=FALSE, C659=""),"Invalid - Could Not Parse", IF(AND(ISNUMBER(B659)=FALSE, C659&lt;&gt;""),"Text - Converted to Date", IF(ISNUMBER(B659),"Valid","Check"))))</f>
        <v>Text - Converted to Date</v>
      </c>
      <c r="E659" s="5">
        <f t="shared" si="81"/>
        <v>6</v>
      </c>
      <c r="F659" s="5">
        <f t="shared" si="82"/>
        <v>2025</v>
      </c>
      <c r="G659" s="3" t="s">
        <v>2166</v>
      </c>
      <c r="H659" s="9">
        <f>IFERROR(DATEVALUE(TEXT(G659,"DD/MM/YYYY")), IF(ISNUMBER(G659), G659, ""))</f>
        <v>45841</v>
      </c>
      <c r="I659" s="9" t="str">
        <f>IF(G659="","Missing", IF(AND(ISNUMBER(G659)=FALSE, H659=""),"Invalid - Could Not Parse", IF(AND(ISNUMBER(G659)=FALSE, H659&lt;&gt;""),"Text - Converted to Date", IF(ISNUMBER(G659),"Valid","Check"))))</f>
        <v>Text - Converted to Date</v>
      </c>
      <c r="J659" s="9" t="str">
        <f>IF(OR(C659="", H659=""), "Cannot Check - Date Missing", IF(H659&lt;C659, "Invalid - Ship Before Order", "Valid"))</f>
        <v>Valid</v>
      </c>
      <c r="K659" s="5">
        <f>IF(OR(C659="", H659=""), "", IF(H659&lt;C659, "", H659-C659))</f>
        <v>3</v>
      </c>
      <c r="L659" s="3" t="s">
        <v>2167</v>
      </c>
      <c r="M659" s="3" t="s">
        <v>162</v>
      </c>
      <c r="N659" s="4" t="str">
        <f>TRIM(SUBSTITUTE(M659,"_"," "))</f>
        <v>Aarav Sharma</v>
      </c>
      <c r="O659" s="3" t="s">
        <v>115</v>
      </c>
      <c r="P659" s="6" t="str">
        <f>PROPER(TRIM(SUBSTITUTE(O659,".","")))</f>
        <v>Home Office</v>
      </c>
      <c r="Q659" s="3" t="s">
        <v>73</v>
      </c>
      <c r="R659" s="7" t="str">
        <f>PROPER(TRIM(SUBSTITUTE(Q659,"  "," ")))</f>
        <v>West</v>
      </c>
      <c r="S659" s="3" t="s">
        <v>249</v>
      </c>
      <c r="T659" s="6" t="str">
        <f>PROPER(TRIM(SUBSTITUTE(S659,"  "," ")))</f>
        <v>Goa</v>
      </c>
      <c r="U659" s="3" t="s">
        <v>250</v>
      </c>
      <c r="V659" s="6" t="str">
        <f>PROPER(TRIM(SUBSTITUTE(U659,"  "," ")))</f>
        <v>Panaji</v>
      </c>
      <c r="W659" s="3" t="s">
        <v>30</v>
      </c>
      <c r="X659" s="6" t="str">
        <f>PROPER(TRIM(SUBSTITUTE(W659,"  "," ")))</f>
        <v>Office Supplies</v>
      </c>
      <c r="Y659" s="3" t="s">
        <v>156</v>
      </c>
      <c r="Z659" s="6" t="str">
        <f>PROPER(TRIM(SUBSTITUTE(Y659,"  "," ")))</f>
        <v>Storage</v>
      </c>
      <c r="AA659" s="3" t="s">
        <v>2168</v>
      </c>
      <c r="AB659" s="3" t="s">
        <v>48</v>
      </c>
      <c r="AC659" s="6" t="str">
        <f>PROPER(TRIM(SUBSTITUTE(AB659,"  "," ")))</f>
        <v>Same Day</v>
      </c>
      <c r="AD659" s="3">
        <v>5</v>
      </c>
      <c r="AE659" s="3">
        <v>665.25</v>
      </c>
      <c r="AF659" s="3">
        <v>0</v>
      </c>
      <c r="AG659" s="17">
        <v>0</v>
      </c>
      <c r="AH659" s="6" t="str">
        <f t="shared" si="83"/>
        <v>Valid</v>
      </c>
      <c r="AI659" s="3">
        <v>3326.25</v>
      </c>
      <c r="AJ659" s="3">
        <v>2689.36</v>
      </c>
      <c r="AK659" s="3">
        <v>636.89</v>
      </c>
      <c r="AL659" s="3" t="s">
        <v>124</v>
      </c>
      <c r="AM659" s="6" t="str">
        <f>PROPER(TRIM(SUBSTITUTE(AL659,".","")))</f>
        <v>Refunded</v>
      </c>
      <c r="AN659" s="3" t="s">
        <v>125</v>
      </c>
      <c r="AO659" s="8" t="str">
        <f>PROPER(TRIM(SUBSTITUTE(AN659,".","")))</f>
        <v>Returned</v>
      </c>
      <c r="AP659" t="str">
        <f>IF(COUNTIF($A$2:$A$933, A659) &gt; 1, "Duplicate ID", "Unique")</f>
        <v>Unique</v>
      </c>
      <c r="AR659">
        <f t="shared" si="84"/>
        <v>3326.25</v>
      </c>
      <c r="AS659">
        <f t="shared" si="85"/>
        <v>636.88999999999987</v>
      </c>
      <c r="AT659" s="15">
        <f t="shared" si="86"/>
        <v>0.19147388199924836</v>
      </c>
      <c r="AU659" t="str">
        <f t="shared" si="87"/>
        <v>Clean</v>
      </c>
      <c r="AV659" s="8" t="str">
        <f t="shared" si="88"/>
        <v>Refund</v>
      </c>
    </row>
    <row r="660" spans="1:48">
      <c r="A660" s="3" t="s">
        <v>378</v>
      </c>
      <c r="B660" s="3" t="s">
        <v>379</v>
      </c>
      <c r="C660" s="9">
        <f>IFERROR(DATEVALUE(TEXT(B660,"DD/MM/YYYY")), IF(ISNUMBER(B660), B660, ""))</f>
        <v>45839</v>
      </c>
      <c r="D660" s="9" t="str">
        <f>IF(B660="","Missing", IF(AND(ISNUMBER(B660)=FALSE, C660=""),"Invalid - Could Not Parse", IF(AND(ISNUMBER(B660)=FALSE, C660&lt;&gt;""),"Text - Converted to Date", IF(ISNUMBER(B660),"Valid","Check"))))</f>
        <v>Text - Converted to Date</v>
      </c>
      <c r="E660" s="5">
        <f t="shared" si="81"/>
        <v>7</v>
      </c>
      <c r="F660" s="5">
        <f t="shared" si="82"/>
        <v>2025</v>
      </c>
      <c r="G660" s="3" t="s">
        <v>380</v>
      </c>
      <c r="H660" s="9">
        <f>IFERROR(DATEVALUE(TEXT(G660,"DD/MM/YYYY")), IF(ISNUMBER(G660), G660, ""))</f>
        <v>45841</v>
      </c>
      <c r="I660" s="9" t="str">
        <f>IF(G660="","Missing", IF(AND(ISNUMBER(G660)=FALSE, H660=""),"Invalid - Could Not Parse", IF(AND(ISNUMBER(G660)=FALSE, H660&lt;&gt;""),"Text - Converted to Date", IF(ISNUMBER(G660),"Valid","Check"))))</f>
        <v>Text - Converted to Date</v>
      </c>
      <c r="J660" s="9" t="str">
        <f>IF(OR(C660="", H660=""), "Cannot Check - Date Missing", IF(H660&lt;C660, "Invalid - Ship Before Order", "Valid"))</f>
        <v>Valid</v>
      </c>
      <c r="K660" s="5">
        <f>IF(OR(C660="", H660=""), "", IF(H660&lt;C660, "", H660-C660))</f>
        <v>2</v>
      </c>
      <c r="L660" s="3" t="s">
        <v>381</v>
      </c>
      <c r="M660" s="3" t="s">
        <v>40</v>
      </c>
      <c r="N660" s="4" t="str">
        <f>TRIM(SUBSTITUTE(M660,"_"," "))</f>
        <v>Mira Das</v>
      </c>
      <c r="O660" s="3" t="s">
        <v>41</v>
      </c>
      <c r="P660" s="6" t="str">
        <f>PROPER(TRIM(SUBSTITUTE(O660,".","")))</f>
        <v>Small Business</v>
      </c>
      <c r="Q660" s="3" t="s">
        <v>62</v>
      </c>
      <c r="R660" s="7" t="str">
        <f>PROPER(TRIM(SUBSTITUTE(Q660,"  "," ")))</f>
        <v>South</v>
      </c>
      <c r="S660" s="3" t="s">
        <v>100</v>
      </c>
      <c r="T660" s="6" t="str">
        <f>PROPER(TRIM(SUBSTITUTE(S660,"  "," ")))</f>
        <v>Andhra Pradesh</v>
      </c>
      <c r="U660" s="3" t="s">
        <v>101</v>
      </c>
      <c r="V660" s="6" t="str">
        <f>PROPER(TRIM(SUBSTITUTE(U660,"  "," ")))</f>
        <v>Vijayawada</v>
      </c>
      <c r="W660" s="3" t="s">
        <v>86</v>
      </c>
      <c r="X660" s="6" t="str">
        <f>PROPER(TRIM(SUBSTITUTE(W660,"  "," ")))</f>
        <v>Technology</v>
      </c>
      <c r="Y660" s="3" t="s">
        <v>382</v>
      </c>
      <c r="Z660" s="6" t="str">
        <f>PROPER(TRIM(SUBSTITUTE(Y660,"  "," ")))</f>
        <v>Machines</v>
      </c>
      <c r="AA660" s="3" t="s">
        <v>383</v>
      </c>
      <c r="AB660" s="3" t="s">
        <v>48</v>
      </c>
      <c r="AC660" s="6" t="str">
        <f>PROPER(TRIM(SUBSTITUTE(AB660,"  "," ")))</f>
        <v>Same Day</v>
      </c>
      <c r="AD660" s="3">
        <v>3</v>
      </c>
      <c r="AE660" s="3">
        <v>1516.24</v>
      </c>
      <c r="AF660" s="3">
        <v>0.25</v>
      </c>
      <c r="AG660" s="17">
        <v>0.25</v>
      </c>
      <c r="AH660" s="6" t="str">
        <f t="shared" si="83"/>
        <v>Valid</v>
      </c>
      <c r="AI660" s="3">
        <v>3411.54</v>
      </c>
      <c r="AJ660" s="3">
        <v>2803.13</v>
      </c>
      <c r="AK660" s="3">
        <v>608.41</v>
      </c>
      <c r="AL660" s="3" t="s">
        <v>34</v>
      </c>
      <c r="AM660" s="6" t="str">
        <f>PROPER(TRIM(SUBSTITUTE(AL660,".","")))</f>
        <v>Paid</v>
      </c>
      <c r="AN660" s="3" t="s">
        <v>35</v>
      </c>
      <c r="AO660" s="8" t="str">
        <f>PROPER(TRIM(SUBSTITUTE(AN660,".","")))</f>
        <v>Completed</v>
      </c>
      <c r="AP660" t="str">
        <f>IF(COUNTIF($A$2:$A$933, A660) &gt; 1, "Duplicate ID", "Unique")</f>
        <v>Unique</v>
      </c>
      <c r="AR660">
        <f t="shared" si="84"/>
        <v>3411.54</v>
      </c>
      <c r="AS660">
        <f t="shared" si="85"/>
        <v>608.40999999999985</v>
      </c>
      <c r="AT660" s="15">
        <f t="shared" si="86"/>
        <v>0.17833881472883209</v>
      </c>
      <c r="AU660" t="str">
        <f t="shared" si="87"/>
        <v>Clean</v>
      </c>
      <c r="AV660" s="8" t="str">
        <f t="shared" si="88"/>
        <v>Active</v>
      </c>
    </row>
    <row r="661" spans="1:48">
      <c r="A661" s="3" t="s">
        <v>2514</v>
      </c>
      <c r="B661" s="3" t="s">
        <v>380</v>
      </c>
      <c r="C661" s="9">
        <f>IFERROR(DATEVALUE(TEXT(B661,"DD/MM/YYYY")), IF(ISNUMBER(B661), B661, ""))</f>
        <v>45841</v>
      </c>
      <c r="D661" s="9" t="str">
        <f>IF(B661="","Missing", IF(AND(ISNUMBER(B661)=FALSE, C661=""),"Invalid - Could Not Parse", IF(AND(ISNUMBER(B661)=FALSE, C661&lt;&gt;""),"Text - Converted to Date", IF(ISNUMBER(B661),"Valid","Check"))))</f>
        <v>Text - Converted to Date</v>
      </c>
      <c r="E661" s="5">
        <f t="shared" si="81"/>
        <v>7</v>
      </c>
      <c r="F661" s="5">
        <f t="shared" si="82"/>
        <v>2025</v>
      </c>
      <c r="G661" s="3" t="s">
        <v>2515</v>
      </c>
      <c r="H661" s="9">
        <f>IFERROR(DATEVALUE(TEXT(G661,"DD/MM/YYYY")), IF(ISNUMBER(G661), G661, ""))</f>
        <v>45845</v>
      </c>
      <c r="I661" s="9" t="str">
        <f>IF(G661="","Missing", IF(AND(ISNUMBER(G661)=FALSE, H661=""),"Invalid - Could Not Parse", IF(AND(ISNUMBER(G661)=FALSE, H661&lt;&gt;""),"Text - Converted to Date", IF(ISNUMBER(G661),"Valid","Check"))))</f>
        <v>Text - Converted to Date</v>
      </c>
      <c r="J661" s="9" t="str">
        <f>IF(OR(C661="", H661=""), "Cannot Check - Date Missing", IF(H661&lt;C661, "Invalid - Ship Before Order", "Valid"))</f>
        <v>Valid</v>
      </c>
      <c r="K661" s="5">
        <f>IF(OR(C661="", H661=""), "", IF(H661&lt;C661, "", H661-C661))</f>
        <v>4</v>
      </c>
      <c r="L661" s="3" t="s">
        <v>2516</v>
      </c>
      <c r="M661" s="3" t="s">
        <v>142</v>
      </c>
      <c r="N661" s="4" t="str">
        <f>TRIM(SUBSTITUTE(M661,"_"," "))</f>
        <v>Priya Menon</v>
      </c>
      <c r="O661" s="3" t="s">
        <v>26</v>
      </c>
      <c r="P661" s="6" t="str">
        <f>PROPER(TRIM(SUBSTITUTE(O661,".","")))</f>
        <v>Consumer</v>
      </c>
      <c r="Q661" s="3" t="s">
        <v>27</v>
      </c>
      <c r="R661" s="7" t="str">
        <f>PROPER(TRIM(SUBSTITUTE(Q661,"  "," ")))</f>
        <v>North</v>
      </c>
      <c r="S661" s="3" t="s">
        <v>174</v>
      </c>
      <c r="T661" s="6" t="str">
        <f>PROPER(TRIM(SUBSTITUTE(S661,"  "," ")))</f>
        <v>Uttar Pradesh</v>
      </c>
      <c r="U661" s="3" t="s">
        <v>175</v>
      </c>
      <c r="V661" s="6" t="str">
        <f>PROPER(TRIM(SUBSTITUTE(U661,"  "," ")))</f>
        <v>Noida</v>
      </c>
      <c r="W661" s="3" t="s">
        <v>45</v>
      </c>
      <c r="X661" s="6" t="str">
        <f>PROPER(TRIM(SUBSTITUTE(W661,"  "," ")))</f>
        <v>Furniture</v>
      </c>
      <c r="Y661" s="3" t="s">
        <v>46</v>
      </c>
      <c r="Z661" s="6" t="str">
        <f>PROPER(TRIM(SUBSTITUTE(Y661,"  "," ")))</f>
        <v>Tables</v>
      </c>
      <c r="AA661" s="3" t="s">
        <v>2517</v>
      </c>
      <c r="AB661" s="3" t="s">
        <v>67</v>
      </c>
      <c r="AC661" s="6" t="str">
        <f>PROPER(TRIM(SUBSTITUTE(AB661,"  "," ")))</f>
        <v>Standard Class</v>
      </c>
      <c r="AD661" s="3">
        <v>4</v>
      </c>
      <c r="AE661" s="3">
        <v>4365.21</v>
      </c>
      <c r="AF661" s="3">
        <v>0.2</v>
      </c>
      <c r="AG661" s="17">
        <v>0.2</v>
      </c>
      <c r="AH661" s="6" t="str">
        <f t="shared" si="83"/>
        <v>Valid</v>
      </c>
      <c r="AI661" s="3">
        <v>13968.67</v>
      </c>
      <c r="AJ661" s="3">
        <v>8857.58</v>
      </c>
      <c r="AK661" s="3">
        <v>5111.09</v>
      </c>
      <c r="AL661" s="3" t="s">
        <v>137</v>
      </c>
      <c r="AM661" s="6" t="str">
        <f>PROPER(TRIM(SUBSTITUTE(AL661,".","")))</f>
        <v>Pending</v>
      </c>
      <c r="AN661" s="3" t="s">
        <v>78</v>
      </c>
      <c r="AO661" s="8" t="str">
        <f>PROPER(TRIM(SUBSTITUTE(AN661,".","")))</f>
        <v>Cancelled</v>
      </c>
      <c r="AP661" t="str">
        <f>IF(COUNTIF($A$2:$A$933, A661) &gt; 1, "Duplicate ID", "Unique")</f>
        <v>Unique</v>
      </c>
      <c r="AR661">
        <f t="shared" si="84"/>
        <v>13968.672</v>
      </c>
      <c r="AS661">
        <f t="shared" si="85"/>
        <v>5111.0920000000006</v>
      </c>
      <c r="AT661" s="15">
        <f t="shared" si="86"/>
        <v>0.36589677243477409</v>
      </c>
      <c r="AU661" t="str">
        <f t="shared" si="87"/>
        <v>Clean</v>
      </c>
      <c r="AV661" s="8" t="str">
        <f t="shared" si="88"/>
        <v>Cancelled</v>
      </c>
    </row>
    <row r="662" spans="1:48">
      <c r="A662" s="3" t="s">
        <v>2414</v>
      </c>
      <c r="B662" s="3" t="s">
        <v>2415</v>
      </c>
      <c r="C662" s="9">
        <f>IFERROR(DATEVALUE(TEXT(B662,"DD/MM/YYYY")), IF(ISNUMBER(B662), B662, ""))</f>
        <v>45842</v>
      </c>
      <c r="D662" s="9" t="str">
        <f>IF(B662="","Missing", IF(AND(ISNUMBER(B662)=FALSE, C662=""),"Invalid - Could Not Parse", IF(AND(ISNUMBER(B662)=FALSE, C662&lt;&gt;""),"Text - Converted to Date", IF(ISNUMBER(B662),"Valid","Check"))))</f>
        <v>Text - Converted to Date</v>
      </c>
      <c r="E662" s="5">
        <f t="shared" si="81"/>
        <v>7</v>
      </c>
      <c r="F662" s="5">
        <f t="shared" si="82"/>
        <v>2025</v>
      </c>
      <c r="G662" s="3" t="s">
        <v>2416</v>
      </c>
      <c r="H662" s="9">
        <f>IFERROR(DATEVALUE(TEXT(G662,"DD/MM/YYYY")), IF(ISNUMBER(G662), G662, ""))</f>
        <v>45844</v>
      </c>
      <c r="I662" s="9" t="str">
        <f>IF(G662="","Missing", IF(AND(ISNUMBER(G662)=FALSE, H662=""),"Invalid - Could Not Parse", IF(AND(ISNUMBER(G662)=FALSE, H662&lt;&gt;""),"Text - Converted to Date", IF(ISNUMBER(G662),"Valid","Check"))))</f>
        <v>Text - Converted to Date</v>
      </c>
      <c r="J662" s="9" t="str">
        <f>IF(OR(C662="", H662=""), "Cannot Check - Date Missing", IF(H662&lt;C662, "Invalid - Ship Before Order", "Valid"))</f>
        <v>Valid</v>
      </c>
      <c r="K662" s="5">
        <f>IF(OR(C662="", H662=""), "", IF(H662&lt;C662, "", H662-C662))</f>
        <v>2</v>
      </c>
      <c r="L662" s="3" t="s">
        <v>2417</v>
      </c>
      <c r="M662" s="3" t="s">
        <v>366</v>
      </c>
      <c r="N662" s="4" t="str">
        <f>TRIM(SUBSTITUTE(M662,"_"," "))</f>
        <v>Kabir Singh</v>
      </c>
      <c r="O662" s="3" t="s">
        <v>41</v>
      </c>
      <c r="P662" s="6" t="str">
        <f>PROPER(TRIM(SUBSTITUTE(O662,".","")))</f>
        <v>Small Business</v>
      </c>
      <c r="Q662" s="3" t="s">
        <v>42</v>
      </c>
      <c r="R662" s="7" t="str">
        <f>PROPER(TRIM(SUBSTITUTE(Q662,"  "," ")))</f>
        <v>East</v>
      </c>
      <c r="S662" s="3" t="s">
        <v>311</v>
      </c>
      <c r="T662" s="6" t="str">
        <f>PROPER(TRIM(SUBSTITUTE(S662,"  "," ")))</f>
        <v>Jharkhand</v>
      </c>
      <c r="U662" s="3" t="s">
        <v>312</v>
      </c>
      <c r="V662" s="6" t="str">
        <f>PROPER(TRIM(SUBSTITUTE(U662,"  "," ")))</f>
        <v>Ranchi</v>
      </c>
      <c r="W662" s="3" t="s">
        <v>45</v>
      </c>
      <c r="X662" s="6" t="str">
        <f>PROPER(TRIM(SUBSTITUTE(W662,"  "," ")))</f>
        <v>Furniture</v>
      </c>
      <c r="Y662" s="3" t="s">
        <v>76</v>
      </c>
      <c r="Z662" s="6" t="str">
        <f>PROPER(TRIM(SUBSTITUTE(Y662,"  "," ")))</f>
        <v>Chairs</v>
      </c>
      <c r="AA662" s="3" t="s">
        <v>2418</v>
      </c>
      <c r="AB662" s="3" t="s">
        <v>33</v>
      </c>
      <c r="AC662" s="6" t="str">
        <f>PROPER(TRIM(SUBSTITUTE(AB662,"  "," ")))</f>
        <v>Second Class</v>
      </c>
      <c r="AD662" s="3">
        <v>2</v>
      </c>
      <c r="AE662" s="3">
        <v>3686.42</v>
      </c>
      <c r="AF662" s="3">
        <v>0.1</v>
      </c>
      <c r="AG662" s="17">
        <v>0.1</v>
      </c>
      <c r="AH662" s="6" t="str">
        <f t="shared" si="83"/>
        <v>Valid</v>
      </c>
      <c r="AI662" s="3">
        <v>6635.56</v>
      </c>
      <c r="AJ662" s="3">
        <v>3652.91</v>
      </c>
      <c r="AK662" s="3">
        <v>2982.65</v>
      </c>
      <c r="AL662" s="3" t="s">
        <v>34</v>
      </c>
      <c r="AM662" s="6" t="str">
        <f>PROPER(TRIM(SUBSTITUTE(AL662,".","")))</f>
        <v>Paid</v>
      </c>
      <c r="AN662" s="3" t="s">
        <v>35</v>
      </c>
      <c r="AO662" s="8" t="str">
        <f>PROPER(TRIM(SUBSTITUTE(AN662,".","")))</f>
        <v>Completed</v>
      </c>
      <c r="AP662" t="str">
        <f>IF(COUNTIF($A$2:$A$933, A662) &gt; 1, "Duplicate ID", "Unique")</f>
        <v>Unique</v>
      </c>
      <c r="AR662">
        <f t="shared" si="84"/>
        <v>6635.5560000000005</v>
      </c>
      <c r="AS662">
        <f t="shared" si="85"/>
        <v>2982.6460000000006</v>
      </c>
      <c r="AT662" s="15">
        <f t="shared" si="86"/>
        <v>0.44949451108543131</v>
      </c>
      <c r="AU662" t="str">
        <f t="shared" si="87"/>
        <v>Clean</v>
      </c>
      <c r="AV662" s="8" t="str">
        <f t="shared" si="88"/>
        <v>Active</v>
      </c>
    </row>
    <row r="663" spans="1:48">
      <c r="A663" s="3" t="s">
        <v>1844</v>
      </c>
      <c r="B663" s="3" t="s">
        <v>1272</v>
      </c>
      <c r="C663" s="9">
        <f>IFERROR(DATEVALUE(TEXT(B663,"DD/MM/YYYY")), IF(ISNUMBER(B663), B663, ""))</f>
        <v>45844</v>
      </c>
      <c r="D663" s="9" t="str">
        <f>IF(B663="","Missing", IF(AND(ISNUMBER(B663)=FALSE, C663=""),"Invalid - Could Not Parse", IF(AND(ISNUMBER(B663)=FALSE, C663&lt;&gt;""),"Text - Converted to Date", IF(ISNUMBER(B663),"Valid","Check"))))</f>
        <v>Text - Converted to Date</v>
      </c>
      <c r="E663" s="5">
        <f t="shared" si="81"/>
        <v>7</v>
      </c>
      <c r="F663" s="5">
        <f t="shared" si="82"/>
        <v>2025</v>
      </c>
      <c r="G663" s="3" t="s">
        <v>1272</v>
      </c>
      <c r="H663" s="9">
        <f>IFERROR(DATEVALUE(TEXT(G663,"DD/MM/YYYY")), IF(ISNUMBER(G663), G663, ""))</f>
        <v>45844</v>
      </c>
      <c r="I663" s="9" t="str">
        <f>IF(G663="","Missing", IF(AND(ISNUMBER(G663)=FALSE, H663=""),"Invalid - Could Not Parse", IF(AND(ISNUMBER(G663)=FALSE, H663&lt;&gt;""),"Text - Converted to Date", IF(ISNUMBER(G663),"Valid","Check"))))</f>
        <v>Text - Converted to Date</v>
      </c>
      <c r="J663" s="9" t="str">
        <f>IF(OR(C663="", H663=""), "Cannot Check - Date Missing", IF(H663&lt;C663, "Invalid - Ship Before Order", "Valid"))</f>
        <v>Valid</v>
      </c>
      <c r="K663" s="5">
        <f>IF(OR(C663="", H663=""), "", IF(H663&lt;C663, "", H663-C663))</f>
        <v>0</v>
      </c>
      <c r="L663" s="3" t="s">
        <v>1845</v>
      </c>
      <c r="M663" s="3" t="s">
        <v>162</v>
      </c>
      <c r="N663" s="4" t="str">
        <f>TRIM(SUBSTITUTE(M663,"_"," "))</f>
        <v>Aarav Sharma</v>
      </c>
      <c r="O663" s="3" t="s">
        <v>115</v>
      </c>
      <c r="P663" s="6" t="str">
        <f>PROPER(TRIM(SUBSTITUTE(O663,".","")))</f>
        <v>Home Office</v>
      </c>
      <c r="Q663" s="3" t="s">
        <v>27</v>
      </c>
      <c r="R663" s="7" t="str">
        <f>PROPER(TRIM(SUBSTITUTE(Q663,"  "," ")))</f>
        <v>North</v>
      </c>
      <c r="S663" s="3" t="s">
        <v>28</v>
      </c>
      <c r="T663" s="6" t="str">
        <f>PROPER(TRIM(SUBSTITUTE(S663,"  "," ")))</f>
        <v>Rajasthan</v>
      </c>
      <c r="U663" s="3" t="s">
        <v>29</v>
      </c>
      <c r="V663" s="6" t="str">
        <f>PROPER(TRIM(SUBSTITUTE(U663,"  "," ")))</f>
        <v>Jaipur</v>
      </c>
      <c r="W663" s="3" t="s">
        <v>86</v>
      </c>
      <c r="X663" s="6" t="str">
        <f>PROPER(TRIM(SUBSTITUTE(W663,"  "," ")))</f>
        <v>Technology</v>
      </c>
      <c r="Y663" s="3" t="s">
        <v>87</v>
      </c>
      <c r="Z663" s="6" t="str">
        <f>PROPER(TRIM(SUBSTITUTE(Y663,"  "," ")))</f>
        <v>Accessories</v>
      </c>
      <c r="AA663" s="3" t="s">
        <v>1846</v>
      </c>
      <c r="AB663" s="3" t="s">
        <v>48</v>
      </c>
      <c r="AC663" s="6" t="str">
        <f>PROPER(TRIM(SUBSTITUTE(AB663,"  "," ")))</f>
        <v>Same Day</v>
      </c>
      <c r="AD663" s="3">
        <v>9</v>
      </c>
      <c r="AE663" s="3">
        <v>243.19</v>
      </c>
      <c r="AF663" s="3">
        <v>0.05</v>
      </c>
      <c r="AG663" s="17">
        <v>0.05</v>
      </c>
      <c r="AH663" s="6" t="str">
        <f t="shared" si="83"/>
        <v>Valid</v>
      </c>
      <c r="AI663" s="3">
        <v>2079.27</v>
      </c>
      <c r="AJ663" s="3">
        <v>1512.17</v>
      </c>
      <c r="AK663" s="3">
        <v>567.1</v>
      </c>
      <c r="AL663" s="3" t="s">
        <v>124</v>
      </c>
      <c r="AM663" s="6" t="str">
        <f>PROPER(TRIM(SUBSTITUTE(AL663,".","")))</f>
        <v>Refunded</v>
      </c>
      <c r="AN663" s="3" t="s">
        <v>125</v>
      </c>
      <c r="AO663" s="8" t="str">
        <f>PROPER(TRIM(SUBSTITUTE(AN663,".","")))</f>
        <v>Returned</v>
      </c>
      <c r="AP663" t="str">
        <f>IF(COUNTIF($A$2:$A$933, A663) &gt; 1, "Duplicate ID", "Unique")</f>
        <v>Unique</v>
      </c>
      <c r="AR663">
        <f t="shared" si="84"/>
        <v>2079.2745</v>
      </c>
      <c r="AS663">
        <f t="shared" si="85"/>
        <v>567.10449999999992</v>
      </c>
      <c r="AT663" s="15">
        <f t="shared" si="86"/>
        <v>0.27274152595051782</v>
      </c>
      <c r="AU663" t="str">
        <f t="shared" si="87"/>
        <v>Clean</v>
      </c>
      <c r="AV663" s="8" t="str">
        <f t="shared" si="88"/>
        <v>Refund</v>
      </c>
    </row>
    <row r="664" spans="1:48">
      <c r="A664" s="3" t="s">
        <v>1820</v>
      </c>
      <c r="B664" s="3" t="s">
        <v>1821</v>
      </c>
      <c r="C664" s="9">
        <f>IFERROR(DATEVALUE(TEXT(B664,"DD/MM/YYYY")), IF(ISNUMBER(B664), B664, ""))</f>
        <v>45845</v>
      </c>
      <c r="D664" s="9" t="str">
        <f>IF(B664="","Missing", IF(AND(ISNUMBER(B664)=FALSE, C664=""),"Invalid - Could Not Parse", IF(AND(ISNUMBER(B664)=FALSE, C664&lt;&gt;""),"Text - Converted to Date", IF(ISNUMBER(B664),"Valid","Check"))))</f>
        <v>Text - Converted to Date</v>
      </c>
      <c r="E664" s="5">
        <f t="shared" si="81"/>
        <v>7</v>
      </c>
      <c r="F664" s="5">
        <f t="shared" si="82"/>
        <v>2025</v>
      </c>
      <c r="G664" s="3" t="s">
        <v>1822</v>
      </c>
      <c r="H664" s="9">
        <f>IFERROR(DATEVALUE(TEXT(G664,"DD/MM/YYYY")), IF(ISNUMBER(G664), G664, ""))</f>
        <v>45998</v>
      </c>
      <c r="I664" s="9" t="str">
        <f>IF(G664="","Missing", IF(AND(ISNUMBER(G664)=FALSE, H664=""),"Invalid - Could Not Parse", IF(AND(ISNUMBER(G664)=FALSE, H664&lt;&gt;""),"Text - Converted to Date", IF(ISNUMBER(G664),"Valid","Check"))))</f>
        <v>Text - Converted to Date</v>
      </c>
      <c r="J664" s="9" t="str">
        <f>IF(OR(C664="", H664=""), "Cannot Check - Date Missing", IF(H664&lt;C664, "Invalid - Ship Before Order", "Valid"))</f>
        <v>Valid</v>
      </c>
      <c r="K664" s="5">
        <f>IF(OR(C664="", H664=""), "", IF(H664&lt;C664, "", H664-C664))</f>
        <v>153</v>
      </c>
      <c r="L664" s="3" t="s">
        <v>1823</v>
      </c>
      <c r="M664" s="3" t="s">
        <v>210</v>
      </c>
      <c r="N664" s="4" t="str">
        <f>TRIM(SUBSTITUTE(M664,"_"," "))</f>
        <v>Diya Patel</v>
      </c>
      <c r="O664" s="3" t="s">
        <v>108</v>
      </c>
      <c r="P664" s="6" t="str">
        <f>PROPER(TRIM(SUBSTITUTE(O664,".","")))</f>
        <v>Corporate</v>
      </c>
      <c r="Q664" s="3" t="s">
        <v>42</v>
      </c>
      <c r="R664" s="7" t="str">
        <f>PROPER(TRIM(SUBSTITUTE(Q664,"  "," ")))</f>
        <v>East</v>
      </c>
      <c r="S664" s="3" t="s">
        <v>121</v>
      </c>
      <c r="T664" s="6" t="str">
        <f>PROPER(TRIM(SUBSTITUTE(S664,"  "," ")))</f>
        <v>West Bengal</v>
      </c>
      <c r="U664" s="3" t="s">
        <v>122</v>
      </c>
      <c r="V664" s="6" t="str">
        <f>PROPER(TRIM(SUBSTITUTE(U664,"  "," ")))</f>
        <v>Kolkata</v>
      </c>
      <c r="W664" s="3" t="s">
        <v>45</v>
      </c>
      <c r="X664" s="6" t="str">
        <f>PROPER(TRIM(SUBSTITUTE(W664,"  "," ")))</f>
        <v>Furniture</v>
      </c>
      <c r="Y664" s="3" t="s">
        <v>46</v>
      </c>
      <c r="Z664" s="6" t="str">
        <f>PROPER(TRIM(SUBSTITUTE(Y664,"  "," ")))</f>
        <v>Tables</v>
      </c>
      <c r="AA664" s="3" t="s">
        <v>1824</v>
      </c>
      <c r="AB664" s="3" t="s">
        <v>33</v>
      </c>
      <c r="AC664" s="6" t="str">
        <f>PROPER(TRIM(SUBSTITUTE(AB664,"  "," ")))</f>
        <v>Second Class</v>
      </c>
      <c r="AD664" s="3">
        <v>5</v>
      </c>
      <c r="AE664" s="3">
        <v>1831.37</v>
      </c>
      <c r="AF664" s="3">
        <v>0.25</v>
      </c>
      <c r="AG664" s="17">
        <v>0.25</v>
      </c>
      <c r="AH664" s="6" t="str">
        <f t="shared" si="83"/>
        <v>Valid</v>
      </c>
      <c r="AI664" s="3">
        <v>6867.64</v>
      </c>
      <c r="AJ664" s="3">
        <v>5205.3599999999997</v>
      </c>
      <c r="AK664" s="3">
        <v>1662.28</v>
      </c>
      <c r="AL664" s="3" t="s">
        <v>34</v>
      </c>
      <c r="AM664" s="6" t="str">
        <f>PROPER(TRIM(SUBSTITUTE(AL664,".","")))</f>
        <v>Paid</v>
      </c>
      <c r="AN664" s="3" t="s">
        <v>35</v>
      </c>
      <c r="AO664" s="8" t="str">
        <f>PROPER(TRIM(SUBSTITUTE(AN664,".","")))</f>
        <v>Completed</v>
      </c>
      <c r="AP664" t="str">
        <f>IF(COUNTIF($A$2:$A$933, A664) &gt; 1, "Duplicate ID", "Unique")</f>
        <v>Unique</v>
      </c>
      <c r="AR664">
        <f t="shared" si="84"/>
        <v>6867.6374999999989</v>
      </c>
      <c r="AS664">
        <f t="shared" si="85"/>
        <v>1662.2774999999992</v>
      </c>
      <c r="AT664" s="15">
        <f t="shared" si="86"/>
        <v>0.24204502640100028</v>
      </c>
      <c r="AU664" t="str">
        <f t="shared" si="87"/>
        <v>Clean</v>
      </c>
      <c r="AV664" s="8" t="str">
        <f t="shared" si="88"/>
        <v>Active</v>
      </c>
    </row>
    <row r="665" spans="1:48">
      <c r="A665" s="3" t="s">
        <v>2611</v>
      </c>
      <c r="B665" s="3" t="s">
        <v>2612</v>
      </c>
      <c r="C665" s="9">
        <f>IFERROR(DATEVALUE(TEXT(B665,"DD/MM/YYYY")), IF(ISNUMBER(B665), B665, ""))</f>
        <v>45846</v>
      </c>
      <c r="D665" s="9" t="str">
        <f>IF(B665="","Missing", IF(AND(ISNUMBER(B665)=FALSE, C665=""),"Invalid - Could Not Parse", IF(AND(ISNUMBER(B665)=FALSE, C665&lt;&gt;""),"Text - Converted to Date", IF(ISNUMBER(B665),"Valid","Check"))))</f>
        <v>Text - Converted to Date</v>
      </c>
      <c r="E665" s="5">
        <f t="shared" si="81"/>
        <v>7</v>
      </c>
      <c r="F665" s="5">
        <f t="shared" si="82"/>
        <v>2025</v>
      </c>
      <c r="G665" s="3" t="s">
        <v>2613</v>
      </c>
      <c r="H665" s="9">
        <f>IFERROR(DATEVALUE(TEXT(G665,"DD/MM/YYYY")), IF(ISNUMBER(G665), G665, ""))</f>
        <v>45847</v>
      </c>
      <c r="I665" s="9" t="str">
        <f>IF(G665="","Missing", IF(AND(ISNUMBER(G665)=FALSE, H665=""),"Invalid - Could Not Parse", IF(AND(ISNUMBER(G665)=FALSE, H665&lt;&gt;""),"Text - Converted to Date", IF(ISNUMBER(G665),"Valid","Check"))))</f>
        <v>Text - Converted to Date</v>
      </c>
      <c r="J665" s="9" t="str">
        <f>IF(OR(C665="", H665=""), "Cannot Check - Date Missing", IF(H665&lt;C665, "Invalid - Ship Before Order", "Valid"))</f>
        <v>Valid</v>
      </c>
      <c r="K665" s="5">
        <f>IF(OR(C665="", H665=""), "", IF(H665&lt;C665, "", H665-C665))</f>
        <v>1</v>
      </c>
      <c r="L665" s="3" t="s">
        <v>2614</v>
      </c>
      <c r="M665" s="3" t="s">
        <v>168</v>
      </c>
      <c r="N665" s="4" t="str">
        <f>TRIM(SUBSTITUTE(M665,"_"," "))</f>
        <v>Sneha Kapoor</v>
      </c>
      <c r="O665" s="3" t="s">
        <v>26</v>
      </c>
      <c r="P665" s="6" t="str">
        <f>PROPER(TRIM(SUBSTITUTE(O665,".","")))</f>
        <v>Consumer</v>
      </c>
      <c r="Q665" s="3" t="s">
        <v>73</v>
      </c>
      <c r="R665" s="7" t="str">
        <f>PROPER(TRIM(SUBSTITUTE(Q665,"  "," ")))</f>
        <v>West</v>
      </c>
      <c r="S665" s="3" t="s">
        <v>74</v>
      </c>
      <c r="T665" s="6" t="str">
        <f>PROPER(TRIM(SUBSTITUTE(S665,"  "," ")))</f>
        <v>Maharashtra</v>
      </c>
      <c r="U665" s="3" t="s">
        <v>75</v>
      </c>
      <c r="V665" s="6" t="str">
        <f>PROPER(TRIM(SUBSTITUTE(U665,"  "," ")))</f>
        <v>Mumbai</v>
      </c>
      <c r="W665" s="3" t="s">
        <v>86</v>
      </c>
      <c r="X665" s="6" t="str">
        <f>PROPER(TRIM(SUBSTITUTE(W665,"  "," ")))</f>
        <v>Technology</v>
      </c>
      <c r="Y665" s="3" t="s">
        <v>94</v>
      </c>
      <c r="Z665" s="6" t="str">
        <f>PROPER(TRIM(SUBSTITUTE(Y665,"  "," ")))</f>
        <v>Copiers</v>
      </c>
      <c r="AA665" s="3" t="s">
        <v>2615</v>
      </c>
      <c r="AB665" s="3" t="s">
        <v>48</v>
      </c>
      <c r="AC665" s="6" t="str">
        <f>PROPER(TRIM(SUBSTITUTE(AB665,"  "," ")))</f>
        <v>Same Day</v>
      </c>
      <c r="AD665" s="3">
        <v>3</v>
      </c>
      <c r="AE665" s="3">
        <v>2880.56</v>
      </c>
      <c r="AF665" s="3">
        <v>0</v>
      </c>
      <c r="AG665" s="17">
        <v>0</v>
      </c>
      <c r="AH665" s="6" t="str">
        <f t="shared" si="83"/>
        <v>Valid</v>
      </c>
      <c r="AI665" s="3">
        <v>8641.68</v>
      </c>
      <c r="AJ665" s="3">
        <v>5747.09</v>
      </c>
      <c r="AK665" s="3">
        <v>2894.59</v>
      </c>
      <c r="AL665" s="3" t="s">
        <v>34</v>
      </c>
      <c r="AM665" s="6" t="str">
        <f>PROPER(TRIM(SUBSTITUTE(AL665,".","")))</f>
        <v>Paid</v>
      </c>
      <c r="AN665" s="3" t="s">
        <v>125</v>
      </c>
      <c r="AO665" s="8" t="str">
        <f>PROPER(TRIM(SUBSTITUTE(AN665,".","")))</f>
        <v>Returned</v>
      </c>
      <c r="AP665" t="str">
        <f>IF(COUNTIF($A$2:$A$933, A665) &gt; 1, "Duplicate ID", "Unique")</f>
        <v>Unique</v>
      </c>
      <c r="AR665">
        <f t="shared" si="84"/>
        <v>8641.68</v>
      </c>
      <c r="AS665">
        <f t="shared" si="85"/>
        <v>2894.59</v>
      </c>
      <c r="AT665" s="15">
        <f t="shared" si="86"/>
        <v>0.33495686024013849</v>
      </c>
      <c r="AU665" t="str">
        <f t="shared" si="87"/>
        <v>Clean</v>
      </c>
      <c r="AV665" s="8" t="str">
        <f t="shared" si="88"/>
        <v>Active</v>
      </c>
    </row>
    <row r="666" spans="1:48">
      <c r="A666" s="3" t="s">
        <v>2852</v>
      </c>
      <c r="B666" s="3" t="s">
        <v>2853</v>
      </c>
      <c r="C666" s="9">
        <f>IFERROR(DATEVALUE(TEXT(B666,"DD/MM/YYYY")), IF(ISNUMBER(B666), B666, ""))</f>
        <v>45846</v>
      </c>
      <c r="D666" s="9" t="str">
        <f>IF(B666="","Missing", IF(AND(ISNUMBER(B666)=FALSE, C666=""),"Invalid - Could Not Parse", IF(AND(ISNUMBER(B666)=FALSE, C666&lt;&gt;""),"Text - Converted to Date", IF(ISNUMBER(B666),"Valid","Check"))))</f>
        <v>Text - Converted to Date</v>
      </c>
      <c r="E666" s="5">
        <f t="shared" si="81"/>
        <v>7</v>
      </c>
      <c r="F666" s="5">
        <f t="shared" si="82"/>
        <v>2025</v>
      </c>
      <c r="G666" s="3" t="s">
        <v>488</v>
      </c>
      <c r="H666" s="9">
        <f>IFERROR(DATEVALUE(TEXT(G666,"DD/MM/YYYY")), IF(ISNUMBER(G666), G666, ""))</f>
        <v>45876</v>
      </c>
      <c r="I666" s="9" t="str">
        <f>IF(G666="","Missing", IF(AND(ISNUMBER(G666)=FALSE, H666=""),"Invalid - Could Not Parse", IF(AND(ISNUMBER(G666)=FALSE, H666&lt;&gt;""),"Text - Converted to Date", IF(ISNUMBER(G666),"Valid","Check"))))</f>
        <v>Text - Converted to Date</v>
      </c>
      <c r="J666" s="9" t="str">
        <f>IF(OR(C666="", H666=""), "Cannot Check - Date Missing", IF(H666&lt;C666, "Invalid - Ship Before Order", "Valid"))</f>
        <v>Valid</v>
      </c>
      <c r="K666" s="5">
        <f>IF(OR(C666="", H666=""), "", IF(H666&lt;C666, "", H666-C666))</f>
        <v>30</v>
      </c>
      <c r="L666" s="3" t="s">
        <v>2854</v>
      </c>
      <c r="M666" s="3" t="s">
        <v>107</v>
      </c>
      <c r="N666" s="4" t="str">
        <f>TRIM(SUBSTITUTE(M666,"_"," "))</f>
        <v>Aditi Sen</v>
      </c>
      <c r="O666" s="3" t="s">
        <v>26</v>
      </c>
      <c r="P666" s="6" t="str">
        <f>PROPER(TRIM(SUBSTITUTE(O666,".","")))</f>
        <v>Consumer</v>
      </c>
      <c r="Q666" s="3" t="s">
        <v>62</v>
      </c>
      <c r="R666" s="7" t="str">
        <f>PROPER(TRIM(SUBSTITUTE(Q666,"  "," ")))</f>
        <v>South</v>
      </c>
      <c r="S666" s="3" t="s">
        <v>63</v>
      </c>
      <c r="T666" s="6" t="str">
        <f>PROPER(TRIM(SUBSTITUTE(S666,"  "," ")))</f>
        <v>Telangana</v>
      </c>
      <c r="U666" s="3" t="s">
        <v>64</v>
      </c>
      <c r="V666" s="6" t="str">
        <f>PROPER(TRIM(SUBSTITUTE(U666,"  "," ")))</f>
        <v>Hyderabad</v>
      </c>
      <c r="W666" s="3" t="s">
        <v>86</v>
      </c>
      <c r="X666" s="6" t="str">
        <f>PROPER(TRIM(SUBSTITUTE(W666,"  "," ")))</f>
        <v>Technology</v>
      </c>
      <c r="Y666" s="3" t="s">
        <v>94</v>
      </c>
      <c r="Z666" s="6" t="str">
        <f>PROPER(TRIM(SUBSTITUTE(Y666,"  "," ")))</f>
        <v>Copiers</v>
      </c>
      <c r="AA666" s="3" t="s">
        <v>2855</v>
      </c>
      <c r="AB666" s="3" t="s">
        <v>48</v>
      </c>
      <c r="AC666" s="6" t="str">
        <f>PROPER(TRIM(SUBSTITUTE(AB666,"  "," ")))</f>
        <v>Same Day</v>
      </c>
      <c r="AD666" s="3">
        <v>9</v>
      </c>
      <c r="AE666" s="3">
        <v>274.88</v>
      </c>
      <c r="AF666" s="3">
        <v>0.25</v>
      </c>
      <c r="AG666" s="17">
        <v>0.25</v>
      </c>
      <c r="AH666" s="6" t="str">
        <f t="shared" si="83"/>
        <v>Valid</v>
      </c>
      <c r="AI666" s="3">
        <v>1855.44</v>
      </c>
      <c r="AJ666" s="3">
        <v>1262.74</v>
      </c>
      <c r="AK666" s="3">
        <v>592.70000000000005</v>
      </c>
      <c r="AL666" s="3" t="s">
        <v>34</v>
      </c>
      <c r="AM666" s="6" t="str">
        <f>PROPER(TRIM(SUBSTITUTE(AL666,".","")))</f>
        <v>Paid</v>
      </c>
      <c r="AN666" s="3" t="s">
        <v>35</v>
      </c>
      <c r="AO666" s="8" t="str">
        <f>PROPER(TRIM(SUBSTITUTE(AN666,".","")))</f>
        <v>Completed</v>
      </c>
      <c r="AP666" t="str">
        <f>IF(COUNTIF($A$2:$A$933, A666) &gt; 1, "Duplicate ID", "Unique")</f>
        <v>Unique</v>
      </c>
      <c r="AR666">
        <f t="shared" si="84"/>
        <v>1855.44</v>
      </c>
      <c r="AS666">
        <f t="shared" si="85"/>
        <v>592.70000000000005</v>
      </c>
      <c r="AT666" s="15">
        <f t="shared" si="86"/>
        <v>0.3194390548872505</v>
      </c>
      <c r="AU666" t="str">
        <f t="shared" si="87"/>
        <v>Clean</v>
      </c>
      <c r="AV666" s="8" t="str">
        <f t="shared" si="88"/>
        <v>Active</v>
      </c>
    </row>
    <row r="667" spans="1:48">
      <c r="A667" s="3" t="s">
        <v>2907</v>
      </c>
      <c r="B667" s="3" t="s">
        <v>2612</v>
      </c>
      <c r="C667" s="9">
        <f>IFERROR(DATEVALUE(TEXT(B667,"DD/MM/YYYY")), IF(ISNUMBER(B667), B667, ""))</f>
        <v>45846</v>
      </c>
      <c r="D667" s="9" t="str">
        <f>IF(B667="","Missing", IF(AND(ISNUMBER(B667)=FALSE, C667=""),"Invalid - Could Not Parse", IF(AND(ISNUMBER(B667)=FALSE, C667&lt;&gt;""),"Text - Converted to Date", IF(ISNUMBER(B667),"Valid","Check"))))</f>
        <v>Text - Converted to Date</v>
      </c>
      <c r="E667" s="5">
        <f t="shared" si="81"/>
        <v>7</v>
      </c>
      <c r="F667" s="5">
        <f t="shared" si="82"/>
        <v>2025</v>
      </c>
      <c r="G667" s="3" t="s">
        <v>2908</v>
      </c>
      <c r="H667" s="9">
        <f>IFERROR(DATEVALUE(TEXT(G667,"DD/MM/YYYY")), IF(ISNUMBER(G667), G667, ""))</f>
        <v>45853</v>
      </c>
      <c r="I667" s="9" t="str">
        <f>IF(G667="","Missing", IF(AND(ISNUMBER(G667)=FALSE, H667=""),"Invalid - Could Not Parse", IF(AND(ISNUMBER(G667)=FALSE, H667&lt;&gt;""),"Text - Converted to Date", IF(ISNUMBER(G667),"Valid","Check"))))</f>
        <v>Text - Converted to Date</v>
      </c>
      <c r="J667" s="9" t="str">
        <f>IF(OR(C667="", H667=""), "Cannot Check - Date Missing", IF(H667&lt;C667, "Invalid - Ship Before Order", "Valid"))</f>
        <v>Valid</v>
      </c>
      <c r="K667" s="5">
        <f>IF(OR(C667="", H667=""), "", IF(H667&lt;C667, "", H667-C667))</f>
        <v>7</v>
      </c>
      <c r="L667" s="3" t="s">
        <v>2909</v>
      </c>
      <c r="M667" s="3" t="s">
        <v>72</v>
      </c>
      <c r="N667" s="4" t="str">
        <f>TRIM(SUBSTITUTE(M667,"_"," "))</f>
        <v>Ananya Rao</v>
      </c>
      <c r="O667" s="3" t="s">
        <v>41</v>
      </c>
      <c r="P667" s="6" t="str">
        <f>PROPER(TRIM(SUBSTITUTE(O667,".","")))</f>
        <v>Small Business</v>
      </c>
      <c r="Q667" s="3" t="s">
        <v>27</v>
      </c>
      <c r="R667" s="7" t="str">
        <f>PROPER(TRIM(SUBSTITUTE(Q667,"  "," ")))</f>
        <v>North</v>
      </c>
      <c r="S667" s="3" t="s">
        <v>28</v>
      </c>
      <c r="T667" s="6" t="str">
        <f>PROPER(TRIM(SUBSTITUTE(S667,"  "," ")))</f>
        <v>Rajasthan</v>
      </c>
      <c r="U667" s="3" t="s">
        <v>29</v>
      </c>
      <c r="V667" s="6" t="str">
        <f>PROPER(TRIM(SUBSTITUTE(U667,"  "," ")))</f>
        <v>Jaipur</v>
      </c>
      <c r="W667" s="3" t="s">
        <v>30</v>
      </c>
      <c r="X667" s="6" t="str">
        <f>PROPER(TRIM(SUBSTITUTE(W667,"  "," ")))</f>
        <v>Office Supplies</v>
      </c>
      <c r="Y667" s="3" t="s">
        <v>198</v>
      </c>
      <c r="Z667" s="6" t="str">
        <f>PROPER(TRIM(SUBSTITUTE(Y667,"  "," ")))</f>
        <v>Binders</v>
      </c>
      <c r="AA667" s="3" t="s">
        <v>2910</v>
      </c>
      <c r="AB667" s="3" t="s">
        <v>48</v>
      </c>
      <c r="AC667" s="6" t="str">
        <f>PROPER(TRIM(SUBSTITUTE(AB667,"  "," ")))</f>
        <v>Same Day</v>
      </c>
      <c r="AD667" s="3">
        <v>8</v>
      </c>
      <c r="AE667" s="3">
        <v>655.28</v>
      </c>
      <c r="AF667" s="3">
        <v>0.1</v>
      </c>
      <c r="AG667" s="17">
        <v>0.1</v>
      </c>
      <c r="AH667" s="6" t="str">
        <f t="shared" si="83"/>
        <v>Valid</v>
      </c>
      <c r="AI667" s="3">
        <v>4718.0200000000004</v>
      </c>
      <c r="AJ667" s="3">
        <v>3908.23</v>
      </c>
      <c r="AK667" s="3">
        <v>809.79</v>
      </c>
      <c r="AL667" s="3" t="s">
        <v>34</v>
      </c>
      <c r="AM667" s="6" t="str">
        <f>PROPER(TRIM(SUBSTITUTE(AL667,".","")))</f>
        <v>Paid</v>
      </c>
      <c r="AN667" s="3" t="s">
        <v>35</v>
      </c>
      <c r="AO667" s="8" t="str">
        <f>PROPER(TRIM(SUBSTITUTE(AN667,".","")))</f>
        <v>Completed</v>
      </c>
      <c r="AP667" t="str">
        <f>IF(COUNTIF($A$2:$A$933, A667) &gt; 1, "Duplicate ID", "Unique")</f>
        <v>Unique</v>
      </c>
      <c r="AR667">
        <f t="shared" si="84"/>
        <v>4718.0159999999996</v>
      </c>
      <c r="AS667">
        <f t="shared" si="85"/>
        <v>809.7859999999996</v>
      </c>
      <c r="AT667" s="15">
        <f t="shared" si="86"/>
        <v>0.17163697622051297</v>
      </c>
      <c r="AU667" t="str">
        <f t="shared" si="87"/>
        <v>Clean</v>
      </c>
      <c r="AV667" s="8" t="str">
        <f t="shared" si="88"/>
        <v>Active</v>
      </c>
    </row>
    <row r="668" spans="1:48">
      <c r="A668" s="3" t="s">
        <v>3101</v>
      </c>
      <c r="B668" s="3" t="s">
        <v>3102</v>
      </c>
      <c r="C668" s="9">
        <f>IFERROR(DATEVALUE(TEXT(B668,"DD/MM/YYYY")), IF(ISNUMBER(B668), B668, ""))</f>
        <v>45846</v>
      </c>
      <c r="D668" s="9" t="str">
        <f>IF(B668="","Missing", IF(AND(ISNUMBER(B668)=FALSE, C668=""),"Invalid - Could Not Parse", IF(AND(ISNUMBER(B668)=FALSE, C668&lt;&gt;""),"Text - Converted to Date", IF(ISNUMBER(B668),"Valid","Check"))))</f>
        <v>Text - Converted to Date</v>
      </c>
      <c r="E668" s="5">
        <f t="shared" si="81"/>
        <v>7</v>
      </c>
      <c r="F668" s="5">
        <f t="shared" si="82"/>
        <v>2025</v>
      </c>
      <c r="G668" s="3" t="s">
        <v>3103</v>
      </c>
      <c r="H668" s="9">
        <f>IFERROR(DATEVALUE(TEXT(G668,"DD/MM/YYYY")), IF(ISNUMBER(G668), G668, ""))</f>
        <v>45879</v>
      </c>
      <c r="I668" s="9" t="str">
        <f>IF(G668="","Missing", IF(AND(ISNUMBER(G668)=FALSE, H668=""),"Invalid - Could Not Parse", IF(AND(ISNUMBER(G668)=FALSE, H668&lt;&gt;""),"Text - Converted to Date", IF(ISNUMBER(G668),"Valid","Check"))))</f>
        <v>Text - Converted to Date</v>
      </c>
      <c r="J668" s="9" t="str">
        <f>IF(OR(C668="", H668=""), "Cannot Check - Date Missing", IF(H668&lt;C668, "Invalid - Ship Before Order", "Valid"))</f>
        <v>Valid</v>
      </c>
      <c r="K668" s="5">
        <f>IF(OR(C668="", H668=""), "", IF(H668&lt;C668, "", H668-C668))</f>
        <v>33</v>
      </c>
      <c r="L668" s="3" t="s">
        <v>3104</v>
      </c>
      <c r="M668" s="3" t="s">
        <v>107</v>
      </c>
      <c r="N668" s="4" t="str">
        <f>TRIM(SUBSTITUTE(M668,"_"," "))</f>
        <v>Aditi Sen</v>
      </c>
      <c r="O668" s="3" t="s">
        <v>115</v>
      </c>
      <c r="P668" s="6" t="str">
        <f>PROPER(TRIM(SUBSTITUTE(O668,".","")))</f>
        <v>Home Office</v>
      </c>
      <c r="Q668" s="3" t="s">
        <v>42</v>
      </c>
      <c r="R668" s="7" t="str">
        <f>PROPER(TRIM(SUBSTITUTE(Q668,"  "," ")))</f>
        <v>East</v>
      </c>
      <c r="S668" s="3" t="s">
        <v>186</v>
      </c>
      <c r="T668" s="6" t="str">
        <f>PROPER(TRIM(SUBSTITUTE(S668,"  "," ")))</f>
        <v>Bihar</v>
      </c>
      <c r="U668" s="3" t="s">
        <v>187</v>
      </c>
      <c r="V668" s="6" t="str">
        <f>PROPER(TRIM(SUBSTITUTE(U668,"  "," ")))</f>
        <v>Patna</v>
      </c>
      <c r="W668" s="3" t="s">
        <v>30</v>
      </c>
      <c r="X668" s="6" t="str">
        <f>PROPER(TRIM(SUBSTITUTE(W668,"  "," ")))</f>
        <v>Office Supplies</v>
      </c>
      <c r="Y668" s="3" t="s">
        <v>156</v>
      </c>
      <c r="Z668" s="6" t="str">
        <f>PROPER(TRIM(SUBSTITUTE(Y668,"  "," ")))</f>
        <v>Storage</v>
      </c>
      <c r="AA668" s="3" t="s">
        <v>3105</v>
      </c>
      <c r="AB668" s="3" t="s">
        <v>33</v>
      </c>
      <c r="AC668" s="6" t="str">
        <f>PROPER(TRIM(SUBSTITUTE(AB668,"  "," ")))</f>
        <v>Second Class</v>
      </c>
      <c r="AD668" s="3">
        <v>1</v>
      </c>
      <c r="AE668" s="3">
        <v>2541.25</v>
      </c>
      <c r="AF668" s="3">
        <v>0.2</v>
      </c>
      <c r="AG668" s="17">
        <v>0.2</v>
      </c>
      <c r="AH668" s="6" t="str">
        <f t="shared" si="83"/>
        <v>Valid</v>
      </c>
      <c r="AI668" s="3">
        <v>2033</v>
      </c>
      <c r="AJ668" s="3">
        <v>1291.4100000000001</v>
      </c>
      <c r="AK668" s="3">
        <v>741.59</v>
      </c>
      <c r="AL668" s="3" t="s">
        <v>34</v>
      </c>
      <c r="AM668" s="6" t="str">
        <f>PROPER(TRIM(SUBSTITUTE(AL668,".","")))</f>
        <v>Paid</v>
      </c>
      <c r="AN668" s="3" t="s">
        <v>35</v>
      </c>
      <c r="AO668" s="8" t="str">
        <f>PROPER(TRIM(SUBSTITUTE(AN668,".","")))</f>
        <v>Completed</v>
      </c>
      <c r="AP668" t="str">
        <f>IF(COUNTIF($A$2:$A$933, A668) &gt; 1, "Duplicate ID", "Unique")</f>
        <v>Unique</v>
      </c>
      <c r="AR668">
        <f t="shared" si="84"/>
        <v>2033</v>
      </c>
      <c r="AS668">
        <f t="shared" si="85"/>
        <v>741.58999999999992</v>
      </c>
      <c r="AT668" s="15">
        <f t="shared" si="86"/>
        <v>0.36477619281849477</v>
      </c>
      <c r="AU668" t="str">
        <f t="shared" si="87"/>
        <v>Clean</v>
      </c>
      <c r="AV668" s="8" t="str">
        <f t="shared" si="88"/>
        <v>Active</v>
      </c>
    </row>
    <row r="669" spans="1:48">
      <c r="A669" s="3" t="s">
        <v>2887</v>
      </c>
      <c r="B669" s="3" t="s">
        <v>2613</v>
      </c>
      <c r="C669" s="9">
        <f>IFERROR(DATEVALUE(TEXT(B669,"DD/MM/YYYY")), IF(ISNUMBER(B669), B669, ""))</f>
        <v>45847</v>
      </c>
      <c r="D669" s="9" t="str">
        <f>IF(B669="","Missing", IF(AND(ISNUMBER(B669)=FALSE, C669=""),"Invalid - Could Not Parse", IF(AND(ISNUMBER(B669)=FALSE, C669&lt;&gt;""),"Text - Converted to Date", IF(ISNUMBER(B669),"Valid","Check"))))</f>
        <v>Text - Converted to Date</v>
      </c>
      <c r="E669" s="5">
        <f t="shared" si="81"/>
        <v>7</v>
      </c>
      <c r="F669" s="5">
        <f t="shared" si="82"/>
        <v>2025</v>
      </c>
      <c r="G669" s="3" t="s">
        <v>2888</v>
      </c>
      <c r="H669" s="9">
        <f>IFERROR(DATEVALUE(TEXT(G669,"DD/MM/YYYY")), IF(ISNUMBER(G669), G669, ""))</f>
        <v>45851</v>
      </c>
      <c r="I669" s="9" t="str">
        <f>IF(G669="","Missing", IF(AND(ISNUMBER(G669)=FALSE, H669=""),"Invalid - Could Not Parse", IF(AND(ISNUMBER(G669)=FALSE, H669&lt;&gt;""),"Text - Converted to Date", IF(ISNUMBER(G669),"Valid","Check"))))</f>
        <v>Text - Converted to Date</v>
      </c>
      <c r="J669" s="9" t="str">
        <f>IF(OR(C669="", H669=""), "Cannot Check - Date Missing", IF(H669&lt;C669, "Invalid - Ship Before Order", "Valid"))</f>
        <v>Valid</v>
      </c>
      <c r="K669" s="5">
        <f>IF(OR(C669="", H669=""), "", IF(H669&lt;C669, "", H669-C669))</f>
        <v>4</v>
      </c>
      <c r="L669" s="3" t="s">
        <v>2889</v>
      </c>
      <c r="M669" s="3" t="s">
        <v>366</v>
      </c>
      <c r="N669" s="4" t="str">
        <f>TRIM(SUBSTITUTE(M669,"_"," "))</f>
        <v>Kabir Singh</v>
      </c>
      <c r="O669" s="3" t="s">
        <v>108</v>
      </c>
      <c r="P669" s="6" t="str">
        <f>PROPER(TRIM(SUBSTITUTE(O669,".","")))</f>
        <v>Corporate</v>
      </c>
      <c r="Q669" s="3" t="s">
        <v>73</v>
      </c>
      <c r="R669" s="7" t="str">
        <f>PROPER(TRIM(SUBSTITUTE(Q669,"  "," ")))</f>
        <v>West</v>
      </c>
      <c r="S669" s="3" t="s">
        <v>249</v>
      </c>
      <c r="T669" s="6" t="str">
        <f>PROPER(TRIM(SUBSTITUTE(S669,"  "," ")))</f>
        <v>Goa</v>
      </c>
      <c r="U669" s="3" t="s">
        <v>250</v>
      </c>
      <c r="V669" s="6" t="str">
        <f>PROPER(TRIM(SUBSTITUTE(U669,"  "," ")))</f>
        <v>Panaji</v>
      </c>
      <c r="W669" s="3" t="s">
        <v>45</v>
      </c>
      <c r="X669" s="6" t="str">
        <f>PROPER(TRIM(SUBSTITUTE(W669,"  "," ")))</f>
        <v>Furniture</v>
      </c>
      <c r="Y669" s="3" t="s">
        <v>65</v>
      </c>
      <c r="Z669" s="6" t="str">
        <f>PROPER(TRIM(SUBSTITUTE(Y669,"  "," ")))</f>
        <v>Furnishings</v>
      </c>
      <c r="AA669" s="3" t="s">
        <v>2890</v>
      </c>
      <c r="AB669" s="3" t="s">
        <v>33</v>
      </c>
      <c r="AC669" s="6" t="str">
        <f>PROPER(TRIM(SUBSTITUTE(AB669,"  "," ")))</f>
        <v>Second Class</v>
      </c>
      <c r="AD669" s="3">
        <v>5</v>
      </c>
      <c r="AE669" s="3">
        <v>1680.01</v>
      </c>
      <c r="AF669" s="3" t="s">
        <v>1170</v>
      </c>
      <c r="AG669" s="17" t="s">
        <v>1170</v>
      </c>
      <c r="AH669" s="6" t="str">
        <f t="shared" si="83"/>
        <v>Invalid - Above Range</v>
      </c>
      <c r="AI669" s="3">
        <v>7560.04</v>
      </c>
      <c r="AJ669" s="3">
        <v>6448.05</v>
      </c>
      <c r="AK669" s="3">
        <v>1111.99</v>
      </c>
      <c r="AL669" s="3" t="s">
        <v>34</v>
      </c>
      <c r="AM669" s="6" t="str">
        <f>PROPER(TRIM(SUBSTITUTE(AL669,".","")))</f>
        <v>Paid</v>
      </c>
      <c r="AN669" s="3" t="s">
        <v>78</v>
      </c>
      <c r="AO669" s="8" t="str">
        <f>PROPER(TRIM(SUBSTITUTE(AN669,".","")))</f>
        <v>Cancelled</v>
      </c>
      <c r="AP669" t="str">
        <f>IF(COUNTIF($A$2:$A$933, A669) &gt; 1, "Duplicate ID", "Unique")</f>
        <v>Unique</v>
      </c>
      <c r="AR669">
        <f t="shared" si="84"/>
        <v>1260.0075000000002</v>
      </c>
      <c r="AS669">
        <f t="shared" si="85"/>
        <v>-5188.0424999999996</v>
      </c>
      <c r="AT669" s="15">
        <f t="shared" si="86"/>
        <v>-4.1174695388717915</v>
      </c>
      <c r="AU669" t="str">
        <f t="shared" si="87"/>
        <v>Invalid</v>
      </c>
      <c r="AV669" s="8" t="str">
        <f t="shared" si="88"/>
        <v>Cancelled</v>
      </c>
    </row>
    <row r="670" spans="1:48">
      <c r="A670" s="3" t="s">
        <v>3675</v>
      </c>
      <c r="B670" s="3" t="s">
        <v>3676</v>
      </c>
      <c r="C670" s="9">
        <f>IFERROR(DATEVALUE(TEXT(B670,"DD/MM/YYYY")), IF(ISNUMBER(B670), B670, ""))</f>
        <v>45849</v>
      </c>
      <c r="D670" s="9" t="str">
        <f>IF(B670="","Missing", IF(AND(ISNUMBER(B670)=FALSE, C670=""),"Invalid - Could Not Parse", IF(AND(ISNUMBER(B670)=FALSE, C670&lt;&gt;""),"Text - Converted to Date", IF(ISNUMBER(B670),"Valid","Check"))))</f>
        <v>Text - Converted to Date</v>
      </c>
      <c r="E670" s="5">
        <f t="shared" si="81"/>
        <v>7</v>
      </c>
      <c r="F670" s="5">
        <f t="shared" si="82"/>
        <v>2025</v>
      </c>
      <c r="G670" s="3" t="s">
        <v>3677</v>
      </c>
      <c r="H670" s="9">
        <f>IFERROR(DATEVALUE(TEXT(G670,"DD/MM/YYYY")), IF(ISNUMBER(G670), G670, ""))</f>
        <v>45847</v>
      </c>
      <c r="I670" s="9" t="str">
        <f>IF(G670="","Missing", IF(AND(ISNUMBER(G670)=FALSE, H670=""),"Invalid - Could Not Parse", IF(AND(ISNUMBER(G670)=FALSE, H670&lt;&gt;""),"Text - Converted to Date", IF(ISNUMBER(G670),"Valid","Check"))))</f>
        <v>Text - Converted to Date</v>
      </c>
      <c r="J670" s="9" t="str">
        <f>IF(OR(C670="", H670=""), "Cannot Check - Date Missing", IF(H670&lt;C670, "Invalid - Ship Before Order", "Valid"))</f>
        <v>Invalid - Ship Before Order</v>
      </c>
      <c r="K670" s="5" t="str">
        <f>IF(OR(C670="", H670=""), "", IF(H670&lt;C670, "", H670-C670))</f>
        <v/>
      </c>
      <c r="L670" s="3" t="s">
        <v>3678</v>
      </c>
      <c r="M670" s="3" t="s">
        <v>107</v>
      </c>
      <c r="N670" s="4" t="str">
        <f>TRIM(SUBSTITUTE(M670,"_"," "))</f>
        <v>Aditi Sen</v>
      </c>
      <c r="O670" s="3" t="s">
        <v>108</v>
      </c>
      <c r="P670" s="6" t="str">
        <f>PROPER(TRIM(SUBSTITUTE(O670,".","")))</f>
        <v>Corporate</v>
      </c>
      <c r="Q670" s="3" t="s">
        <v>27</v>
      </c>
      <c r="R670" s="7" t="str">
        <f>PROPER(TRIM(SUBSTITUTE(Q670,"  "," ")))</f>
        <v>North</v>
      </c>
      <c r="S670" s="3" t="s">
        <v>506</v>
      </c>
      <c r="T670" s="6" t="str">
        <f>PROPER(TRIM(SUBSTITUTE(S670,"  "," ")))</f>
        <v>Delhi</v>
      </c>
      <c r="U670" s="3" t="s">
        <v>507</v>
      </c>
      <c r="V670" s="6" t="str">
        <f>PROPER(TRIM(SUBSTITUTE(U670,"  "," ")))</f>
        <v>New Delhi</v>
      </c>
      <c r="W670" s="3" t="s">
        <v>45</v>
      </c>
      <c r="X670" s="6" t="str">
        <f>PROPER(TRIM(SUBSTITUTE(W670,"  "," ")))</f>
        <v>Furniture</v>
      </c>
      <c r="Y670" s="3" t="s">
        <v>65</v>
      </c>
      <c r="Z670" s="6" t="str">
        <f>PROPER(TRIM(SUBSTITUTE(Y670,"  "," ")))</f>
        <v>Furnishings</v>
      </c>
      <c r="AA670" s="3" t="s">
        <v>3679</v>
      </c>
      <c r="AB670" s="3" t="s">
        <v>67</v>
      </c>
      <c r="AC670" s="6" t="str">
        <f>PROPER(TRIM(SUBSTITUTE(AB670,"  "," ")))</f>
        <v>Standard Class</v>
      </c>
      <c r="AD670" s="3">
        <v>9</v>
      </c>
      <c r="AE670" s="3">
        <v>1706.05</v>
      </c>
      <c r="AF670" s="3">
        <v>0</v>
      </c>
      <c r="AG670" s="17">
        <v>0</v>
      </c>
      <c r="AH670" s="6" t="str">
        <f t="shared" si="83"/>
        <v>Valid</v>
      </c>
      <c r="AI670" s="3">
        <v>15354.45</v>
      </c>
      <c r="AJ670" s="3">
        <v>9656.5</v>
      </c>
      <c r="AK670" s="3">
        <v>5697.95</v>
      </c>
      <c r="AL670" s="3" t="s">
        <v>34</v>
      </c>
      <c r="AM670" s="6" t="str">
        <f>PROPER(TRIM(SUBSTITUTE(AL670,".","")))</f>
        <v>Paid</v>
      </c>
      <c r="AN670" s="3" t="s">
        <v>35</v>
      </c>
      <c r="AO670" s="8" t="str">
        <f>PROPER(TRIM(SUBSTITUTE(AN670,".","")))</f>
        <v>Completed</v>
      </c>
      <c r="AP670" t="str">
        <f>IF(COUNTIF($A$2:$A$933, A670) &gt; 1, "Duplicate ID", "Unique")</f>
        <v>Unique</v>
      </c>
      <c r="AR670">
        <f t="shared" si="84"/>
        <v>15354.449999999999</v>
      </c>
      <c r="AS670">
        <f t="shared" si="85"/>
        <v>5697.9499999999989</v>
      </c>
      <c r="AT670" s="15">
        <f t="shared" si="86"/>
        <v>0.37109437329243311</v>
      </c>
      <c r="AU670" t="str">
        <f t="shared" si="87"/>
        <v>Invalid</v>
      </c>
      <c r="AV670" s="8" t="str">
        <f t="shared" si="88"/>
        <v>Active</v>
      </c>
    </row>
    <row r="671" spans="1:48">
      <c r="A671" s="3" t="s">
        <v>604</v>
      </c>
      <c r="B671" s="3" t="s">
        <v>605</v>
      </c>
      <c r="C671" s="9">
        <f>IFERROR(DATEVALUE(TEXT(B671,"DD/MM/YYYY")), IF(ISNUMBER(B671), B671, ""))</f>
        <v>45850</v>
      </c>
      <c r="D671" s="9" t="str">
        <f>IF(B671="","Missing", IF(AND(ISNUMBER(B671)=FALSE, C671=""),"Invalid - Could Not Parse", IF(AND(ISNUMBER(B671)=FALSE, C671&lt;&gt;""),"Text - Converted to Date", IF(ISNUMBER(B671),"Valid","Check"))))</f>
        <v>Text - Converted to Date</v>
      </c>
      <c r="E671" s="5">
        <f t="shared" si="81"/>
        <v>7</v>
      </c>
      <c r="F671" s="5">
        <f t="shared" si="82"/>
        <v>2025</v>
      </c>
      <c r="G671" s="3" t="s">
        <v>606</v>
      </c>
      <c r="H671" s="9">
        <f>IFERROR(DATEVALUE(TEXT(G671,"DD/MM/YYYY")), IF(ISNUMBER(G671), G671, ""))</f>
        <v>45854</v>
      </c>
      <c r="I671" s="9" t="str">
        <f>IF(G671="","Missing", IF(AND(ISNUMBER(G671)=FALSE, H671=""),"Invalid - Could Not Parse", IF(AND(ISNUMBER(G671)=FALSE, H671&lt;&gt;""),"Text - Converted to Date", IF(ISNUMBER(G671),"Valid","Check"))))</f>
        <v>Text - Converted to Date</v>
      </c>
      <c r="J671" s="9" t="str">
        <f>IF(OR(C671="", H671=""), "Cannot Check - Date Missing", IF(H671&lt;C671, "Invalid - Ship Before Order", "Valid"))</f>
        <v>Valid</v>
      </c>
      <c r="K671" s="5">
        <f>IF(OR(C671="", H671=""), "", IF(H671&lt;C671, "", H671-C671))</f>
        <v>4</v>
      </c>
      <c r="L671" s="3" t="s">
        <v>607</v>
      </c>
      <c r="M671" s="3" t="s">
        <v>83</v>
      </c>
      <c r="N671" s="4" t="str">
        <f>TRIM(SUBSTITUTE(M671,"_"," "))</f>
        <v>Vikram Iyer</v>
      </c>
      <c r="O671" s="3" t="s">
        <v>26</v>
      </c>
      <c r="P671" s="6" t="str">
        <f>PROPER(TRIM(SUBSTITUTE(O671,".","")))</f>
        <v>Consumer</v>
      </c>
      <c r="Q671" s="3" t="s">
        <v>62</v>
      </c>
      <c r="R671" s="7" t="str">
        <f>PROPER(TRIM(SUBSTITUTE(Q671,"  "," ")))</f>
        <v>South</v>
      </c>
      <c r="S671" s="3" t="s">
        <v>229</v>
      </c>
      <c r="T671" s="6" t="str">
        <f>PROPER(TRIM(SUBSTITUTE(S671,"  "," ")))</f>
        <v>Karnataka</v>
      </c>
      <c r="U671" s="3" t="s">
        <v>230</v>
      </c>
      <c r="V671" s="6" t="str">
        <f>PROPER(TRIM(SUBSTITUTE(U671,"  "," ")))</f>
        <v>Bengaluru</v>
      </c>
      <c r="W671" s="3" t="s">
        <v>45</v>
      </c>
      <c r="X671" s="6" t="str">
        <f>PROPER(TRIM(SUBSTITUTE(W671,"  "," ")))</f>
        <v>Furniture</v>
      </c>
      <c r="Y671" s="3" t="s">
        <v>76</v>
      </c>
      <c r="Z671" s="6" t="str">
        <f>PROPER(TRIM(SUBSTITUTE(Y671,"  "," ")))</f>
        <v>Chairs</v>
      </c>
      <c r="AA671" s="3" t="s">
        <v>608</v>
      </c>
      <c r="AB671" s="3" t="s">
        <v>56</v>
      </c>
      <c r="AC671" s="6" t="str">
        <f>PROPER(TRIM(SUBSTITUTE(AB671,"  "," ")))</f>
        <v>First Class</v>
      </c>
      <c r="AD671" s="3">
        <v>4</v>
      </c>
      <c r="AE671" s="3">
        <v>2865.71</v>
      </c>
      <c r="AF671" s="3">
        <v>0</v>
      </c>
      <c r="AG671" s="17">
        <v>0</v>
      </c>
      <c r="AH671" s="6" t="str">
        <f t="shared" si="83"/>
        <v>Valid</v>
      </c>
      <c r="AI671" s="3">
        <v>11462.84</v>
      </c>
      <c r="AJ671" s="3">
        <v>8979.7800000000007</v>
      </c>
      <c r="AK671" s="3">
        <v>2483.06</v>
      </c>
      <c r="AL671" s="3" t="s">
        <v>124</v>
      </c>
      <c r="AM671" s="6" t="str">
        <f>PROPER(TRIM(SUBSTITUTE(AL671,".","")))</f>
        <v>Refunded</v>
      </c>
      <c r="AN671" s="3" t="s">
        <v>78</v>
      </c>
      <c r="AO671" s="8" t="str">
        <f>PROPER(TRIM(SUBSTITUTE(AN671,".","")))</f>
        <v>Cancelled</v>
      </c>
      <c r="AP671" t="str">
        <f>IF(COUNTIF($A$2:$A$933, A671) &gt; 1, "Duplicate ID", "Unique")</f>
        <v>Unique</v>
      </c>
      <c r="AR671">
        <f t="shared" si="84"/>
        <v>11462.84</v>
      </c>
      <c r="AS671">
        <f t="shared" si="85"/>
        <v>2483.0599999999995</v>
      </c>
      <c r="AT671" s="15">
        <f t="shared" si="86"/>
        <v>0.21661822026653077</v>
      </c>
      <c r="AU671" t="str">
        <f t="shared" si="87"/>
        <v>Clean</v>
      </c>
      <c r="AV671" s="8" t="str">
        <f t="shared" si="88"/>
        <v>Refund</v>
      </c>
    </row>
    <row r="672" spans="1:48">
      <c r="A672" s="3" t="s">
        <v>1569</v>
      </c>
      <c r="B672" s="3" t="s">
        <v>1570</v>
      </c>
      <c r="C672" s="9">
        <f>IFERROR(DATEVALUE(TEXT(B672,"DD/MM/YYYY")), IF(ISNUMBER(B672), B672, ""))</f>
        <v>45850</v>
      </c>
      <c r="D672" s="9" t="str">
        <f>IF(B672="","Missing", IF(AND(ISNUMBER(B672)=FALSE, C672=""),"Invalid - Could Not Parse", IF(AND(ISNUMBER(B672)=FALSE, C672&lt;&gt;""),"Text - Converted to Date", IF(ISNUMBER(B672),"Valid","Check"))))</f>
        <v>Text - Converted to Date</v>
      </c>
      <c r="E672" s="5">
        <f t="shared" si="81"/>
        <v>7</v>
      </c>
      <c r="F672" s="5">
        <f t="shared" si="82"/>
        <v>2025</v>
      </c>
      <c r="G672" s="3" t="s">
        <v>1571</v>
      </c>
      <c r="H672" s="9">
        <f>IFERROR(DATEVALUE(TEXT(G672,"DD/MM/YYYY")), IF(ISNUMBER(G672), G672, ""))</f>
        <v>45857</v>
      </c>
      <c r="I672" s="9" t="str">
        <f>IF(G672="","Missing", IF(AND(ISNUMBER(G672)=FALSE, H672=""),"Invalid - Could Not Parse", IF(AND(ISNUMBER(G672)=FALSE, H672&lt;&gt;""),"Text - Converted to Date", IF(ISNUMBER(G672),"Valid","Check"))))</f>
        <v>Text - Converted to Date</v>
      </c>
      <c r="J672" s="9" t="str">
        <f>IF(OR(C672="", H672=""), "Cannot Check - Date Missing", IF(H672&lt;C672, "Invalid - Ship Before Order", "Valid"))</f>
        <v>Valid</v>
      </c>
      <c r="K672" s="5">
        <f>IF(OR(C672="", H672=""), "", IF(H672&lt;C672, "", H672-C672))</f>
        <v>7</v>
      </c>
      <c r="L672" s="3" t="s">
        <v>1572</v>
      </c>
      <c r="M672" s="3" t="s">
        <v>72</v>
      </c>
      <c r="N672" s="4" t="str">
        <f>TRIM(SUBSTITUTE(M672,"_"," "))</f>
        <v>Ananya Rao</v>
      </c>
      <c r="O672" s="3" t="s">
        <v>108</v>
      </c>
      <c r="P672" s="6" t="str">
        <f>PROPER(TRIM(SUBSTITUTE(O672,".","")))</f>
        <v>Corporate</v>
      </c>
      <c r="Q672" s="3" t="s">
        <v>27</v>
      </c>
      <c r="R672" s="7" t="str">
        <f>PROPER(TRIM(SUBSTITUTE(Q672,"  "," ")))</f>
        <v>North</v>
      </c>
      <c r="S672" s="3" t="s">
        <v>174</v>
      </c>
      <c r="T672" s="6" t="str">
        <f>PROPER(TRIM(SUBSTITUTE(S672,"  "," ")))</f>
        <v>Uttar Pradesh</v>
      </c>
      <c r="U672" s="3" t="s">
        <v>175</v>
      </c>
      <c r="V672" s="6" t="str">
        <f>PROPER(TRIM(SUBSTITUTE(U672,"  "," ")))</f>
        <v>Noida</v>
      </c>
      <c r="W672" s="3" t="s">
        <v>45</v>
      </c>
      <c r="X672" s="6" t="str">
        <f>PROPER(TRIM(SUBSTITUTE(W672,"  "," ")))</f>
        <v>Furniture</v>
      </c>
      <c r="Y672" s="3" t="s">
        <v>46</v>
      </c>
      <c r="Z672" s="6" t="str">
        <f>PROPER(TRIM(SUBSTITUTE(Y672,"  "," ")))</f>
        <v>Tables</v>
      </c>
      <c r="AA672" s="3" t="s">
        <v>1573</v>
      </c>
      <c r="AB672" s="3" t="s">
        <v>56</v>
      </c>
      <c r="AC672" s="6" t="str">
        <f>PROPER(TRIM(SUBSTITUTE(AB672,"  "," ")))</f>
        <v>First Class</v>
      </c>
      <c r="AD672" s="3">
        <v>9</v>
      </c>
      <c r="AE672" s="3">
        <v>4093.04</v>
      </c>
      <c r="AF672" s="3">
        <v>0.2</v>
      </c>
      <c r="AG672" s="17">
        <v>0.2</v>
      </c>
      <c r="AH672" s="6" t="str">
        <f t="shared" si="83"/>
        <v>Valid</v>
      </c>
      <c r="AI672" s="3">
        <v>29469.89</v>
      </c>
      <c r="AJ672" s="3">
        <v>18935.509999999998</v>
      </c>
      <c r="AK672" s="3">
        <v>10534.38</v>
      </c>
      <c r="AL672" s="3" t="s">
        <v>1574</v>
      </c>
      <c r="AM672" s="6" t="str">
        <f>PROPER(TRIM(SUBSTITUTE(AL672,".","")))</f>
        <v>Pending</v>
      </c>
      <c r="AN672" s="3" t="s">
        <v>78</v>
      </c>
      <c r="AO672" s="8" t="str">
        <f>PROPER(TRIM(SUBSTITUTE(AN672,".","")))</f>
        <v>Cancelled</v>
      </c>
      <c r="AP672" t="str">
        <f>IF(COUNTIF($A$2:$A$933, A672) &gt; 1, "Duplicate ID", "Unique")</f>
        <v>Unique</v>
      </c>
      <c r="AR672">
        <f t="shared" si="84"/>
        <v>29469.888000000003</v>
      </c>
      <c r="AS672">
        <f t="shared" si="85"/>
        <v>10534.378000000004</v>
      </c>
      <c r="AT672" s="15">
        <f t="shared" si="86"/>
        <v>0.3574624375905332</v>
      </c>
      <c r="AU672" t="str">
        <f t="shared" si="87"/>
        <v>Clean</v>
      </c>
      <c r="AV672" s="8" t="str">
        <f t="shared" si="88"/>
        <v>Cancelled</v>
      </c>
    </row>
    <row r="673" spans="1:48">
      <c r="A673" s="3" t="s">
        <v>760</v>
      </c>
      <c r="B673" s="3" t="s">
        <v>761</v>
      </c>
      <c r="C673" s="9">
        <v>45852</v>
      </c>
      <c r="D673" s="9" t="str">
        <f>IF(B673="","Missing", IF(AND(ISNUMBER(B673)=FALSE, C673=""),"Invalid - Could Not Parse", IF(AND(ISNUMBER(B673)=FALSE, C673&lt;&gt;""),"Text - Converted to Date", IF(ISNUMBER(B673),"Valid","Check"))))</f>
        <v>Text - Converted to Date</v>
      </c>
      <c r="E673" s="5">
        <f t="shared" si="81"/>
        <v>7</v>
      </c>
      <c r="F673" s="5">
        <f t="shared" si="82"/>
        <v>2025</v>
      </c>
      <c r="G673" s="3" t="s">
        <v>762</v>
      </c>
      <c r="H673" s="9">
        <f>IFERROR(DATEVALUE(TEXT(G673,"DD/MM/YYYY")), IF(ISNUMBER(G673), G673, ""))</f>
        <v>45852</v>
      </c>
      <c r="I673" s="9" t="str">
        <f>IF(G673="","Missing", IF(AND(ISNUMBER(G673)=FALSE, H673=""),"Invalid - Could Not Parse", IF(AND(ISNUMBER(G673)=FALSE, H673&lt;&gt;""),"Text - Converted to Date", IF(ISNUMBER(G673),"Valid","Check"))))</f>
        <v>Text - Converted to Date</v>
      </c>
      <c r="J673" s="9" t="str">
        <f>IF(OR(C673="", H673=""), "Cannot Check - Date Missing", IF(H673&lt;C673, "Invalid - Ship Before Order", "Valid"))</f>
        <v>Valid</v>
      </c>
      <c r="K673" s="5">
        <f>IF(OR(C673="", H673=""), "", IF(H673&lt;C673, "", H673-C673))</f>
        <v>0</v>
      </c>
      <c r="L673" s="3" t="s">
        <v>763</v>
      </c>
      <c r="M673" s="3" t="s">
        <v>83</v>
      </c>
      <c r="N673" s="4" t="str">
        <f>TRIM(SUBSTITUTE(M673,"_"," "))</f>
        <v>Vikram Iyer</v>
      </c>
      <c r="O673" s="3" t="s">
        <v>115</v>
      </c>
      <c r="P673" s="6" t="str">
        <f>PROPER(TRIM(SUBSTITUTE(O673,".","")))</f>
        <v>Home Office</v>
      </c>
      <c r="Q673" s="3" t="s">
        <v>42</v>
      </c>
      <c r="R673" s="7" t="str">
        <f>PROPER(TRIM(SUBSTITUTE(Q673,"  "," ")))</f>
        <v>East</v>
      </c>
      <c r="S673" s="3" t="s">
        <v>121</v>
      </c>
      <c r="T673" s="6" t="str">
        <f>PROPER(TRIM(SUBSTITUTE(S673,"  "," ")))</f>
        <v>West Bengal</v>
      </c>
      <c r="U673" s="3" t="s">
        <v>122</v>
      </c>
      <c r="V673" s="6" t="str">
        <f>PROPER(TRIM(SUBSTITUTE(U673,"  "," ")))</f>
        <v>Kolkata</v>
      </c>
      <c r="W673" s="3" t="s">
        <v>45</v>
      </c>
      <c r="X673" s="6" t="str">
        <f>PROPER(TRIM(SUBSTITUTE(W673,"  "," ")))</f>
        <v>Furniture</v>
      </c>
      <c r="Y673" s="3" t="s">
        <v>204</v>
      </c>
      <c r="Z673" s="6" t="str">
        <f>PROPER(TRIM(SUBSTITUTE(Y673,"  "," ")))</f>
        <v>Bookcases</v>
      </c>
      <c r="AA673" s="3" t="s">
        <v>764</v>
      </c>
      <c r="AB673" s="3"/>
      <c r="AC673" s="11" t="str">
        <f>IF(ISBLANK(AB673), "Unknown", AB673)</f>
        <v>Unknown</v>
      </c>
      <c r="AD673" s="3">
        <v>5</v>
      </c>
      <c r="AE673" s="3">
        <v>383.1</v>
      </c>
      <c r="AF673" s="3">
        <v>0.25</v>
      </c>
      <c r="AG673" s="17">
        <v>0.25</v>
      </c>
      <c r="AH673" s="6" t="str">
        <f t="shared" si="83"/>
        <v>Valid</v>
      </c>
      <c r="AI673" s="3">
        <v>1436.62</v>
      </c>
      <c r="AJ673" s="3">
        <v>912.52</v>
      </c>
      <c r="AK673" s="3">
        <v>524.1</v>
      </c>
      <c r="AL673" s="3" t="s">
        <v>137</v>
      </c>
      <c r="AM673" s="6" t="str">
        <f>PROPER(TRIM(SUBSTITUTE(AL673,".","")))</f>
        <v>Pending</v>
      </c>
      <c r="AN673" s="3" t="s">
        <v>78</v>
      </c>
      <c r="AO673" s="8" t="str">
        <f>PROPER(TRIM(SUBSTITUTE(AN673,".","")))</f>
        <v>Cancelled</v>
      </c>
      <c r="AP673" t="str">
        <f>IF(COUNTIF($A$2:$A$933, A673) &gt; 1, "Duplicate ID", "Unique")</f>
        <v>Unique</v>
      </c>
      <c r="AR673">
        <f t="shared" si="84"/>
        <v>1436.625</v>
      </c>
      <c r="AS673">
        <f t="shared" si="85"/>
        <v>524.10500000000002</v>
      </c>
      <c r="AT673" s="15">
        <f t="shared" si="86"/>
        <v>0.36481684503610895</v>
      </c>
      <c r="AU673" t="str">
        <f t="shared" si="87"/>
        <v>Clean</v>
      </c>
      <c r="AV673" s="8" t="str">
        <f t="shared" si="88"/>
        <v>Cancelled</v>
      </c>
    </row>
    <row r="674" spans="1:48">
      <c r="A674" s="3" t="s">
        <v>2699</v>
      </c>
      <c r="B674" s="3" t="s">
        <v>762</v>
      </c>
      <c r="C674" s="9">
        <f>IFERROR(DATEVALUE(TEXT(B674,"DD/MM/YYYY")), IF(ISNUMBER(B674), B674, ""))</f>
        <v>45852</v>
      </c>
      <c r="D674" s="9" t="str">
        <f>IF(B674="","Missing", IF(AND(ISNUMBER(B674)=FALSE, C674=""),"Invalid - Could Not Parse", IF(AND(ISNUMBER(B674)=FALSE, C674&lt;&gt;""),"Text - Converted to Date", IF(ISNUMBER(B674),"Valid","Check"))))</f>
        <v>Text - Converted to Date</v>
      </c>
      <c r="E674" s="5">
        <f t="shared" si="81"/>
        <v>7</v>
      </c>
      <c r="F674" s="5">
        <f t="shared" si="82"/>
        <v>2025</v>
      </c>
      <c r="G674" s="3" t="s">
        <v>2700</v>
      </c>
      <c r="H674" s="9">
        <f>IFERROR(DATEVALUE(TEXT(G674,"DD/MM/YYYY")), IF(ISNUMBER(G674), G674, ""))</f>
        <v>45856</v>
      </c>
      <c r="I674" s="9" t="str">
        <f>IF(G674="","Missing", IF(AND(ISNUMBER(G674)=FALSE, H674=""),"Invalid - Could Not Parse", IF(AND(ISNUMBER(G674)=FALSE, H674&lt;&gt;""),"Text - Converted to Date", IF(ISNUMBER(G674),"Valid","Check"))))</f>
        <v>Text - Converted to Date</v>
      </c>
      <c r="J674" s="9" t="str">
        <f>IF(OR(C674="", H674=""), "Cannot Check - Date Missing", IF(H674&lt;C674, "Invalid - Ship Before Order", "Valid"))</f>
        <v>Valid</v>
      </c>
      <c r="K674" s="5">
        <f>IF(OR(C674="", H674=""), "", IF(H674&lt;C674, "", H674-C674))</f>
        <v>4</v>
      </c>
      <c r="L674" s="3" t="s">
        <v>2701</v>
      </c>
      <c r="M674" s="3" t="s">
        <v>107</v>
      </c>
      <c r="N674" s="4" t="str">
        <f>TRIM(SUBSTITUTE(M674,"_"," "))</f>
        <v>Aditi Sen</v>
      </c>
      <c r="O674" s="3" t="s">
        <v>26</v>
      </c>
      <c r="P674" s="6" t="str">
        <f>PROPER(TRIM(SUBSTITUTE(O674,".","")))</f>
        <v>Consumer</v>
      </c>
      <c r="Q674" s="3" t="s">
        <v>27</v>
      </c>
      <c r="R674" s="7" t="str">
        <f>PROPER(TRIM(SUBSTITUTE(Q674,"  "," ")))</f>
        <v>North</v>
      </c>
      <c r="S674" s="3" t="s">
        <v>154</v>
      </c>
      <c r="T674" s="6" t="str">
        <f>PROPER(TRIM(SUBSTITUTE(S674,"  "," ")))</f>
        <v>Punjab</v>
      </c>
      <c r="U674" s="3" t="s">
        <v>155</v>
      </c>
      <c r="V674" s="6" t="str">
        <f>PROPER(TRIM(SUBSTITUTE(U674,"  "," ")))</f>
        <v>Ludhiana</v>
      </c>
      <c r="W674" s="3" t="s">
        <v>86</v>
      </c>
      <c r="X674" s="6" t="str">
        <f>PROPER(TRIM(SUBSTITUTE(W674,"  "," ")))</f>
        <v>Technology</v>
      </c>
      <c r="Y674" s="3" t="s">
        <v>94</v>
      </c>
      <c r="Z674" s="6" t="str">
        <f>PROPER(TRIM(SUBSTITUTE(Y674,"  "," ")))</f>
        <v>Copiers</v>
      </c>
      <c r="AA674" s="3" t="s">
        <v>2702</v>
      </c>
      <c r="AB674" s="3" t="s">
        <v>56</v>
      </c>
      <c r="AC674" s="6" t="str">
        <f>PROPER(TRIM(SUBSTITUTE(AB674,"  "," ")))</f>
        <v>First Class</v>
      </c>
      <c r="AD674" s="3">
        <v>4</v>
      </c>
      <c r="AE674" s="3">
        <v>725.22</v>
      </c>
      <c r="AF674" s="3">
        <v>0</v>
      </c>
      <c r="AG674" s="17">
        <v>0</v>
      </c>
      <c r="AH674" s="6" t="str">
        <f t="shared" si="83"/>
        <v>Valid</v>
      </c>
      <c r="AI674" s="3">
        <v>2900.88</v>
      </c>
      <c r="AJ674" s="3">
        <v>2391.85</v>
      </c>
      <c r="AK674" s="3">
        <v>509.03</v>
      </c>
      <c r="AL674" s="3" t="s">
        <v>137</v>
      </c>
      <c r="AM674" s="6" t="str">
        <f>PROPER(TRIM(SUBSTITUTE(AL674,".","")))</f>
        <v>Pending</v>
      </c>
      <c r="AN674" s="3" t="s">
        <v>125</v>
      </c>
      <c r="AO674" s="8" t="str">
        <f>PROPER(TRIM(SUBSTITUTE(AN674,".","")))</f>
        <v>Returned</v>
      </c>
      <c r="AP674" t="str">
        <f>IF(COUNTIF($A$2:$A$933, A674) &gt; 1, "Duplicate ID", "Unique")</f>
        <v>Unique</v>
      </c>
      <c r="AR674">
        <f t="shared" si="84"/>
        <v>2900.88</v>
      </c>
      <c r="AS674">
        <f t="shared" si="85"/>
        <v>509.0300000000002</v>
      </c>
      <c r="AT674" s="15">
        <f t="shared" si="86"/>
        <v>0.17547433882132324</v>
      </c>
      <c r="AU674" t="str">
        <f t="shared" si="87"/>
        <v>Warning</v>
      </c>
      <c r="AV674" s="8" t="str">
        <f t="shared" si="88"/>
        <v>Active</v>
      </c>
    </row>
    <row r="675" spans="1:48">
      <c r="A675" s="3" t="s">
        <v>170</v>
      </c>
      <c r="B675" s="3" t="s">
        <v>171</v>
      </c>
      <c r="C675" s="9">
        <v>45853</v>
      </c>
      <c r="D675" s="9" t="str">
        <f>IF(B675="","Missing", IF(AND(ISNUMBER(B675)=FALSE, C675=""),"Invalid - Could Not Parse", IF(AND(ISNUMBER(B675)=FALSE, C675&lt;&gt;""),"Text - Converted to Date", IF(ISNUMBER(B675),"Valid","Check"))))</f>
        <v>Text - Converted to Date</v>
      </c>
      <c r="E675" s="5">
        <f t="shared" si="81"/>
        <v>7</v>
      </c>
      <c r="F675" s="5">
        <f t="shared" si="82"/>
        <v>2025</v>
      </c>
      <c r="G675" s="3" t="s">
        <v>172</v>
      </c>
      <c r="H675" s="9">
        <f>IFERROR(DATEVALUE(TEXT(G675,"DD/MM/YYYY")), IF(ISNUMBER(G675), G675, ""))</f>
        <v>45855</v>
      </c>
      <c r="I675" s="9" t="str">
        <f>IF(G675="","Missing", IF(AND(ISNUMBER(G675)=FALSE, H675=""),"Invalid - Could Not Parse", IF(AND(ISNUMBER(G675)=FALSE, H675&lt;&gt;""),"Text - Converted to Date", IF(ISNUMBER(G675),"Valid","Check"))))</f>
        <v>Text - Converted to Date</v>
      </c>
      <c r="J675" s="9" t="str">
        <f>IF(OR(C675="", H675=""), "Cannot Check - Date Missing", IF(H675&lt;C675, "Invalid - Ship Before Order", "Valid"))</f>
        <v>Valid</v>
      </c>
      <c r="K675" s="5">
        <f>IF(OR(C675="", H675=""), "", IF(H675&lt;C675, "", H675-C675))</f>
        <v>2</v>
      </c>
      <c r="L675" s="3" t="s">
        <v>173</v>
      </c>
      <c r="M675" s="3" t="s">
        <v>162</v>
      </c>
      <c r="N675" s="4" t="str">
        <f>TRIM(SUBSTITUTE(M675,"_"," "))</f>
        <v>Aarav Sharma</v>
      </c>
      <c r="O675" s="3" t="s">
        <v>115</v>
      </c>
      <c r="P675" s="6" t="str">
        <f>PROPER(TRIM(SUBSTITUTE(O675,".","")))</f>
        <v>Home Office</v>
      </c>
      <c r="Q675" s="3" t="s">
        <v>27</v>
      </c>
      <c r="R675" s="7" t="str">
        <f>PROPER(TRIM(SUBSTITUTE(Q675,"  "," ")))</f>
        <v>North</v>
      </c>
      <c r="S675" s="3" t="s">
        <v>174</v>
      </c>
      <c r="T675" s="6" t="str">
        <f>PROPER(TRIM(SUBSTITUTE(S675,"  "," ")))</f>
        <v>Uttar Pradesh</v>
      </c>
      <c r="U675" s="3" t="s">
        <v>175</v>
      </c>
      <c r="V675" s="6" t="str">
        <f>PROPER(TRIM(SUBSTITUTE(U675,"  "," ")))</f>
        <v>Noida</v>
      </c>
      <c r="W675" s="3" t="s">
        <v>86</v>
      </c>
      <c r="X675" s="6" t="str">
        <f>PROPER(TRIM(SUBSTITUTE(W675,"  "," ")))</f>
        <v>Technology</v>
      </c>
      <c r="Y675" s="3" t="s">
        <v>94</v>
      </c>
      <c r="Z675" s="6" t="str">
        <f>PROPER(TRIM(SUBSTITUTE(Y675,"  "," ")))</f>
        <v>Copiers</v>
      </c>
      <c r="AA675" s="3" t="s">
        <v>176</v>
      </c>
      <c r="AB675" s="3" t="s">
        <v>56</v>
      </c>
      <c r="AC675" s="6" t="str">
        <f>PROPER(TRIM(SUBSTITUTE(AB675,"  "," ")))</f>
        <v>First Class</v>
      </c>
      <c r="AD675" s="3">
        <v>2</v>
      </c>
      <c r="AE675" s="3">
        <v>1997.99</v>
      </c>
      <c r="AF675" s="3">
        <v>0</v>
      </c>
      <c r="AG675" s="17">
        <v>0</v>
      </c>
      <c r="AH675" s="6" t="str">
        <f t="shared" si="83"/>
        <v>Valid</v>
      </c>
      <c r="AI675" s="3">
        <v>3995.98</v>
      </c>
      <c r="AJ675" s="3">
        <v>2633.2</v>
      </c>
      <c r="AK675" s="3">
        <v>1362.78</v>
      </c>
      <c r="AL675" s="3" t="s">
        <v>124</v>
      </c>
      <c r="AM675" s="6" t="str">
        <f>PROPER(TRIM(SUBSTITUTE(AL675,".","")))</f>
        <v>Refunded</v>
      </c>
      <c r="AN675" s="3" t="s">
        <v>78</v>
      </c>
      <c r="AO675" s="8" t="str">
        <f>PROPER(TRIM(SUBSTITUTE(AN675,".","")))</f>
        <v>Cancelled</v>
      </c>
      <c r="AP675" t="str">
        <f>IF(COUNTIF($A$2:$A$933, A675) &gt; 1, "Duplicate ID", "Unique")</f>
        <v>Unique</v>
      </c>
      <c r="AR675">
        <f t="shared" si="84"/>
        <v>3995.98</v>
      </c>
      <c r="AS675">
        <f t="shared" si="85"/>
        <v>1362.7800000000002</v>
      </c>
      <c r="AT675" s="15">
        <f t="shared" si="86"/>
        <v>0.34103774293164635</v>
      </c>
      <c r="AU675" t="str">
        <f t="shared" si="87"/>
        <v>Clean</v>
      </c>
      <c r="AV675" s="8" t="str">
        <f t="shared" si="88"/>
        <v>Refund</v>
      </c>
    </row>
    <row r="676" spans="1:48">
      <c r="A676" s="3" t="s">
        <v>3810</v>
      </c>
      <c r="B676" s="3" t="s">
        <v>2908</v>
      </c>
      <c r="C676" s="9">
        <f>IFERROR(DATEVALUE(TEXT(B676,"DD/MM/YYYY")), IF(ISNUMBER(B676), B676, ""))</f>
        <v>45853</v>
      </c>
      <c r="D676" s="9" t="str">
        <f>IF(B676="","Missing", IF(AND(ISNUMBER(B676)=FALSE, C676=""),"Invalid - Could Not Parse", IF(AND(ISNUMBER(B676)=FALSE, C676&lt;&gt;""),"Text - Converted to Date", IF(ISNUMBER(B676),"Valid","Check"))))</f>
        <v>Text - Converted to Date</v>
      </c>
      <c r="E676" s="5">
        <f t="shared" si="81"/>
        <v>7</v>
      </c>
      <c r="F676" s="5">
        <f t="shared" si="82"/>
        <v>2025</v>
      </c>
      <c r="G676" s="3" t="s">
        <v>720</v>
      </c>
      <c r="H676" s="9">
        <f>IFERROR(DATEVALUE(TEXT(G676,"DD/MM/YYYY")), IF(ISNUMBER(G676), G676, ""))</f>
        <v>45856</v>
      </c>
      <c r="I676" s="9" t="str">
        <f>IF(G676="","Missing", IF(AND(ISNUMBER(G676)=FALSE, H676=""),"Invalid - Could Not Parse", IF(AND(ISNUMBER(G676)=FALSE, H676&lt;&gt;""),"Text - Converted to Date", IF(ISNUMBER(G676),"Valid","Check"))))</f>
        <v>Text - Converted to Date</v>
      </c>
      <c r="J676" s="9" t="str">
        <f>IF(OR(C676="", H676=""), "Cannot Check - Date Missing", IF(H676&lt;C676, "Invalid - Ship Before Order", "Valid"))</f>
        <v>Valid</v>
      </c>
      <c r="K676" s="5">
        <f>IF(OR(C676="", H676=""), "", IF(H676&lt;C676, "", H676-C676))</f>
        <v>3</v>
      </c>
      <c r="L676" s="3" t="s">
        <v>3811</v>
      </c>
      <c r="M676" s="3" t="s">
        <v>107</v>
      </c>
      <c r="N676" s="4" t="str">
        <f>TRIM(SUBSTITUTE(M676,"_"," "))</f>
        <v>Aditi Sen</v>
      </c>
      <c r="O676" s="3" t="s">
        <v>41</v>
      </c>
      <c r="P676" s="6" t="str">
        <f>PROPER(TRIM(SUBSTITUTE(O676,".","")))</f>
        <v>Small Business</v>
      </c>
      <c r="Q676" s="3"/>
      <c r="R676" s="6" t="str">
        <f>IF(ISBLANK(Q676), "Unknown", Q676)</f>
        <v>Unknown</v>
      </c>
      <c r="S676" s="3" t="s">
        <v>339</v>
      </c>
      <c r="T676" s="6" t="str">
        <f>PROPER(TRIM(SUBSTITUTE(S676,"  "," ")))</f>
        <v>Tamil Nadu</v>
      </c>
      <c r="U676" s="3" t="s">
        <v>340</v>
      </c>
      <c r="V676" s="6" t="str">
        <f>PROPER(TRIM(SUBSTITUTE(U676,"  "," ")))</f>
        <v>Chennai</v>
      </c>
      <c r="W676" s="3" t="s">
        <v>86</v>
      </c>
      <c r="X676" s="6" t="str">
        <f>PROPER(TRIM(SUBSTITUTE(W676,"  "," ")))</f>
        <v>Technology</v>
      </c>
      <c r="Y676" s="3" t="s">
        <v>382</v>
      </c>
      <c r="Z676" s="6" t="str">
        <f>PROPER(TRIM(SUBSTITUTE(Y676,"  "," ")))</f>
        <v>Machines</v>
      </c>
      <c r="AA676" s="3" t="s">
        <v>3812</v>
      </c>
      <c r="AB676" s="3" t="s">
        <v>56</v>
      </c>
      <c r="AC676" s="6" t="str">
        <f>PROPER(TRIM(SUBSTITUTE(AB676,"  "," ")))</f>
        <v>First Class</v>
      </c>
      <c r="AD676" s="3">
        <v>6</v>
      </c>
      <c r="AE676" s="3">
        <v>2382.88</v>
      </c>
      <c r="AF676" s="3">
        <v>0.1</v>
      </c>
      <c r="AG676" s="17">
        <v>0.1</v>
      </c>
      <c r="AH676" s="6" t="str">
        <f t="shared" si="83"/>
        <v>Valid</v>
      </c>
      <c r="AI676" s="3">
        <v>12867.55</v>
      </c>
      <c r="AJ676" s="3">
        <v>10068.94</v>
      </c>
      <c r="AK676" s="3">
        <v>2798.61</v>
      </c>
      <c r="AL676" s="3" t="s">
        <v>34</v>
      </c>
      <c r="AM676" s="6" t="str">
        <f>PROPER(TRIM(SUBSTITUTE(AL676,".","")))</f>
        <v>Paid</v>
      </c>
      <c r="AN676" s="3" t="s">
        <v>35</v>
      </c>
      <c r="AO676" s="8" t="str">
        <f>PROPER(TRIM(SUBSTITUTE(AN676,".","")))</f>
        <v>Completed</v>
      </c>
      <c r="AP676" t="str">
        <f>IF(COUNTIF($A$2:$A$933, A676) &gt; 1, "Duplicate ID", "Unique")</f>
        <v>Unique</v>
      </c>
      <c r="AR676">
        <f t="shared" si="84"/>
        <v>12867.552000000001</v>
      </c>
      <c r="AS676">
        <f t="shared" si="85"/>
        <v>2798.612000000001</v>
      </c>
      <c r="AT676" s="15">
        <f t="shared" si="86"/>
        <v>0.21749373929089236</v>
      </c>
      <c r="AU676" t="str">
        <f t="shared" si="87"/>
        <v>Clean</v>
      </c>
      <c r="AV676" s="8" t="str">
        <f t="shared" si="88"/>
        <v>Active</v>
      </c>
    </row>
    <row r="677" spans="1:48">
      <c r="A677" s="3" t="s">
        <v>3986</v>
      </c>
      <c r="B677" s="3" t="s">
        <v>2908</v>
      </c>
      <c r="C677" s="9">
        <f>IFERROR(DATEVALUE(TEXT(B677,"DD/MM/YYYY")), IF(ISNUMBER(B677), B677, ""))</f>
        <v>45853</v>
      </c>
      <c r="D677" s="9" t="str">
        <f>IF(B677="","Missing", IF(AND(ISNUMBER(B677)=FALSE, C677=""),"Invalid - Could Not Parse", IF(AND(ISNUMBER(B677)=FALSE, C677&lt;&gt;""),"Text - Converted to Date", IF(ISNUMBER(B677),"Valid","Check"))))</f>
        <v>Text - Converted to Date</v>
      </c>
      <c r="E677" s="5">
        <f t="shared" si="81"/>
        <v>7</v>
      </c>
      <c r="F677" s="5">
        <f t="shared" si="82"/>
        <v>2025</v>
      </c>
      <c r="G677" s="3" t="s">
        <v>1511</v>
      </c>
      <c r="H677" s="9">
        <f>IFERROR(DATEVALUE(TEXT(G677,"DD/MM/YYYY")), IF(ISNUMBER(G677), G677, ""))</f>
        <v>45854</v>
      </c>
      <c r="I677" s="9" t="str">
        <f>IF(G677="","Missing", IF(AND(ISNUMBER(G677)=FALSE, H677=""),"Invalid - Could Not Parse", IF(AND(ISNUMBER(G677)=FALSE, H677&lt;&gt;""),"Text - Converted to Date", IF(ISNUMBER(G677),"Valid","Check"))))</f>
        <v>Text - Converted to Date</v>
      </c>
      <c r="J677" s="9" t="str">
        <f>IF(OR(C677="", H677=""), "Cannot Check - Date Missing", IF(H677&lt;C677, "Invalid - Ship Before Order", "Valid"))</f>
        <v>Valid</v>
      </c>
      <c r="K677" s="5">
        <f>IF(OR(C677="", H677=""), "", IF(H677&lt;C677, "", H677-C677))</f>
        <v>1</v>
      </c>
      <c r="L677" s="3" t="s">
        <v>3987</v>
      </c>
      <c r="M677" s="3" t="s">
        <v>83</v>
      </c>
      <c r="N677" s="4" t="str">
        <f>TRIM(SUBSTITUTE(M677,"_"," "))</f>
        <v>Vikram Iyer</v>
      </c>
      <c r="O677" s="3" t="s">
        <v>41</v>
      </c>
      <c r="P677" s="6" t="str">
        <f>PROPER(TRIM(SUBSTITUTE(O677,".","")))</f>
        <v>Small Business</v>
      </c>
      <c r="Q677" s="3" t="s">
        <v>73</v>
      </c>
      <c r="R677" s="7" t="str">
        <f>PROPER(TRIM(SUBSTITUTE(Q677,"  "," ")))</f>
        <v>West</v>
      </c>
      <c r="S677" s="3" t="s">
        <v>74</v>
      </c>
      <c r="T677" s="6" t="str">
        <f>PROPER(TRIM(SUBSTITUTE(S677,"  "," ")))</f>
        <v>Maharashtra</v>
      </c>
      <c r="U677" s="3" t="s">
        <v>75</v>
      </c>
      <c r="V677" s="6" t="str">
        <f>PROPER(TRIM(SUBSTITUTE(U677,"  "," ")))</f>
        <v>Mumbai</v>
      </c>
      <c r="W677" s="3" t="s">
        <v>30</v>
      </c>
      <c r="X677" s="6" t="str">
        <f>PROPER(TRIM(SUBSTITUTE(W677,"  "," ")))</f>
        <v>Office Supplies</v>
      </c>
      <c r="Y677" s="3" t="s">
        <v>31</v>
      </c>
      <c r="Z677" s="6" t="str">
        <f>PROPER(TRIM(SUBSTITUTE(Y677,"  "," ")))</f>
        <v>Paper</v>
      </c>
      <c r="AA677" s="3" t="s">
        <v>3988</v>
      </c>
      <c r="AB677" s="3" t="s">
        <v>67</v>
      </c>
      <c r="AC677" s="6" t="str">
        <f>PROPER(TRIM(SUBSTITUTE(AB677,"  "," ")))</f>
        <v>Standard Class</v>
      </c>
      <c r="AD677" s="3">
        <v>8</v>
      </c>
      <c r="AE677" s="3">
        <v>3924.88</v>
      </c>
      <c r="AF677" s="3">
        <v>0.05</v>
      </c>
      <c r="AG677" s="17">
        <v>0.05</v>
      </c>
      <c r="AH677" s="6" t="str">
        <f t="shared" si="83"/>
        <v>Valid</v>
      </c>
      <c r="AI677" s="3">
        <v>29829.09</v>
      </c>
      <c r="AJ677" s="3">
        <v>20710.18</v>
      </c>
      <c r="AK677" s="3">
        <v>9118.91</v>
      </c>
      <c r="AL677" s="3" t="s">
        <v>34</v>
      </c>
      <c r="AM677" s="6" t="str">
        <f>PROPER(TRIM(SUBSTITUTE(AL677,".","")))</f>
        <v>Paid</v>
      </c>
      <c r="AN677" s="3" t="s">
        <v>35</v>
      </c>
      <c r="AO677" s="8" t="str">
        <f>PROPER(TRIM(SUBSTITUTE(AN677,".","")))</f>
        <v>Completed</v>
      </c>
      <c r="AP677" t="str">
        <f>IF(COUNTIF($A$2:$A$933, A677) &gt; 1, "Duplicate ID", "Unique")</f>
        <v>Unique</v>
      </c>
      <c r="AR677">
        <f t="shared" si="84"/>
        <v>29829.088</v>
      </c>
      <c r="AS677">
        <f t="shared" si="85"/>
        <v>9118.9079999999994</v>
      </c>
      <c r="AT677" s="15">
        <f t="shared" si="86"/>
        <v>0.30570522303598419</v>
      </c>
      <c r="AU677" t="str">
        <f t="shared" si="87"/>
        <v>Warning</v>
      </c>
      <c r="AV677" s="8" t="str">
        <f t="shared" si="88"/>
        <v>Active</v>
      </c>
    </row>
    <row r="678" spans="1:48">
      <c r="A678" s="3" t="s">
        <v>492</v>
      </c>
      <c r="B678" s="3" t="s">
        <v>493</v>
      </c>
      <c r="C678" s="9">
        <v>45854</v>
      </c>
      <c r="D678" s="9" t="str">
        <f>IF(B678="","Missing", IF(AND(ISNUMBER(B678)=FALSE, C678=""),"Invalid - Could Not Parse", IF(AND(ISNUMBER(B678)=FALSE, C678&lt;&gt;""),"Text - Converted to Date", IF(ISNUMBER(B678),"Valid","Check"))))</f>
        <v>Text - Converted to Date</v>
      </c>
      <c r="E678" s="5">
        <f t="shared" si="81"/>
        <v>7</v>
      </c>
      <c r="F678" s="5">
        <f t="shared" si="82"/>
        <v>2025</v>
      </c>
      <c r="G678" s="3" t="s">
        <v>494</v>
      </c>
      <c r="H678" s="9">
        <f>IFERROR(DATEVALUE(TEXT(G678,"DD/MM/YYYY")), IF(ISNUMBER(G678), G678, ""))</f>
        <v>45859</v>
      </c>
      <c r="I678" s="9" t="str">
        <f>IF(G678="","Missing", IF(AND(ISNUMBER(G678)=FALSE, H678=""),"Invalid - Could Not Parse", IF(AND(ISNUMBER(G678)=FALSE, H678&lt;&gt;""),"Text - Converted to Date", IF(ISNUMBER(G678),"Valid","Check"))))</f>
        <v>Text - Converted to Date</v>
      </c>
      <c r="J678" s="9" t="str">
        <f>IF(OR(C678="", H678=""), "Cannot Check - Date Missing", IF(H678&lt;C678, "Invalid - Ship Before Order", "Valid"))</f>
        <v>Valid</v>
      </c>
      <c r="K678" s="5">
        <f>IF(OR(C678="", H678=""), "", IF(H678&lt;C678, "", H678-C678))</f>
        <v>5</v>
      </c>
      <c r="L678" s="3" t="s">
        <v>495</v>
      </c>
      <c r="M678" s="3" t="s">
        <v>168</v>
      </c>
      <c r="N678" s="4" t="str">
        <f>TRIM(SUBSTITUTE(M678,"_"," "))</f>
        <v>Sneha Kapoor</v>
      </c>
      <c r="O678" s="3" t="s">
        <v>108</v>
      </c>
      <c r="P678" s="6" t="str">
        <f>PROPER(TRIM(SUBSTITUTE(O678,".","")))</f>
        <v>Corporate</v>
      </c>
      <c r="Q678" s="3" t="s">
        <v>42</v>
      </c>
      <c r="R678" s="7" t="str">
        <f>PROPER(TRIM(SUBSTITUTE(Q678,"  "," ")))</f>
        <v>East</v>
      </c>
      <c r="S678" s="3" t="s">
        <v>121</v>
      </c>
      <c r="T678" s="6" t="str">
        <f>PROPER(TRIM(SUBSTITUTE(S678,"  "," ")))</f>
        <v>West Bengal</v>
      </c>
      <c r="U678" s="3" t="s">
        <v>122</v>
      </c>
      <c r="V678" s="6" t="str">
        <f>PROPER(TRIM(SUBSTITUTE(U678,"  "," ")))</f>
        <v>Kolkata</v>
      </c>
      <c r="W678" s="3" t="s">
        <v>45</v>
      </c>
      <c r="X678" s="6" t="str">
        <f>PROPER(TRIM(SUBSTITUTE(W678,"  "," ")))</f>
        <v>Furniture</v>
      </c>
      <c r="Y678" s="3" t="s">
        <v>46</v>
      </c>
      <c r="Z678" s="6" t="str">
        <f>PROPER(TRIM(SUBSTITUTE(Y678,"  "," ")))</f>
        <v>Tables</v>
      </c>
      <c r="AA678" s="3" t="s">
        <v>496</v>
      </c>
      <c r="AB678" s="3" t="s">
        <v>56</v>
      </c>
      <c r="AC678" s="6" t="str">
        <f>PROPER(TRIM(SUBSTITUTE(AB678,"  "," ")))</f>
        <v>First Class</v>
      </c>
      <c r="AD678" s="3">
        <v>5</v>
      </c>
      <c r="AE678" s="3">
        <v>2129.5100000000002</v>
      </c>
      <c r="AF678" s="3">
        <v>0.15</v>
      </c>
      <c r="AG678" s="17">
        <v>0.15</v>
      </c>
      <c r="AH678" s="6" t="str">
        <f t="shared" si="83"/>
        <v>Valid</v>
      </c>
      <c r="AI678" s="3">
        <v>9050.42</v>
      </c>
      <c r="AJ678" s="3">
        <v>6778.85</v>
      </c>
      <c r="AK678" s="3">
        <v>2271.5700000000002</v>
      </c>
      <c r="AL678" s="3" t="s">
        <v>34</v>
      </c>
      <c r="AM678" s="6" t="str">
        <f>PROPER(TRIM(SUBSTITUTE(AL678,".","")))</f>
        <v>Paid</v>
      </c>
      <c r="AN678" s="3" t="s">
        <v>35</v>
      </c>
      <c r="AO678" s="8" t="str">
        <f>PROPER(TRIM(SUBSTITUTE(AN678,".","")))</f>
        <v>Completed</v>
      </c>
      <c r="AP678" t="str">
        <f>IF(COUNTIF($A$2:$A$933, A678) &gt; 1, "Duplicate ID", "Unique")</f>
        <v>Unique</v>
      </c>
      <c r="AR678">
        <f t="shared" si="84"/>
        <v>9050.4175000000014</v>
      </c>
      <c r="AS678">
        <f t="shared" si="85"/>
        <v>2271.567500000001</v>
      </c>
      <c r="AT678" s="15">
        <f t="shared" si="86"/>
        <v>0.25099035486484472</v>
      </c>
      <c r="AU678" t="str">
        <f t="shared" si="87"/>
        <v>Clean</v>
      </c>
      <c r="AV678" s="8" t="str">
        <f t="shared" si="88"/>
        <v>Active</v>
      </c>
    </row>
    <row r="679" spans="1:48">
      <c r="A679" s="3" t="s">
        <v>1510</v>
      </c>
      <c r="B679" s="3" t="s">
        <v>1511</v>
      </c>
      <c r="C679" s="9">
        <f>IFERROR(DATEVALUE(TEXT(B679,"DD/MM/YYYY")), IF(ISNUMBER(B679), B679, ""))</f>
        <v>45854</v>
      </c>
      <c r="D679" s="9" t="str">
        <f>IF(B679="","Missing", IF(AND(ISNUMBER(B679)=FALSE, C679=""),"Invalid - Could Not Parse", IF(AND(ISNUMBER(B679)=FALSE, C679&lt;&gt;""),"Text - Converted to Date", IF(ISNUMBER(B679),"Valid","Check"))))</f>
        <v>Text - Converted to Date</v>
      </c>
      <c r="E679" s="5">
        <f t="shared" si="81"/>
        <v>7</v>
      </c>
      <c r="F679" s="5">
        <f t="shared" si="82"/>
        <v>2025</v>
      </c>
      <c r="G679" s="3" t="s">
        <v>1512</v>
      </c>
      <c r="H679" s="9">
        <f>IFERROR(DATEVALUE(MID(G679,4,2) &amp; "/" &amp; LEFT(G679,2) &amp; "/" &amp; RIGHT(G679,4)), IF(ISNUMBER(G679), G679, IFERROR(DATEVALUE(G679), "")))</f>
        <v>45860</v>
      </c>
      <c r="I679" s="9" t="str">
        <f>IF(G679="","Missing", IF(AND(ISNUMBER(G679)=FALSE, H679=""),"Invalid - Could Not Parse", IF(AND(ISNUMBER(G679)=FALSE, H679&lt;&gt;""),"Text - Converted to Date", IF(ISNUMBER(G679),"Valid","Check"))))</f>
        <v>Text - Converted to Date</v>
      </c>
      <c r="J679" s="9" t="str">
        <f>IF(OR(C679="", H679=""), "Cannot Check - Date Missing", IF(H679&lt;C679, "Invalid - Ship Before Order", "Valid"))</f>
        <v>Valid</v>
      </c>
      <c r="K679" s="5">
        <f>IF(OR(C679="", H679=""), "", IF(H679&lt;C679, "", H679-C679))</f>
        <v>6</v>
      </c>
      <c r="L679" s="3" t="s">
        <v>1513</v>
      </c>
      <c r="M679" s="3" t="s">
        <v>142</v>
      </c>
      <c r="N679" s="4" t="str">
        <f>TRIM(SUBSTITUTE(M679,"_"," "))</f>
        <v>Priya Menon</v>
      </c>
      <c r="O679" s="3" t="s">
        <v>26</v>
      </c>
      <c r="P679" s="6" t="str">
        <f>PROPER(TRIM(SUBSTITUTE(O679,".","")))</f>
        <v>Consumer</v>
      </c>
      <c r="Q679" s="3" t="s">
        <v>42</v>
      </c>
      <c r="R679" s="7" t="str">
        <f>PROPER(TRIM(SUBSTITUTE(Q679,"  "," ")))</f>
        <v>East</v>
      </c>
      <c r="S679" s="3" t="s">
        <v>43</v>
      </c>
      <c r="T679" s="6" t="str">
        <f>PROPER(TRIM(SUBSTITUTE(S679,"  "," ")))</f>
        <v>Odisha</v>
      </c>
      <c r="U679" s="3" t="s">
        <v>44</v>
      </c>
      <c r="V679" s="6" t="str">
        <f>PROPER(TRIM(SUBSTITUTE(U679,"  "," ")))</f>
        <v>Bhubaneswar</v>
      </c>
      <c r="W679" s="3" t="s">
        <v>86</v>
      </c>
      <c r="X679" s="6" t="str">
        <f>PROPER(TRIM(SUBSTITUTE(W679,"  "," ")))</f>
        <v>Technology</v>
      </c>
      <c r="Y679" s="3" t="s">
        <v>223</v>
      </c>
      <c r="Z679" s="6" t="str">
        <f>PROPER(TRIM(SUBSTITUTE(Y679,"  "," ")))</f>
        <v>Phones</v>
      </c>
      <c r="AA679" s="3" t="s">
        <v>1514</v>
      </c>
      <c r="AB679" s="3" t="s">
        <v>33</v>
      </c>
      <c r="AC679" s="6" t="str">
        <f>PROPER(TRIM(SUBSTITUTE(AB679,"  "," ")))</f>
        <v>Second Class</v>
      </c>
      <c r="AD679" s="3">
        <v>6</v>
      </c>
      <c r="AE679" s="3">
        <v>4159.33</v>
      </c>
      <c r="AF679" s="3">
        <v>0.25</v>
      </c>
      <c r="AG679" s="17">
        <v>0.25</v>
      </c>
      <c r="AH679" s="6" t="str">
        <f t="shared" si="83"/>
        <v>Valid</v>
      </c>
      <c r="AI679" s="3">
        <v>18716.990000000002</v>
      </c>
      <c r="AJ679" s="3">
        <v>12282.43</v>
      </c>
      <c r="AK679" s="3">
        <v>6434.56</v>
      </c>
      <c r="AL679" s="3" t="s">
        <v>34</v>
      </c>
      <c r="AM679" s="6" t="str">
        <f>PROPER(TRIM(SUBSTITUTE(AL679,".","")))</f>
        <v>Paid</v>
      </c>
      <c r="AN679" s="3" t="s">
        <v>125</v>
      </c>
      <c r="AO679" s="8" t="str">
        <f>PROPER(TRIM(SUBSTITUTE(AN679,".","")))</f>
        <v>Returned</v>
      </c>
      <c r="AP679" t="str">
        <f>IF(COUNTIF($A$2:$A$933, A679) &gt; 1, "Duplicate ID", "Unique")</f>
        <v>Unique</v>
      </c>
      <c r="AR679">
        <f t="shared" si="84"/>
        <v>18716.985000000001</v>
      </c>
      <c r="AS679">
        <f t="shared" si="85"/>
        <v>6434.5550000000003</v>
      </c>
      <c r="AT679" s="15">
        <f t="shared" si="86"/>
        <v>0.34378159730319813</v>
      </c>
      <c r="AU679" t="str">
        <f t="shared" si="87"/>
        <v>Clean</v>
      </c>
      <c r="AV679" s="8" t="str">
        <f t="shared" si="88"/>
        <v>Active</v>
      </c>
    </row>
    <row r="680" spans="1:48">
      <c r="A680" s="3" t="s">
        <v>718</v>
      </c>
      <c r="B680" s="3" t="s">
        <v>719</v>
      </c>
      <c r="C680" s="9">
        <f>IFERROR(DATEVALUE(TEXT(B680,"DD/MM/YYYY")), IF(ISNUMBER(B680), B680, ""))</f>
        <v>45855</v>
      </c>
      <c r="D680" s="9" t="str">
        <f>IF(B680="","Missing", IF(AND(ISNUMBER(B680)=FALSE, C680=""),"Invalid - Could Not Parse", IF(AND(ISNUMBER(B680)=FALSE, C680&lt;&gt;""),"Text - Converted to Date", IF(ISNUMBER(B680),"Valid","Check"))))</f>
        <v>Text - Converted to Date</v>
      </c>
      <c r="E680" s="5">
        <f t="shared" si="81"/>
        <v>7</v>
      </c>
      <c r="F680" s="5">
        <f t="shared" si="82"/>
        <v>2025</v>
      </c>
      <c r="G680" s="3" t="s">
        <v>720</v>
      </c>
      <c r="H680" s="9">
        <f>IFERROR(DATEVALUE(TEXT(G680,"DD/MM/YYYY")), IF(ISNUMBER(G680), G680, ""))</f>
        <v>45856</v>
      </c>
      <c r="I680" s="9" t="str">
        <f>IF(G680="","Missing", IF(AND(ISNUMBER(G680)=FALSE, H680=""),"Invalid - Could Not Parse", IF(AND(ISNUMBER(G680)=FALSE, H680&lt;&gt;""),"Text - Converted to Date", IF(ISNUMBER(G680),"Valid","Check"))))</f>
        <v>Text - Converted to Date</v>
      </c>
      <c r="J680" s="9" t="str">
        <f>IF(OR(C680="", H680=""), "Cannot Check - Date Missing", IF(H680&lt;C680, "Invalid - Ship Before Order", "Valid"))</f>
        <v>Valid</v>
      </c>
      <c r="K680" s="5">
        <f>IF(OR(C680="", H680=""), "", IF(H680&lt;C680, "", H680-C680))</f>
        <v>1</v>
      </c>
      <c r="L680" s="3" t="s">
        <v>721</v>
      </c>
      <c r="M680" s="3" t="s">
        <v>93</v>
      </c>
      <c r="N680" s="4" t="str">
        <f>TRIM(SUBSTITUTE(M680,"_"," "))</f>
        <v>Neha Gupta</v>
      </c>
      <c r="O680" s="3" t="s">
        <v>41</v>
      </c>
      <c r="P680" s="6" t="str">
        <f>PROPER(TRIM(SUBSTITUTE(O680,".","")))</f>
        <v>Small Business</v>
      </c>
      <c r="Q680" s="3" t="s">
        <v>73</v>
      </c>
      <c r="R680" s="7" t="str">
        <f>PROPER(TRIM(SUBSTITUTE(Q680,"  "," ")))</f>
        <v>West</v>
      </c>
      <c r="S680" s="3" t="s">
        <v>28</v>
      </c>
      <c r="T680" s="6" t="str">
        <f>PROPER(TRIM(SUBSTITUTE(S680,"  "," ")))</f>
        <v>Rajasthan</v>
      </c>
      <c r="U680" s="3" t="s">
        <v>135</v>
      </c>
      <c r="V680" s="6" t="str">
        <f>PROPER(TRIM(SUBSTITUTE(U680,"  "," ")))</f>
        <v>Udaipur</v>
      </c>
      <c r="W680" s="3" t="s">
        <v>45</v>
      </c>
      <c r="X680" s="6" t="str">
        <f>PROPER(TRIM(SUBSTITUTE(W680,"  "," ")))</f>
        <v>Furniture</v>
      </c>
      <c r="Y680" s="3" t="s">
        <v>46</v>
      </c>
      <c r="Z680" s="6" t="str">
        <f>PROPER(TRIM(SUBSTITUTE(Y680,"  "," ")))</f>
        <v>Tables</v>
      </c>
      <c r="AA680" s="3" t="s">
        <v>722</v>
      </c>
      <c r="AB680" s="3" t="s">
        <v>48</v>
      </c>
      <c r="AC680" s="6" t="str">
        <f>PROPER(TRIM(SUBSTITUTE(AB680,"  "," ")))</f>
        <v>Same Day</v>
      </c>
      <c r="AD680" s="3">
        <v>6</v>
      </c>
      <c r="AE680" s="3">
        <v>3235.27</v>
      </c>
      <c r="AF680" s="3">
        <v>0.25</v>
      </c>
      <c r="AG680" s="17">
        <v>0.25</v>
      </c>
      <c r="AH680" s="6" t="str">
        <f t="shared" si="83"/>
        <v>Valid</v>
      </c>
      <c r="AI680" s="3">
        <v>14558.72</v>
      </c>
      <c r="AJ680" s="3">
        <v>9591.48</v>
      </c>
      <c r="AK680" s="3">
        <v>4967.24</v>
      </c>
      <c r="AL680" s="3" t="s">
        <v>124</v>
      </c>
      <c r="AM680" s="6" t="str">
        <f>PROPER(TRIM(SUBSTITUTE(AL680,".","")))</f>
        <v>Refunded</v>
      </c>
      <c r="AN680" s="3" t="s">
        <v>125</v>
      </c>
      <c r="AO680" s="8" t="str">
        <f>PROPER(TRIM(SUBSTITUTE(AN680,".","")))</f>
        <v>Returned</v>
      </c>
      <c r="AP680" t="str">
        <f>IF(COUNTIF($A$2:$A$933, A680) &gt; 1, "Duplicate ID", "Unique")</f>
        <v>Unique</v>
      </c>
      <c r="AR680">
        <f t="shared" si="84"/>
        <v>14558.715</v>
      </c>
      <c r="AS680">
        <f t="shared" si="85"/>
        <v>4967.2350000000006</v>
      </c>
      <c r="AT680" s="15">
        <f t="shared" si="86"/>
        <v>0.34118636157105903</v>
      </c>
      <c r="AU680" t="str">
        <f t="shared" si="87"/>
        <v>Clean</v>
      </c>
      <c r="AV680" s="8" t="str">
        <f t="shared" si="88"/>
        <v>Refund</v>
      </c>
    </row>
    <row r="681" spans="1:48">
      <c r="A681" s="3" t="s">
        <v>2546</v>
      </c>
      <c r="B681" s="3" t="s">
        <v>2547</v>
      </c>
      <c r="C681" s="9">
        <f>IFERROR(DATEVALUE(TEXT(B681,"DD/MM/YYYY")), IF(ISNUMBER(B681), B681, ""))</f>
        <v>45856</v>
      </c>
      <c r="D681" s="9" t="str">
        <f>IF(B681="","Missing", IF(AND(ISNUMBER(B681)=FALSE, C681=""),"Invalid - Could Not Parse", IF(AND(ISNUMBER(B681)=FALSE, C681&lt;&gt;""),"Text - Converted to Date", IF(ISNUMBER(B681),"Valid","Check"))))</f>
        <v>Text - Converted to Date</v>
      </c>
      <c r="E681" s="5">
        <f t="shared" si="81"/>
        <v>7</v>
      </c>
      <c r="F681" s="5">
        <f t="shared" si="82"/>
        <v>2025</v>
      </c>
      <c r="G681" s="3" t="s">
        <v>2548</v>
      </c>
      <c r="H681" s="9">
        <f>IFERROR(DATEVALUE(TEXT(G681,"DD/MM/YYYY")), IF(ISNUMBER(G681), G681, ""))</f>
        <v>45859</v>
      </c>
      <c r="I681" s="9" t="str">
        <f>IF(G681="","Missing", IF(AND(ISNUMBER(G681)=FALSE, H681=""),"Invalid - Could Not Parse", IF(AND(ISNUMBER(G681)=FALSE, H681&lt;&gt;""),"Text - Converted to Date", IF(ISNUMBER(G681),"Valid","Check"))))</f>
        <v>Text - Converted to Date</v>
      </c>
      <c r="J681" s="9" t="str">
        <f>IF(OR(C681="", H681=""), "Cannot Check - Date Missing", IF(H681&lt;C681, "Invalid - Ship Before Order", "Valid"))</f>
        <v>Valid</v>
      </c>
      <c r="K681" s="5">
        <f>IF(OR(C681="", H681=""), "", IF(H681&lt;C681, "", H681-C681))</f>
        <v>3</v>
      </c>
      <c r="L681" s="3" t="s">
        <v>2549</v>
      </c>
      <c r="M681" s="3" t="s">
        <v>142</v>
      </c>
      <c r="N681" s="4" t="str">
        <f>TRIM(SUBSTITUTE(M681,"_"," "))</f>
        <v>Priya Menon</v>
      </c>
      <c r="O681" s="3" t="s">
        <v>26</v>
      </c>
      <c r="P681" s="6" t="str">
        <f>PROPER(TRIM(SUBSTITUTE(O681,".","")))</f>
        <v>Consumer</v>
      </c>
      <c r="Q681" s="3" t="s">
        <v>42</v>
      </c>
      <c r="R681" s="7" t="str">
        <f>PROPER(TRIM(SUBSTITUTE(Q681,"  "," ")))</f>
        <v>East</v>
      </c>
      <c r="S681" s="3" t="s">
        <v>43</v>
      </c>
      <c r="T681" s="6" t="str">
        <f>PROPER(TRIM(SUBSTITUTE(S681,"  "," ")))</f>
        <v>Odisha</v>
      </c>
      <c r="U681" s="3" t="s">
        <v>44</v>
      </c>
      <c r="V681" s="6" t="str">
        <f>PROPER(TRIM(SUBSTITUTE(U681,"  "," ")))</f>
        <v>Bhubaneswar</v>
      </c>
      <c r="W681" s="3" t="s">
        <v>45</v>
      </c>
      <c r="X681" s="6" t="str">
        <f>PROPER(TRIM(SUBSTITUTE(W681,"  "," ")))</f>
        <v>Furniture</v>
      </c>
      <c r="Y681" s="3" t="s">
        <v>46</v>
      </c>
      <c r="Z681" s="6" t="str">
        <f>PROPER(TRIM(SUBSTITUTE(Y681,"  "," ")))</f>
        <v>Tables</v>
      </c>
      <c r="AA681" s="3" t="s">
        <v>2550</v>
      </c>
      <c r="AB681" s="3" t="s">
        <v>33</v>
      </c>
      <c r="AC681" s="6" t="str">
        <f>PROPER(TRIM(SUBSTITUTE(AB681,"  "," ")))</f>
        <v>Second Class</v>
      </c>
      <c r="AD681" s="3">
        <v>4</v>
      </c>
      <c r="AE681" s="3">
        <v>284.04000000000002</v>
      </c>
      <c r="AF681" s="3"/>
      <c r="AG681" s="18">
        <f>IF(ISBLANK(AF681), 0, AF681)</f>
        <v>0</v>
      </c>
      <c r="AH681" s="6" t="str">
        <f t="shared" si="83"/>
        <v>Missing</v>
      </c>
      <c r="AI681" s="3">
        <v>908.93</v>
      </c>
      <c r="AJ681" s="3">
        <v>572.08000000000004</v>
      </c>
      <c r="AK681" s="3">
        <v>336.85</v>
      </c>
      <c r="AL681" s="3" t="s">
        <v>34</v>
      </c>
      <c r="AM681" s="6" t="str">
        <f>PROPER(TRIM(SUBSTITUTE(AL681,".","")))</f>
        <v>Paid</v>
      </c>
      <c r="AN681" s="3" t="s">
        <v>35</v>
      </c>
      <c r="AO681" s="8" t="str">
        <f>PROPER(TRIM(SUBSTITUTE(AN681,".","")))</f>
        <v>Completed</v>
      </c>
      <c r="AP681" t="str">
        <f>IF(COUNTIF($A$2:$A$933, A681) &gt; 1, "Duplicate ID", "Unique")</f>
        <v>Unique</v>
      </c>
      <c r="AR681">
        <f t="shared" si="84"/>
        <v>1136.1600000000001</v>
      </c>
      <c r="AS681">
        <f t="shared" si="85"/>
        <v>564.08000000000004</v>
      </c>
      <c r="AT681" s="15">
        <f t="shared" si="86"/>
        <v>0.49647936910294327</v>
      </c>
      <c r="AU681" t="str">
        <f t="shared" si="87"/>
        <v>Warning</v>
      </c>
      <c r="AV681" s="8" t="str">
        <f t="shared" si="88"/>
        <v>Active</v>
      </c>
    </row>
    <row r="682" spans="1:48">
      <c r="A682" s="3" t="s">
        <v>3487</v>
      </c>
      <c r="B682" s="3" t="s">
        <v>720</v>
      </c>
      <c r="C682" s="9">
        <f>IFERROR(DATEVALUE(TEXT(B682,"DD/MM/YYYY")), IF(ISNUMBER(B682), B682, ""))</f>
        <v>45856</v>
      </c>
      <c r="D682" s="9" t="str">
        <f>IF(B682="","Missing", IF(AND(ISNUMBER(B682)=FALSE, C682=""),"Invalid - Could Not Parse", IF(AND(ISNUMBER(B682)=FALSE, C682&lt;&gt;""),"Text - Converted to Date", IF(ISNUMBER(B682),"Valid","Check"))))</f>
        <v>Text - Converted to Date</v>
      </c>
      <c r="E682" s="5">
        <f t="shared" si="81"/>
        <v>7</v>
      </c>
      <c r="F682" s="5">
        <f t="shared" si="82"/>
        <v>2025</v>
      </c>
      <c r="G682" s="3" t="s">
        <v>3488</v>
      </c>
      <c r="H682" s="9">
        <f>IFERROR(DATEVALUE(TEXT(G682,"DD/MM/YYYY")), IF(ISNUMBER(G682), G682, ""))</f>
        <v>45857</v>
      </c>
      <c r="I682" s="9" t="str">
        <f>IF(G682="","Missing", IF(AND(ISNUMBER(G682)=FALSE, H682=""),"Invalid - Could Not Parse", IF(AND(ISNUMBER(G682)=FALSE, H682&lt;&gt;""),"Text - Converted to Date", IF(ISNUMBER(G682),"Valid","Check"))))</f>
        <v>Text - Converted to Date</v>
      </c>
      <c r="J682" s="9" t="str">
        <f>IF(OR(C682="", H682=""), "Cannot Check - Date Missing", IF(H682&lt;C682, "Invalid - Ship Before Order", "Valid"))</f>
        <v>Valid</v>
      </c>
      <c r="K682" s="5">
        <f>IF(OR(C682="", H682=""), "", IF(H682&lt;C682, "", H682-C682))</f>
        <v>1</v>
      </c>
      <c r="L682" s="3" t="s">
        <v>3489</v>
      </c>
      <c r="M682" s="3" t="s">
        <v>142</v>
      </c>
      <c r="N682" s="4" t="str">
        <f>TRIM(SUBSTITUTE(M682,"_"," "))</f>
        <v>Priya Menon</v>
      </c>
      <c r="O682" s="3" t="s">
        <v>115</v>
      </c>
      <c r="P682" s="6" t="str">
        <f>PROPER(TRIM(SUBSTITUTE(O682,".","")))</f>
        <v>Home Office</v>
      </c>
      <c r="Q682" s="3"/>
      <c r="R682" s="6" t="str">
        <f>IF(ISBLANK(Q682), "Unknown", Q682)</f>
        <v>Unknown</v>
      </c>
      <c r="S682" s="3" t="s">
        <v>174</v>
      </c>
      <c r="T682" s="6" t="str">
        <f>PROPER(TRIM(SUBSTITUTE(S682,"  "," ")))</f>
        <v>Uttar Pradesh</v>
      </c>
      <c r="U682" s="3" t="s">
        <v>175</v>
      </c>
      <c r="V682" s="6" t="str">
        <f>PROPER(TRIM(SUBSTITUTE(U682,"  "," ")))</f>
        <v>Noida</v>
      </c>
      <c r="W682" s="3" t="s">
        <v>86</v>
      </c>
      <c r="X682" s="6" t="str">
        <f>PROPER(TRIM(SUBSTITUTE(W682,"  "," ")))</f>
        <v>Technology</v>
      </c>
      <c r="Y682" s="3" t="s">
        <v>382</v>
      </c>
      <c r="Z682" s="6" t="str">
        <f>PROPER(TRIM(SUBSTITUTE(Y682,"  "," ")))</f>
        <v>Machines</v>
      </c>
      <c r="AA682" s="3" t="s">
        <v>3490</v>
      </c>
      <c r="AB682" s="3"/>
      <c r="AC682" s="11" t="str">
        <f>IF(ISBLANK(AB682), "Unknown", AB682)</f>
        <v>Unknown</v>
      </c>
      <c r="AD682" s="3">
        <v>3</v>
      </c>
      <c r="AE682" s="3">
        <v>2963.25</v>
      </c>
      <c r="AF682" s="3">
        <v>0.05</v>
      </c>
      <c r="AG682" s="17">
        <v>0.05</v>
      </c>
      <c r="AH682" s="6" t="str">
        <f t="shared" si="83"/>
        <v>Valid</v>
      </c>
      <c r="AI682" s="3">
        <v>8445.26</v>
      </c>
      <c r="AJ682" s="3">
        <v>6937.6</v>
      </c>
      <c r="AK682" s="3">
        <v>1507.66</v>
      </c>
      <c r="AL682" s="3" t="s">
        <v>34</v>
      </c>
      <c r="AM682" s="6" t="str">
        <f>PROPER(TRIM(SUBSTITUTE(AL682,".","")))</f>
        <v>Paid</v>
      </c>
      <c r="AN682" s="3" t="s">
        <v>35</v>
      </c>
      <c r="AO682" s="8" t="str">
        <f>PROPER(TRIM(SUBSTITUTE(AN682,".","")))</f>
        <v>Completed</v>
      </c>
      <c r="AP682" t="str">
        <f>IF(COUNTIF($A$2:$A$933, A682) &gt; 1, "Duplicate ID", "Unique")</f>
        <v>Unique</v>
      </c>
      <c r="AR682">
        <f t="shared" si="84"/>
        <v>8445.2624999999989</v>
      </c>
      <c r="AS682">
        <f t="shared" si="85"/>
        <v>1507.6624999999985</v>
      </c>
      <c r="AT682" s="15">
        <f t="shared" si="86"/>
        <v>0.17852168597482893</v>
      </c>
      <c r="AU682" t="str">
        <f t="shared" si="87"/>
        <v>Clean</v>
      </c>
      <c r="AV682" s="8" t="str">
        <f t="shared" si="88"/>
        <v>Active</v>
      </c>
    </row>
    <row r="683" spans="1:48">
      <c r="A683" s="3" t="s">
        <v>3864</v>
      </c>
      <c r="B683" s="3" t="s">
        <v>2700</v>
      </c>
      <c r="C683" s="9">
        <f>IFERROR(DATEVALUE(TEXT(B683,"DD/MM/YYYY")), IF(ISNUMBER(B683), B683, ""))</f>
        <v>45856</v>
      </c>
      <c r="D683" s="9" t="str">
        <f>IF(B683="","Missing", IF(AND(ISNUMBER(B683)=FALSE, C683=""),"Invalid - Could Not Parse", IF(AND(ISNUMBER(B683)=FALSE, C683&lt;&gt;""),"Text - Converted to Date", IF(ISNUMBER(B683),"Valid","Check"))))</f>
        <v>Text - Converted to Date</v>
      </c>
      <c r="E683" s="5">
        <f t="shared" si="81"/>
        <v>7</v>
      </c>
      <c r="F683" s="5">
        <f t="shared" si="82"/>
        <v>2025</v>
      </c>
      <c r="G683" s="3" t="s">
        <v>3865</v>
      </c>
      <c r="H683" s="9">
        <f>IFERROR(DATEVALUE(TEXT(G683,"DD/MM/YYYY")), IF(ISNUMBER(G683), G683, ""))</f>
        <v>45863</v>
      </c>
      <c r="I683" s="9" t="str">
        <f>IF(G683="","Missing", IF(AND(ISNUMBER(G683)=FALSE, H683=""),"Invalid - Could Not Parse", IF(AND(ISNUMBER(G683)=FALSE, H683&lt;&gt;""),"Text - Converted to Date", IF(ISNUMBER(G683),"Valid","Check"))))</f>
        <v>Text - Converted to Date</v>
      </c>
      <c r="J683" s="9" t="str">
        <f>IF(OR(C683="", H683=""), "Cannot Check - Date Missing", IF(H683&lt;C683, "Invalid - Ship Before Order", "Valid"))</f>
        <v>Valid</v>
      </c>
      <c r="K683" s="5">
        <f>IF(OR(C683="", H683=""), "", IF(H683&lt;C683, "", H683-C683))</f>
        <v>7</v>
      </c>
      <c r="L683" s="3" t="s">
        <v>3866</v>
      </c>
      <c r="M683" s="3" t="s">
        <v>142</v>
      </c>
      <c r="N683" s="4" t="str">
        <f>TRIM(SUBSTITUTE(M683,"_"," "))</f>
        <v>Priya Menon</v>
      </c>
      <c r="O683" s="3" t="s">
        <v>41</v>
      </c>
      <c r="P683" s="6" t="str">
        <f>PROPER(TRIM(SUBSTITUTE(O683,".","")))</f>
        <v>Small Business</v>
      </c>
      <c r="Q683" s="3" t="s">
        <v>27</v>
      </c>
      <c r="R683" s="7" t="str">
        <f>PROPER(TRIM(SUBSTITUTE(Q683,"  "," ")))</f>
        <v>North</v>
      </c>
      <c r="S683" s="3" t="s">
        <v>174</v>
      </c>
      <c r="T683" s="6" t="str">
        <f>PROPER(TRIM(SUBSTITUTE(S683,"  "," ")))</f>
        <v>Uttar Pradesh</v>
      </c>
      <c r="U683" s="3" t="s">
        <v>175</v>
      </c>
      <c r="V683" s="6" t="str">
        <f>PROPER(TRIM(SUBSTITUTE(U683,"  "," ")))</f>
        <v>Noida</v>
      </c>
      <c r="W683" s="3" t="s">
        <v>86</v>
      </c>
      <c r="X683" s="6" t="str">
        <f>PROPER(TRIM(SUBSTITUTE(W683,"  "," ")))</f>
        <v>Technology</v>
      </c>
      <c r="Y683" s="3" t="s">
        <v>223</v>
      </c>
      <c r="Z683" s="6" t="str">
        <f>PROPER(TRIM(SUBSTITUTE(Y683,"  "," ")))</f>
        <v>Phones</v>
      </c>
      <c r="AA683" s="3" t="s">
        <v>3867</v>
      </c>
      <c r="AB683" s="3" t="s">
        <v>56</v>
      </c>
      <c r="AC683" s="6" t="str">
        <f>PROPER(TRIM(SUBSTITUTE(AB683,"  "," ")))</f>
        <v>First Class</v>
      </c>
      <c r="AD683" s="3">
        <v>9</v>
      </c>
      <c r="AE683" s="3">
        <v>3989.52</v>
      </c>
      <c r="AF683" s="3">
        <v>-0.02</v>
      </c>
      <c r="AG683" s="17">
        <v>-0.02</v>
      </c>
      <c r="AH683" s="6" t="str">
        <f t="shared" si="83"/>
        <v>Invalid - Negative</v>
      </c>
      <c r="AI683" s="3">
        <v>35905.68</v>
      </c>
      <c r="AJ683" s="3">
        <v>23916.1</v>
      </c>
      <c r="AK683" s="3">
        <v>11989.58</v>
      </c>
      <c r="AL683" s="3" t="s">
        <v>34</v>
      </c>
      <c r="AM683" s="6" t="str">
        <f>PROPER(TRIM(SUBSTITUTE(AL683,".","")))</f>
        <v>Paid</v>
      </c>
      <c r="AN683" s="3" t="s">
        <v>35</v>
      </c>
      <c r="AO683" s="8" t="str">
        <f>PROPER(TRIM(SUBSTITUTE(AN683,".","")))</f>
        <v>Completed</v>
      </c>
      <c r="AP683" t="str">
        <f>IF(COUNTIF($A$2:$A$933, A683) &gt; 1, "Duplicate ID", "Unique")</f>
        <v>Unique</v>
      </c>
      <c r="AR683">
        <f t="shared" si="84"/>
        <v>36623.793600000005</v>
      </c>
      <c r="AS683">
        <f t="shared" si="85"/>
        <v>12707.693600000006</v>
      </c>
      <c r="AT683" s="15">
        <f t="shared" si="86"/>
        <v>0.34697917257812433</v>
      </c>
      <c r="AU683" t="str">
        <f t="shared" si="87"/>
        <v>Invalid</v>
      </c>
      <c r="AV683" s="8" t="str">
        <f t="shared" si="88"/>
        <v>Active</v>
      </c>
    </row>
    <row r="684" spans="1:48">
      <c r="A684" s="3" t="s">
        <v>1093</v>
      </c>
      <c r="B684" s="3" t="s">
        <v>1094</v>
      </c>
      <c r="C684" s="9">
        <f>IFERROR(DATEVALUE(TEXT(B684,"DD/MM/YYYY")), IF(ISNUMBER(B684), B684, ""))</f>
        <v>45858</v>
      </c>
      <c r="D684" s="9" t="str">
        <f>IF(B684="","Missing", IF(AND(ISNUMBER(B684)=FALSE, C684=""),"Invalid - Could Not Parse", IF(AND(ISNUMBER(B684)=FALSE, C684&lt;&gt;""),"Text - Converted to Date", IF(ISNUMBER(B684),"Valid","Check"))))</f>
        <v>Text - Converted to Date</v>
      </c>
      <c r="E684" s="5">
        <f t="shared" si="81"/>
        <v>7</v>
      </c>
      <c r="F684" s="5">
        <f t="shared" si="82"/>
        <v>2025</v>
      </c>
      <c r="G684" s="3" t="s">
        <v>1095</v>
      </c>
      <c r="H684" s="9">
        <f>IFERROR(DATEVALUE(TEXT(G684,"DD/MM/YYYY")), IF(ISNUMBER(G684), G684, ""))</f>
        <v>45861</v>
      </c>
      <c r="I684" s="9" t="str">
        <f>IF(G684="","Missing", IF(AND(ISNUMBER(G684)=FALSE, H684=""),"Invalid - Could Not Parse", IF(AND(ISNUMBER(G684)=FALSE, H684&lt;&gt;""),"Text - Converted to Date", IF(ISNUMBER(G684),"Valid","Check"))))</f>
        <v>Text - Converted to Date</v>
      </c>
      <c r="J684" s="9" t="str">
        <f>IF(OR(C684="", H684=""), "Cannot Check - Date Missing", IF(H684&lt;C684, "Invalid - Ship Before Order", "Valid"))</f>
        <v>Valid</v>
      </c>
      <c r="K684" s="5">
        <f>IF(OR(C684="", H684=""), "", IF(H684&lt;C684, "", H684-C684))</f>
        <v>3</v>
      </c>
      <c r="L684" s="3" t="s">
        <v>1096</v>
      </c>
      <c r="M684" s="3" t="s">
        <v>40</v>
      </c>
      <c r="N684" s="4" t="str">
        <f>TRIM(SUBSTITUTE(M684,"_"," "))</f>
        <v>Mira Das</v>
      </c>
      <c r="O684" s="3" t="s">
        <v>115</v>
      </c>
      <c r="P684" s="6" t="str">
        <f>PROPER(TRIM(SUBSTITUTE(O684,".","")))</f>
        <v>Home Office</v>
      </c>
      <c r="Q684" s="3" t="s">
        <v>42</v>
      </c>
      <c r="R684" s="7" t="str">
        <f>PROPER(TRIM(SUBSTITUTE(Q684,"  "," ")))</f>
        <v>East</v>
      </c>
      <c r="S684" s="3" t="s">
        <v>121</v>
      </c>
      <c r="T684" s="6" t="str">
        <f>PROPER(TRIM(SUBSTITUTE(S684,"  "," ")))</f>
        <v>West Bengal</v>
      </c>
      <c r="U684" s="3" t="s">
        <v>122</v>
      </c>
      <c r="V684" s="6" t="str">
        <f>PROPER(TRIM(SUBSTITUTE(U684,"  "," ")))</f>
        <v>Kolkata</v>
      </c>
      <c r="W684" s="3" t="s">
        <v>45</v>
      </c>
      <c r="X684" s="6" t="str">
        <f>PROPER(TRIM(SUBSTITUTE(W684,"  "," ")))</f>
        <v>Furniture</v>
      </c>
      <c r="Y684" s="3" t="s">
        <v>46</v>
      </c>
      <c r="Z684" s="6" t="str">
        <f>PROPER(TRIM(SUBSTITUTE(Y684,"  "," ")))</f>
        <v>Tables</v>
      </c>
      <c r="AA684" s="3" t="s">
        <v>1097</v>
      </c>
      <c r="AB684" s="3" t="s">
        <v>33</v>
      </c>
      <c r="AC684" s="6" t="str">
        <f>PROPER(TRIM(SUBSTITUTE(AB684,"  "," ")))</f>
        <v>Second Class</v>
      </c>
      <c r="AD684" s="3">
        <v>4</v>
      </c>
      <c r="AE684" s="3">
        <v>477.69</v>
      </c>
      <c r="AF684" s="3">
        <v>0.15</v>
      </c>
      <c r="AG684" s="17">
        <v>0.15</v>
      </c>
      <c r="AH684" s="6" t="str">
        <f t="shared" si="83"/>
        <v>Valid</v>
      </c>
      <c r="AI684" s="3">
        <v>1624.15</v>
      </c>
      <c r="AJ684" s="3">
        <v>1217.99</v>
      </c>
      <c r="AK684" s="3">
        <v>406.16</v>
      </c>
      <c r="AL684" s="3" t="s">
        <v>34</v>
      </c>
      <c r="AM684" s="6" t="str">
        <f>PROPER(TRIM(SUBSTITUTE(AL684,".","")))</f>
        <v>Paid</v>
      </c>
      <c r="AN684" s="3" t="s">
        <v>35</v>
      </c>
      <c r="AO684" s="8" t="str">
        <f>PROPER(TRIM(SUBSTITUTE(AN684,".","")))</f>
        <v>Completed</v>
      </c>
      <c r="AP684" t="str">
        <f>IF(COUNTIF($A$2:$A$933, A684) &gt; 1, "Duplicate ID", "Unique")</f>
        <v>Unique</v>
      </c>
      <c r="AR684">
        <f t="shared" si="84"/>
        <v>1624.146</v>
      </c>
      <c r="AS684">
        <f t="shared" si="85"/>
        <v>406.15599999999995</v>
      </c>
      <c r="AT684" s="15">
        <f t="shared" si="86"/>
        <v>0.25007357712914968</v>
      </c>
      <c r="AU684" t="str">
        <f t="shared" si="87"/>
        <v>Clean</v>
      </c>
      <c r="AV684" s="8" t="str">
        <f t="shared" si="88"/>
        <v>Active</v>
      </c>
    </row>
    <row r="685" spans="1:48">
      <c r="A685" s="3" t="s">
        <v>3214</v>
      </c>
      <c r="B685" s="3" t="s">
        <v>3215</v>
      </c>
      <c r="C685" s="9">
        <f>IFERROR(DATEVALUE(TEXT(B685,"DD/MM/YYYY")), IF(ISNUMBER(B685), B685, ""))</f>
        <v>45858</v>
      </c>
      <c r="D685" s="9" t="str">
        <f>IF(B685="","Missing", IF(AND(ISNUMBER(B685)=FALSE, C685=""),"Invalid - Could Not Parse", IF(AND(ISNUMBER(B685)=FALSE, C685&lt;&gt;""),"Text - Converted to Date", IF(ISNUMBER(B685),"Valid","Check"))))</f>
        <v>Text - Converted to Date</v>
      </c>
      <c r="E685" s="5">
        <f t="shared" si="81"/>
        <v>7</v>
      </c>
      <c r="F685" s="5">
        <f t="shared" si="82"/>
        <v>2025</v>
      </c>
      <c r="G685" s="3" t="s">
        <v>1729</v>
      </c>
      <c r="H685" s="9">
        <f>IFERROR(DATEVALUE(TEXT(G685,"DD/MM/YYYY")), IF(ISNUMBER(G685), G685, ""))</f>
        <v>45862</v>
      </c>
      <c r="I685" s="9" t="str">
        <f>IF(G685="","Missing", IF(AND(ISNUMBER(G685)=FALSE, H685=""),"Invalid - Could Not Parse", IF(AND(ISNUMBER(G685)=FALSE, H685&lt;&gt;""),"Text - Converted to Date", IF(ISNUMBER(G685),"Valid","Check"))))</f>
        <v>Text - Converted to Date</v>
      </c>
      <c r="J685" s="9" t="str">
        <f>IF(OR(C685="", H685=""), "Cannot Check - Date Missing", IF(H685&lt;C685, "Invalid - Ship Before Order", "Valid"))</f>
        <v>Valid</v>
      </c>
      <c r="K685" s="5">
        <f>IF(OR(C685="", H685=""), "", IF(H685&lt;C685, "", H685-C685))</f>
        <v>4</v>
      </c>
      <c r="L685" s="3" t="s">
        <v>3216</v>
      </c>
      <c r="M685" s="3" t="s">
        <v>61</v>
      </c>
      <c r="N685" s="4" t="str">
        <f>TRIM(SUBSTITUTE(M685,"_"," "))</f>
        <v>Arjun Bose</v>
      </c>
      <c r="O685" s="3" t="s">
        <v>41</v>
      </c>
      <c r="P685" s="6" t="str">
        <f>PROPER(TRIM(SUBSTITUTE(O685,".","")))</f>
        <v>Small Business</v>
      </c>
      <c r="Q685" s="3" t="s">
        <v>62</v>
      </c>
      <c r="R685" s="7" t="str">
        <f>PROPER(TRIM(SUBSTITUTE(Q685,"  "," ")))</f>
        <v>South</v>
      </c>
      <c r="S685" s="3" t="s">
        <v>63</v>
      </c>
      <c r="T685" s="6" t="str">
        <f>PROPER(TRIM(SUBSTITUTE(S685,"  "," ")))</f>
        <v>Telangana</v>
      </c>
      <c r="U685" s="3" t="s">
        <v>64</v>
      </c>
      <c r="V685" s="6" t="str">
        <f>PROPER(TRIM(SUBSTITUTE(U685,"  "," ")))</f>
        <v>Hyderabad</v>
      </c>
      <c r="W685" s="3" t="s">
        <v>45</v>
      </c>
      <c r="X685" s="6" t="str">
        <f>PROPER(TRIM(SUBSTITUTE(W685,"  "," ")))</f>
        <v>Furniture</v>
      </c>
      <c r="Y685" s="3" t="s">
        <v>65</v>
      </c>
      <c r="Z685" s="6" t="str">
        <f>PROPER(TRIM(SUBSTITUTE(Y685,"  "," ")))</f>
        <v>Furnishings</v>
      </c>
      <c r="AA685" s="3" t="s">
        <v>3217</v>
      </c>
      <c r="AB685" s="3" t="s">
        <v>33</v>
      </c>
      <c r="AC685" s="6" t="str">
        <f>PROPER(TRIM(SUBSTITUTE(AB685,"  "," ")))</f>
        <v>Second Class</v>
      </c>
      <c r="AD685" s="3">
        <v>6</v>
      </c>
      <c r="AE685" s="3">
        <v>1646.45</v>
      </c>
      <c r="AF685" s="3">
        <v>0.2</v>
      </c>
      <c r="AG685" s="17">
        <v>0.2</v>
      </c>
      <c r="AH685" s="6" t="str">
        <f t="shared" si="83"/>
        <v>Valid</v>
      </c>
      <c r="AI685" s="3">
        <v>7902.96</v>
      </c>
      <c r="AJ685" s="3">
        <v>5512.03</v>
      </c>
      <c r="AK685" s="3">
        <v>2390.9299999999998</v>
      </c>
      <c r="AL685" s="3" t="s">
        <v>124</v>
      </c>
      <c r="AM685" s="6" t="str">
        <f>PROPER(TRIM(SUBSTITUTE(AL685,".","")))</f>
        <v>Refunded</v>
      </c>
      <c r="AN685" s="3" t="s">
        <v>78</v>
      </c>
      <c r="AO685" s="8" t="str">
        <f>PROPER(TRIM(SUBSTITUTE(AN685,".","")))</f>
        <v>Cancelled</v>
      </c>
      <c r="AP685" t="str">
        <f>IF(COUNTIF($A$2:$A$933, A685) &gt; 1, "Duplicate ID", "Unique")</f>
        <v>Unique</v>
      </c>
      <c r="AR685">
        <f t="shared" si="84"/>
        <v>7902.9600000000009</v>
      </c>
      <c r="AS685">
        <f t="shared" si="85"/>
        <v>2390.9300000000012</v>
      </c>
      <c r="AT685" s="15">
        <f t="shared" si="86"/>
        <v>0.30253601182341816</v>
      </c>
      <c r="AU685" t="str">
        <f t="shared" si="87"/>
        <v>Clean</v>
      </c>
      <c r="AV685" s="8" t="str">
        <f t="shared" si="88"/>
        <v>Refund</v>
      </c>
    </row>
    <row r="686" spans="1:48">
      <c r="A686" s="3" t="s">
        <v>3501</v>
      </c>
      <c r="B686" s="3" t="s">
        <v>1094</v>
      </c>
      <c r="C686" s="9">
        <f>IFERROR(DATEVALUE(TEXT(B686,"DD/MM/YYYY")), IF(ISNUMBER(B686), B686, ""))</f>
        <v>45858</v>
      </c>
      <c r="D686" s="9" t="str">
        <f>IF(B686="","Missing", IF(AND(ISNUMBER(B686)=FALSE, C686=""),"Invalid - Could Not Parse", IF(AND(ISNUMBER(B686)=FALSE, C686&lt;&gt;""),"Text - Converted to Date", IF(ISNUMBER(B686),"Valid","Check"))))</f>
        <v>Text - Converted to Date</v>
      </c>
      <c r="E686" s="5">
        <f t="shared" si="81"/>
        <v>7</v>
      </c>
      <c r="F686" s="5">
        <f t="shared" si="82"/>
        <v>2025</v>
      </c>
      <c r="G686" s="3" t="s">
        <v>1729</v>
      </c>
      <c r="H686" s="9">
        <f>IFERROR(DATEVALUE(TEXT(G686,"DD/MM/YYYY")), IF(ISNUMBER(G686), G686, ""))</f>
        <v>45862</v>
      </c>
      <c r="I686" s="9" t="str">
        <f>IF(G686="","Missing", IF(AND(ISNUMBER(G686)=FALSE, H686=""),"Invalid - Could Not Parse", IF(AND(ISNUMBER(G686)=FALSE, H686&lt;&gt;""),"Text - Converted to Date", IF(ISNUMBER(G686),"Valid","Check"))))</f>
        <v>Text - Converted to Date</v>
      </c>
      <c r="J686" s="9" t="str">
        <f>IF(OR(C686="", H686=""), "Cannot Check - Date Missing", IF(H686&lt;C686, "Invalid - Ship Before Order", "Valid"))</f>
        <v>Valid</v>
      </c>
      <c r="K686" s="5">
        <f>IF(OR(C686="", H686=""), "", IF(H686&lt;C686, "", H686-C686))</f>
        <v>4</v>
      </c>
      <c r="L686" s="3" t="s">
        <v>3502</v>
      </c>
      <c r="M686" s="3" t="s">
        <v>142</v>
      </c>
      <c r="N686" s="4" t="str">
        <f>TRIM(SUBSTITUTE(M686,"_"," "))</f>
        <v>Priya Menon</v>
      </c>
      <c r="O686" s="3" t="s">
        <v>115</v>
      </c>
      <c r="P686" s="6" t="str">
        <f>PROPER(TRIM(SUBSTITUTE(O686,".","")))</f>
        <v>Home Office</v>
      </c>
      <c r="Q686" s="3" t="s">
        <v>73</v>
      </c>
      <c r="R686" s="7" t="str">
        <f>PROPER(TRIM(SUBSTITUTE(Q686,"  "," ")))</f>
        <v>West</v>
      </c>
      <c r="S686" s="3" t="s">
        <v>84</v>
      </c>
      <c r="T686" s="6" t="str">
        <f>PROPER(TRIM(SUBSTITUTE(S686,"  "," ")))</f>
        <v>Madhya Pradesh</v>
      </c>
      <c r="U686" s="3" t="s">
        <v>85</v>
      </c>
      <c r="V686" s="6" t="str">
        <f>PROPER(TRIM(SUBSTITUTE(U686,"  "," ")))</f>
        <v>Indore</v>
      </c>
      <c r="W686" s="3" t="s">
        <v>30</v>
      </c>
      <c r="X686" s="6" t="str">
        <f>PROPER(TRIM(SUBSTITUTE(W686,"  "," ")))</f>
        <v>Office Supplies</v>
      </c>
      <c r="Y686" s="3" t="s">
        <v>156</v>
      </c>
      <c r="Z686" s="6" t="str">
        <f>PROPER(TRIM(SUBSTITUTE(Y686,"  "," ")))</f>
        <v>Storage</v>
      </c>
      <c r="AA686" s="3" t="s">
        <v>3503</v>
      </c>
      <c r="AB686" s="3" t="s">
        <v>33</v>
      </c>
      <c r="AC686" s="6" t="str">
        <f>PROPER(TRIM(SUBSTITUTE(AB686,"  "," ")))</f>
        <v>Second Class</v>
      </c>
      <c r="AD686" s="3">
        <v>5</v>
      </c>
      <c r="AE686" s="3">
        <v>2481.7399999999998</v>
      </c>
      <c r="AF686" s="3">
        <v>0.2</v>
      </c>
      <c r="AG686" s="17">
        <v>0.2</v>
      </c>
      <c r="AH686" s="6" t="str">
        <f t="shared" si="83"/>
        <v>Valid</v>
      </c>
      <c r="AI686" s="3">
        <v>9926.9599999999991</v>
      </c>
      <c r="AJ686" s="3">
        <v>7994.98</v>
      </c>
      <c r="AK686" s="3">
        <v>1931.98</v>
      </c>
      <c r="AL686" s="3" t="s">
        <v>34</v>
      </c>
      <c r="AM686" s="6" t="str">
        <f>PROPER(TRIM(SUBSTITUTE(AL686,".","")))</f>
        <v>Paid</v>
      </c>
      <c r="AN686" s="3" t="s">
        <v>35</v>
      </c>
      <c r="AO686" s="8" t="str">
        <f>PROPER(TRIM(SUBSTITUTE(AN686,".","")))</f>
        <v>Completed</v>
      </c>
      <c r="AP686" t="str">
        <f>IF(COUNTIF($A$2:$A$933, A686) &gt; 1, "Duplicate ID", "Unique")</f>
        <v>Unique</v>
      </c>
      <c r="AR686">
        <f t="shared" si="84"/>
        <v>9926.9599999999991</v>
      </c>
      <c r="AS686">
        <f t="shared" si="85"/>
        <v>1931.9799999999996</v>
      </c>
      <c r="AT686" s="15">
        <f t="shared" si="86"/>
        <v>0.19461950083409219</v>
      </c>
      <c r="AU686" t="str">
        <f t="shared" si="87"/>
        <v>Clean</v>
      </c>
      <c r="AV686" s="8" t="str">
        <f t="shared" si="88"/>
        <v>Active</v>
      </c>
    </row>
    <row r="687" spans="1:48">
      <c r="A687" s="3" t="s">
        <v>3218</v>
      </c>
      <c r="B687" s="3" t="s">
        <v>3219</v>
      </c>
      <c r="C687" s="9">
        <f>IFERROR(DATEVALUE(TEXT(B687,"DD/MM/YYYY")), IF(ISNUMBER(B687), B687, ""))</f>
        <v>45859</v>
      </c>
      <c r="D687" s="9" t="str">
        <f>IF(B687="","Missing", IF(AND(ISNUMBER(B687)=FALSE, C687=""),"Invalid - Could Not Parse", IF(AND(ISNUMBER(B687)=FALSE, C687&lt;&gt;""),"Text - Converted to Date", IF(ISNUMBER(B687),"Valid","Check"))))</f>
        <v>Text - Converted to Date</v>
      </c>
      <c r="E687" s="5">
        <f t="shared" si="81"/>
        <v>7</v>
      </c>
      <c r="F687" s="5">
        <f t="shared" si="82"/>
        <v>2025</v>
      </c>
      <c r="G687" s="3" t="s">
        <v>494</v>
      </c>
      <c r="H687" s="9">
        <f>IFERROR(DATEVALUE(TEXT(G687,"DD/MM/YYYY")), IF(ISNUMBER(G687), G687, ""))</f>
        <v>45859</v>
      </c>
      <c r="I687" s="9" t="str">
        <f>IF(G687="","Missing", IF(AND(ISNUMBER(G687)=FALSE, H687=""),"Invalid - Could Not Parse", IF(AND(ISNUMBER(G687)=FALSE, H687&lt;&gt;""),"Text - Converted to Date", IF(ISNUMBER(G687),"Valid","Check"))))</f>
        <v>Text - Converted to Date</v>
      </c>
      <c r="J687" s="9" t="str">
        <f>IF(OR(C687="", H687=""), "Cannot Check - Date Missing", IF(H687&lt;C687, "Invalid - Ship Before Order", "Valid"))</f>
        <v>Valid</v>
      </c>
      <c r="K687" s="5">
        <f>IF(OR(C687="", H687=""), "", IF(H687&lt;C687, "", H687-C687))</f>
        <v>0</v>
      </c>
      <c r="L687" s="3" t="s">
        <v>3220</v>
      </c>
      <c r="M687" s="3" t="s">
        <v>53</v>
      </c>
      <c r="N687" s="4" t="str">
        <f>TRIM(SUBSTITUTE(M687,"_"," "))</f>
        <v>Isha Nair</v>
      </c>
      <c r="O687" s="3" t="s">
        <v>115</v>
      </c>
      <c r="P687" s="6" t="str">
        <f>PROPER(TRIM(SUBSTITUTE(O687,".","")))</f>
        <v>Home Office</v>
      </c>
      <c r="Q687" s="3" t="s">
        <v>62</v>
      </c>
      <c r="R687" s="7" t="str">
        <f>PROPER(TRIM(SUBSTITUTE(Q687,"  "," ")))</f>
        <v>South</v>
      </c>
      <c r="S687" s="3" t="s">
        <v>339</v>
      </c>
      <c r="T687" s="6" t="str">
        <f>PROPER(TRIM(SUBSTITUTE(S687,"  "," ")))</f>
        <v>Tamil Nadu</v>
      </c>
      <c r="U687" s="3" t="s">
        <v>340</v>
      </c>
      <c r="V687" s="6" t="str">
        <f>PROPER(TRIM(SUBSTITUTE(U687,"  "," ")))</f>
        <v>Chennai</v>
      </c>
      <c r="W687" s="3" t="s">
        <v>45</v>
      </c>
      <c r="X687" s="6" t="str">
        <f>PROPER(TRIM(SUBSTITUTE(W687,"  "," ")))</f>
        <v>Furniture</v>
      </c>
      <c r="Y687" s="3" t="s">
        <v>204</v>
      </c>
      <c r="Z687" s="6" t="str">
        <f>PROPER(TRIM(SUBSTITUTE(Y687,"  "," ")))</f>
        <v>Bookcases</v>
      </c>
      <c r="AA687" s="3" t="s">
        <v>3221</v>
      </c>
      <c r="AB687" s="3" t="s">
        <v>56</v>
      </c>
      <c r="AC687" s="6" t="str">
        <f>PROPER(TRIM(SUBSTITUTE(AB687,"  "," ")))</f>
        <v>First Class</v>
      </c>
      <c r="AD687" s="3">
        <v>7</v>
      </c>
      <c r="AE687" s="3">
        <v>4396.6499999999996</v>
      </c>
      <c r="AF687" s="3">
        <v>0.2</v>
      </c>
      <c r="AG687" s="17">
        <v>0.2</v>
      </c>
      <c r="AH687" s="6" t="str">
        <f t="shared" si="83"/>
        <v>Valid</v>
      </c>
      <c r="AI687" s="3">
        <v>24621.24</v>
      </c>
      <c r="AJ687" s="3">
        <v>17155.48</v>
      </c>
      <c r="AK687" s="3">
        <v>7465.76</v>
      </c>
      <c r="AL687" s="3" t="s">
        <v>124</v>
      </c>
      <c r="AM687" s="6" t="str">
        <f>PROPER(TRIM(SUBSTITUTE(AL687,".","")))</f>
        <v>Refunded</v>
      </c>
      <c r="AN687" s="3" t="s">
        <v>78</v>
      </c>
      <c r="AO687" s="8" t="str">
        <f>PROPER(TRIM(SUBSTITUTE(AN687,".","")))</f>
        <v>Cancelled</v>
      </c>
      <c r="AP687" t="str">
        <f>IF(COUNTIF($A$2:$A$933, A687) &gt; 1, "Duplicate ID", "Unique")</f>
        <v>Unique</v>
      </c>
      <c r="AR687">
        <f t="shared" si="84"/>
        <v>24621.239999999998</v>
      </c>
      <c r="AS687">
        <f t="shared" si="85"/>
        <v>7465.7599999999984</v>
      </c>
      <c r="AT687" s="15">
        <f t="shared" si="86"/>
        <v>0.3032243705028666</v>
      </c>
      <c r="AU687" t="str">
        <f t="shared" si="87"/>
        <v>Clean</v>
      </c>
      <c r="AV687" s="8" t="str">
        <f t="shared" si="88"/>
        <v>Refund</v>
      </c>
    </row>
    <row r="688" spans="1:48">
      <c r="A688" s="3" t="s">
        <v>1052</v>
      </c>
      <c r="B688" s="3" t="s">
        <v>1053</v>
      </c>
      <c r="C688" s="9">
        <f>IFERROR(DATEVALUE(TEXT(B688,"DD/MM/YYYY")), IF(ISNUMBER(B688), B688, ""))</f>
        <v>45860</v>
      </c>
      <c r="D688" s="9" t="str">
        <f>IF(B688="","Missing", IF(AND(ISNUMBER(B688)=FALSE, C688=""),"Invalid - Could Not Parse", IF(AND(ISNUMBER(B688)=FALSE, C688&lt;&gt;""),"Text - Converted to Date", IF(ISNUMBER(B688),"Valid","Check"))))</f>
        <v>Text - Converted to Date</v>
      </c>
      <c r="E688" s="5">
        <f t="shared" si="81"/>
        <v>7</v>
      </c>
      <c r="F688" s="5">
        <f t="shared" si="82"/>
        <v>2025</v>
      </c>
      <c r="G688" s="3" t="s">
        <v>1054</v>
      </c>
      <c r="H688" s="9">
        <f>IFERROR(DATEVALUE(MID(G688,4,2) &amp; "/" &amp; LEFT(G688,2) &amp; "/" &amp; RIGHT(G688,4)), IF(ISNUMBER(G688), G688, IFERROR(DATEVALUE(G688), "")))</f>
        <v>45862</v>
      </c>
      <c r="I688" s="9" t="str">
        <f>IF(G688="","Missing", IF(AND(ISNUMBER(G688)=FALSE, H688=""),"Invalid - Could Not Parse", IF(AND(ISNUMBER(G688)=FALSE, H688&lt;&gt;""),"Text - Converted to Date", IF(ISNUMBER(G688),"Valid","Check"))))</f>
        <v>Text - Converted to Date</v>
      </c>
      <c r="J688" s="9" t="str">
        <f>IF(OR(C688="", H688=""), "Cannot Check - Date Missing", IF(H688&lt;C688, "Invalid - Ship Before Order", "Valid"))</f>
        <v>Valid</v>
      </c>
      <c r="K688" s="5">
        <f>IF(OR(C688="", H688=""), "", IF(H688&lt;C688, "", H688-C688))</f>
        <v>2</v>
      </c>
      <c r="L688" s="3" t="s">
        <v>1055</v>
      </c>
      <c r="M688" s="3" t="s">
        <v>93</v>
      </c>
      <c r="N688" s="4" t="str">
        <f>TRIM(SUBSTITUTE(M688,"_"," "))</f>
        <v>Neha Gupta</v>
      </c>
      <c r="O688" s="3" t="s">
        <v>115</v>
      </c>
      <c r="P688" s="6" t="str">
        <f>PROPER(TRIM(SUBSTITUTE(O688,".","")))</f>
        <v>Home Office</v>
      </c>
      <c r="Q688" s="3" t="s">
        <v>62</v>
      </c>
      <c r="R688" s="7" t="str">
        <f>PROPER(TRIM(SUBSTITUTE(Q688,"  "," ")))</f>
        <v>South</v>
      </c>
      <c r="S688" s="3" t="s">
        <v>100</v>
      </c>
      <c r="T688" s="6" t="str">
        <f>PROPER(TRIM(SUBSTITUTE(S688,"  "," ")))</f>
        <v>Andhra Pradesh</v>
      </c>
      <c r="U688" s="3" t="s">
        <v>101</v>
      </c>
      <c r="V688" s="6" t="str">
        <f>PROPER(TRIM(SUBSTITUTE(U688,"  "," ")))</f>
        <v>Vijayawada</v>
      </c>
      <c r="W688" s="3" t="s">
        <v>45</v>
      </c>
      <c r="X688" s="6" t="str">
        <f>PROPER(TRIM(SUBSTITUTE(W688,"  "," ")))</f>
        <v>Furniture</v>
      </c>
      <c r="Y688" s="3" t="s">
        <v>65</v>
      </c>
      <c r="Z688" s="6" t="str">
        <f>PROPER(TRIM(SUBSTITUTE(Y688,"  "," ")))</f>
        <v>Furnishings</v>
      </c>
      <c r="AA688" s="3" t="s">
        <v>1056</v>
      </c>
      <c r="AB688" s="3" t="s">
        <v>48</v>
      </c>
      <c r="AC688" s="6" t="str">
        <f>PROPER(TRIM(SUBSTITUTE(AB688,"  "," ")))</f>
        <v>Same Day</v>
      </c>
      <c r="AD688" s="3">
        <v>5</v>
      </c>
      <c r="AE688" s="3">
        <v>1922.83</v>
      </c>
      <c r="AF688" s="3">
        <v>0</v>
      </c>
      <c r="AG688" s="17">
        <v>0</v>
      </c>
      <c r="AH688" s="6" t="str">
        <f t="shared" si="83"/>
        <v>Valid</v>
      </c>
      <c r="AI688" s="3">
        <v>9614.15</v>
      </c>
      <c r="AJ688" s="3">
        <v>7576.84</v>
      </c>
      <c r="AK688" s="3">
        <v>2037.31</v>
      </c>
      <c r="AL688" s="3" t="s">
        <v>34</v>
      </c>
      <c r="AM688" s="6" t="str">
        <f>PROPER(TRIM(SUBSTITUTE(AL688,".","")))</f>
        <v>Paid</v>
      </c>
      <c r="AN688" s="3" t="s">
        <v>35</v>
      </c>
      <c r="AO688" s="8" t="str">
        <f>PROPER(TRIM(SUBSTITUTE(AN688,".","")))</f>
        <v>Completed</v>
      </c>
      <c r="AP688" t="str">
        <f>IF(COUNTIF($A$2:$A$933, A688) &gt; 1, "Duplicate ID", "Unique")</f>
        <v>Unique</v>
      </c>
      <c r="AR688">
        <f t="shared" si="84"/>
        <v>9614.15</v>
      </c>
      <c r="AS688">
        <f t="shared" si="85"/>
        <v>2037.3099999999995</v>
      </c>
      <c r="AT688" s="15">
        <f t="shared" si="86"/>
        <v>0.21190744891644084</v>
      </c>
      <c r="AU688" t="str">
        <f t="shared" si="87"/>
        <v>Clean</v>
      </c>
      <c r="AV688" s="8" t="str">
        <f t="shared" si="88"/>
        <v>Active</v>
      </c>
    </row>
    <row r="689" spans="1:48">
      <c r="A689" s="3" t="s">
        <v>1657</v>
      </c>
      <c r="B689" s="3" t="s">
        <v>1658</v>
      </c>
      <c r="C689" s="9">
        <f>IFERROR(DATEVALUE(TEXT(B689,"DD/MM/YYYY")), IF(ISNUMBER(B689), B689, ""))</f>
        <v>45860</v>
      </c>
      <c r="D689" s="9" t="str">
        <f>IF(B689="","Missing", IF(AND(ISNUMBER(B689)=FALSE, C689=""),"Invalid - Could Not Parse", IF(AND(ISNUMBER(B689)=FALSE, C689&lt;&gt;""),"Text - Converted to Date", IF(ISNUMBER(B689),"Valid","Check"))))</f>
        <v>Text - Converted to Date</v>
      </c>
      <c r="E689" s="5">
        <f t="shared" si="81"/>
        <v>7</v>
      </c>
      <c r="F689" s="5">
        <f t="shared" si="82"/>
        <v>2025</v>
      </c>
      <c r="G689" s="3" t="s">
        <v>1512</v>
      </c>
      <c r="H689" s="9">
        <f>IFERROR(DATEVALUE(MID(G689,4,2) &amp; "/" &amp; LEFT(G689,2) &amp; "/" &amp; RIGHT(G689,4)), IF(ISNUMBER(G689), G689, IFERROR(DATEVALUE(G689), "")))</f>
        <v>45860</v>
      </c>
      <c r="I689" s="9" t="str">
        <f>IF(G689="","Missing", IF(AND(ISNUMBER(G689)=FALSE, H689=""),"Invalid - Could Not Parse", IF(AND(ISNUMBER(G689)=FALSE, H689&lt;&gt;""),"Text - Converted to Date", IF(ISNUMBER(G689),"Valid","Check"))))</f>
        <v>Text - Converted to Date</v>
      </c>
      <c r="J689" s="9" t="str">
        <f>IF(OR(C689="", H689=""), "Cannot Check - Date Missing", IF(H689&lt;C689, "Invalid - Ship Before Order", "Valid"))</f>
        <v>Valid</v>
      </c>
      <c r="K689" s="5">
        <f>IF(OR(C689="", H689=""), "", IF(H689&lt;C689, "", H689-C689))</f>
        <v>0</v>
      </c>
      <c r="L689" s="3" t="s">
        <v>1659</v>
      </c>
      <c r="M689" s="3" t="s">
        <v>168</v>
      </c>
      <c r="N689" s="4" t="str">
        <f>TRIM(SUBSTITUTE(M689,"_"," "))</f>
        <v>Sneha Kapoor</v>
      </c>
      <c r="O689" s="3" t="s">
        <v>108</v>
      </c>
      <c r="P689" s="6" t="str">
        <f>PROPER(TRIM(SUBSTITUTE(O689,".","")))</f>
        <v>Corporate</v>
      </c>
      <c r="Q689" s="3" t="s">
        <v>42</v>
      </c>
      <c r="R689" s="7" t="str">
        <f>PROPER(TRIM(SUBSTITUTE(Q689,"  "," ")))</f>
        <v>East</v>
      </c>
      <c r="S689" s="3" t="s">
        <v>311</v>
      </c>
      <c r="T689" s="6" t="str">
        <f>PROPER(TRIM(SUBSTITUTE(S689,"  "," ")))</f>
        <v>Jharkhand</v>
      </c>
      <c r="U689" s="3" t="s">
        <v>312</v>
      </c>
      <c r="V689" s="6" t="str">
        <f>PROPER(TRIM(SUBSTITUTE(U689,"  "," ")))</f>
        <v>Ranchi</v>
      </c>
      <c r="W689" s="3" t="s">
        <v>45</v>
      </c>
      <c r="X689" s="6" t="str">
        <f>PROPER(TRIM(SUBSTITUTE(W689,"  "," ")))</f>
        <v>Furniture</v>
      </c>
      <c r="Y689" s="3" t="s">
        <v>65</v>
      </c>
      <c r="Z689" s="6" t="str">
        <f>PROPER(TRIM(SUBSTITUTE(Y689,"  "," ")))</f>
        <v>Furnishings</v>
      </c>
      <c r="AA689" s="3" t="s">
        <v>1660</v>
      </c>
      <c r="AB689" s="3" t="s">
        <v>48</v>
      </c>
      <c r="AC689" s="6" t="str">
        <f>PROPER(TRIM(SUBSTITUTE(AB689,"  "," ")))</f>
        <v>Same Day</v>
      </c>
      <c r="AD689" s="3">
        <v>5</v>
      </c>
      <c r="AE689" s="3">
        <v>3187.05</v>
      </c>
      <c r="AF689" s="3">
        <v>0.05</v>
      </c>
      <c r="AG689" s="17">
        <v>0.05</v>
      </c>
      <c r="AH689" s="6" t="str">
        <f t="shared" si="83"/>
        <v>Valid</v>
      </c>
      <c r="AI689" s="3">
        <v>15138.49</v>
      </c>
      <c r="AJ689" s="3">
        <v>11235.72</v>
      </c>
      <c r="AK689" s="3">
        <v>3902.77</v>
      </c>
      <c r="AL689" s="3" t="s">
        <v>34</v>
      </c>
      <c r="AM689" s="6" t="str">
        <f>PROPER(TRIM(SUBSTITUTE(AL689,".","")))</f>
        <v>Paid</v>
      </c>
      <c r="AN689" s="3" t="s">
        <v>35</v>
      </c>
      <c r="AO689" s="8" t="str">
        <f>PROPER(TRIM(SUBSTITUTE(AN689,".","")))</f>
        <v>Completed</v>
      </c>
      <c r="AP689" t="str">
        <f>IF(COUNTIF($A$2:$A$933, A689) &gt; 1, "Duplicate ID", "Unique")</f>
        <v>Unique</v>
      </c>
      <c r="AR689">
        <f t="shared" si="84"/>
        <v>15138.487499999999</v>
      </c>
      <c r="AS689">
        <f t="shared" si="85"/>
        <v>3902.7674999999999</v>
      </c>
      <c r="AT689" s="15">
        <f t="shared" si="86"/>
        <v>0.25780432160082045</v>
      </c>
      <c r="AU689" t="str">
        <f t="shared" si="87"/>
        <v>Clean</v>
      </c>
      <c r="AV689" s="8" t="str">
        <f t="shared" si="88"/>
        <v>Active</v>
      </c>
    </row>
    <row r="690" spans="1:48">
      <c r="A690" s="3" t="s">
        <v>1745</v>
      </c>
      <c r="B690" s="3" t="s">
        <v>1658</v>
      </c>
      <c r="C690" s="9">
        <f>IFERROR(DATEVALUE(TEXT(B690,"DD/MM/YYYY")), IF(ISNUMBER(B690), B690, ""))</f>
        <v>45860</v>
      </c>
      <c r="D690" s="9" t="str">
        <f>IF(B690="","Missing", IF(AND(ISNUMBER(B690)=FALSE, C690=""),"Invalid - Could Not Parse", IF(AND(ISNUMBER(B690)=FALSE, C690&lt;&gt;""),"Text - Converted to Date", IF(ISNUMBER(B690),"Valid","Check"))))</f>
        <v>Text - Converted to Date</v>
      </c>
      <c r="E690" s="5">
        <f t="shared" si="81"/>
        <v>7</v>
      </c>
      <c r="F690" s="5">
        <f t="shared" si="82"/>
        <v>2025</v>
      </c>
      <c r="G690" s="3" t="s">
        <v>1746</v>
      </c>
      <c r="H690" s="9">
        <f>IFERROR(DATEVALUE(TEXT(G690,"DD/MM/YYYY")), IF(ISNUMBER(G690), G690, ""))</f>
        <v>45866</v>
      </c>
      <c r="I690" s="9" t="str">
        <f>IF(G690="","Missing", IF(AND(ISNUMBER(G690)=FALSE, H690=""),"Invalid - Could Not Parse", IF(AND(ISNUMBER(G690)=FALSE, H690&lt;&gt;""),"Text - Converted to Date", IF(ISNUMBER(G690),"Valid","Check"))))</f>
        <v>Text - Converted to Date</v>
      </c>
      <c r="J690" s="9" t="str">
        <f>IF(OR(C690="", H690=""), "Cannot Check - Date Missing", IF(H690&lt;C690, "Invalid - Ship Before Order", "Valid"))</f>
        <v>Valid</v>
      </c>
      <c r="K690" s="5">
        <f>IF(OR(C690="", H690=""), "", IF(H690&lt;C690, "", H690-C690))</f>
        <v>6</v>
      </c>
      <c r="L690" s="3" t="s">
        <v>1747</v>
      </c>
      <c r="M690" s="3" t="s">
        <v>148</v>
      </c>
      <c r="N690" s="4" t="str">
        <f>TRIM(SUBSTITUTE(M690,"_"," "))</f>
        <v>Rahul Verma</v>
      </c>
      <c r="O690" s="3" t="s">
        <v>108</v>
      </c>
      <c r="P690" s="6" t="str">
        <f>PROPER(TRIM(SUBSTITUTE(O690,".","")))</f>
        <v>Corporate</v>
      </c>
      <c r="Q690" s="3" t="s">
        <v>62</v>
      </c>
      <c r="R690" s="7" t="str">
        <f>PROPER(TRIM(SUBSTITUTE(Q690,"  "," ")))</f>
        <v>South</v>
      </c>
      <c r="S690" s="3" t="s">
        <v>242</v>
      </c>
      <c r="T690" s="6" t="str">
        <f>PROPER(TRIM(SUBSTITUTE(S690,"  "," ")))</f>
        <v>Kerala</v>
      </c>
      <c r="U690" s="3" t="s">
        <v>243</v>
      </c>
      <c r="V690" s="6" t="str">
        <f>PROPER(TRIM(SUBSTITUTE(U690,"  "," ")))</f>
        <v>Kochi</v>
      </c>
      <c r="W690" s="3" t="s">
        <v>45</v>
      </c>
      <c r="X690" s="6" t="str">
        <f>PROPER(TRIM(SUBSTITUTE(W690,"  "," ")))</f>
        <v>Furniture</v>
      </c>
      <c r="Y690" s="3" t="s">
        <v>76</v>
      </c>
      <c r="Z690" s="6" t="str">
        <f>PROPER(TRIM(SUBSTITUTE(Y690,"  "," ")))</f>
        <v>Chairs</v>
      </c>
      <c r="AA690" s="3" t="s">
        <v>1748</v>
      </c>
      <c r="AB690" s="3" t="s">
        <v>33</v>
      </c>
      <c r="AC690" s="6" t="str">
        <f>PROPER(TRIM(SUBSTITUTE(AB690,"  "," ")))</f>
        <v>Second Class</v>
      </c>
      <c r="AD690" s="3">
        <v>6</v>
      </c>
      <c r="AE690" s="3">
        <v>1607.46</v>
      </c>
      <c r="AF690" s="3">
        <v>0.2</v>
      </c>
      <c r="AG690" s="17">
        <v>0.2</v>
      </c>
      <c r="AH690" s="6" t="str">
        <f t="shared" si="83"/>
        <v>Valid</v>
      </c>
      <c r="AI690" s="3">
        <v>7715.81</v>
      </c>
      <c r="AJ690" s="3">
        <v>4258.42</v>
      </c>
      <c r="AK690" s="3">
        <v>3457.39</v>
      </c>
      <c r="AL690" s="3" t="s">
        <v>34</v>
      </c>
      <c r="AM690" s="6" t="str">
        <f>PROPER(TRIM(SUBSTITUTE(AL690,".","")))</f>
        <v>Paid</v>
      </c>
      <c r="AN690" s="3" t="s">
        <v>35</v>
      </c>
      <c r="AO690" s="8" t="str">
        <f>PROPER(TRIM(SUBSTITUTE(AN690,".","")))</f>
        <v>Completed</v>
      </c>
      <c r="AP690" t="str">
        <f>IF(COUNTIF($A$2:$A$933, A690) &gt; 1, "Duplicate ID", "Unique")</f>
        <v>Unique</v>
      </c>
      <c r="AR690">
        <f t="shared" si="84"/>
        <v>7715.8080000000009</v>
      </c>
      <c r="AS690">
        <f t="shared" si="85"/>
        <v>3457.3880000000008</v>
      </c>
      <c r="AT690" s="15">
        <f t="shared" si="86"/>
        <v>0.4480915025360922</v>
      </c>
      <c r="AU690" t="str">
        <f t="shared" si="87"/>
        <v>Clean</v>
      </c>
      <c r="AV690" s="8" t="str">
        <f t="shared" si="88"/>
        <v>Active</v>
      </c>
    </row>
    <row r="691" spans="1:48">
      <c r="A691" s="3" t="s">
        <v>2810</v>
      </c>
      <c r="B691" s="3" t="s">
        <v>2811</v>
      </c>
      <c r="C691" s="9">
        <f>IFERROR(DATEVALUE(TEXT(B691,"DD/MM/YYYY")), IF(ISNUMBER(B691), B691, ""))</f>
        <v>45861</v>
      </c>
      <c r="D691" s="9" t="str">
        <f>IF(B691="","Missing", IF(AND(ISNUMBER(B691)=FALSE, C691=""),"Invalid - Could Not Parse", IF(AND(ISNUMBER(B691)=FALSE, C691&lt;&gt;""),"Text - Converted to Date", IF(ISNUMBER(B691),"Valid","Check"))))</f>
        <v>Text - Converted to Date</v>
      </c>
      <c r="E691" s="5">
        <f t="shared" si="81"/>
        <v>7</v>
      </c>
      <c r="F691" s="5">
        <f t="shared" si="82"/>
        <v>2025</v>
      </c>
      <c r="G691" s="3" t="s">
        <v>2812</v>
      </c>
      <c r="H691" s="9">
        <f>IFERROR(DATEVALUE(TEXT(G691,"DD/MM/YYYY")), IF(ISNUMBER(G691), G691, ""))</f>
        <v>45869</v>
      </c>
      <c r="I691" s="9" t="str">
        <f>IF(G691="","Missing", IF(AND(ISNUMBER(G691)=FALSE, H691=""),"Invalid - Could Not Parse", IF(AND(ISNUMBER(G691)=FALSE, H691&lt;&gt;""),"Text - Converted to Date", IF(ISNUMBER(G691),"Valid","Check"))))</f>
        <v>Text - Converted to Date</v>
      </c>
      <c r="J691" s="9" t="str">
        <f>IF(OR(C691="", H691=""), "Cannot Check - Date Missing", IF(H691&lt;C691, "Invalid - Ship Before Order", "Valid"))</f>
        <v>Valid</v>
      </c>
      <c r="K691" s="5">
        <f>IF(OR(C691="", H691=""), "", IF(H691&lt;C691, "", H691-C691))</f>
        <v>8</v>
      </c>
      <c r="L691" s="3" t="s">
        <v>2813</v>
      </c>
      <c r="M691" s="3" t="s">
        <v>366</v>
      </c>
      <c r="N691" s="4" t="str">
        <f>TRIM(SUBSTITUTE(M691,"_"," "))</f>
        <v>Kabir Singh</v>
      </c>
      <c r="O691" s="3" t="s">
        <v>115</v>
      </c>
      <c r="P691" s="6" t="str">
        <f>PROPER(TRIM(SUBSTITUTE(O691,".","")))</f>
        <v>Home Office</v>
      </c>
      <c r="Q691" s="3" t="s">
        <v>73</v>
      </c>
      <c r="R691" s="7" t="str">
        <f>PROPER(TRIM(SUBSTITUTE(Q691,"  "," ")))</f>
        <v>West</v>
      </c>
      <c r="S691" s="3" t="s">
        <v>84</v>
      </c>
      <c r="T691" s="6" t="str">
        <f>PROPER(TRIM(SUBSTITUTE(S691,"  "," ")))</f>
        <v>Madhya Pradesh</v>
      </c>
      <c r="U691" s="3" t="s">
        <v>85</v>
      </c>
      <c r="V691" s="6" t="str">
        <f>PROPER(TRIM(SUBSTITUTE(U691,"  "," ")))</f>
        <v>Indore</v>
      </c>
      <c r="W691" s="3" t="s">
        <v>86</v>
      </c>
      <c r="X691" s="6" t="str">
        <f>PROPER(TRIM(SUBSTITUTE(W691,"  "," ")))</f>
        <v>Technology</v>
      </c>
      <c r="Y691" s="3" t="s">
        <v>87</v>
      </c>
      <c r="Z691" s="6" t="str">
        <f>PROPER(TRIM(SUBSTITUTE(Y691,"  "," ")))</f>
        <v>Accessories</v>
      </c>
      <c r="AA691" s="3" t="s">
        <v>2814</v>
      </c>
      <c r="AB691" s="3" t="s">
        <v>56</v>
      </c>
      <c r="AC691" s="6" t="str">
        <f>PROPER(TRIM(SUBSTITUTE(AB691,"  "," ")))</f>
        <v>First Class</v>
      </c>
      <c r="AD691" s="3">
        <v>1</v>
      </c>
      <c r="AE691" s="3">
        <v>4253.84</v>
      </c>
      <c r="AF691" s="3">
        <v>0.15</v>
      </c>
      <c r="AG691" s="17">
        <v>0.15</v>
      </c>
      <c r="AH691" s="6" t="str">
        <f t="shared" si="83"/>
        <v>Valid</v>
      </c>
      <c r="AI691" s="3">
        <v>3615.76</v>
      </c>
      <c r="AJ691" s="3">
        <v>2951.52</v>
      </c>
      <c r="AK691" s="3">
        <v>664.24</v>
      </c>
      <c r="AL691" s="3" t="s">
        <v>124</v>
      </c>
      <c r="AM691" s="6" t="str">
        <f>PROPER(TRIM(SUBSTITUTE(AL691,".","")))</f>
        <v>Refunded</v>
      </c>
      <c r="AN691" s="3" t="s">
        <v>78</v>
      </c>
      <c r="AO691" s="8" t="str">
        <f>PROPER(TRIM(SUBSTITUTE(AN691,".","")))</f>
        <v>Cancelled</v>
      </c>
      <c r="AP691" t="str">
        <f>IF(COUNTIF($A$2:$A$933, A691) &gt; 1, "Duplicate ID", "Unique")</f>
        <v>Unique</v>
      </c>
      <c r="AR691">
        <f t="shared" si="84"/>
        <v>3615.7640000000001</v>
      </c>
      <c r="AS691">
        <f t="shared" si="85"/>
        <v>664.24400000000014</v>
      </c>
      <c r="AT691" s="15">
        <f t="shared" si="86"/>
        <v>0.18370778623826114</v>
      </c>
      <c r="AU691" t="str">
        <f t="shared" si="87"/>
        <v>Clean</v>
      </c>
      <c r="AV691" s="8" t="str">
        <f t="shared" si="88"/>
        <v>Refund</v>
      </c>
    </row>
    <row r="692" spans="1:48">
      <c r="A692" s="3" t="s">
        <v>890</v>
      </c>
      <c r="B692" s="3" t="s">
        <v>891</v>
      </c>
      <c r="C692" s="9">
        <f>IFERROR(DATEVALUE(TEXT(B692,"DD/MM/YYYY")), IF(ISNUMBER(B692), B692, ""))</f>
        <v>45862</v>
      </c>
      <c r="D692" s="9" t="str">
        <f>IF(B692="","Missing", IF(AND(ISNUMBER(B692)=FALSE, C692=""),"Invalid - Could Not Parse", IF(AND(ISNUMBER(B692)=FALSE, C692&lt;&gt;""),"Text - Converted to Date", IF(ISNUMBER(B692),"Valid","Check"))))</f>
        <v>Text - Converted to Date</v>
      </c>
      <c r="E692" s="5">
        <f t="shared" si="81"/>
        <v>7</v>
      </c>
      <c r="F692" s="5">
        <f t="shared" si="82"/>
        <v>2025</v>
      </c>
      <c r="G692" s="3" t="s">
        <v>892</v>
      </c>
      <c r="H692" s="9">
        <f>IFERROR(DATEVALUE(TEXT(G692,"DD/MM/YYYY")), IF(ISNUMBER(G692), G692, ""))</f>
        <v>45868</v>
      </c>
      <c r="I692" s="9" t="str">
        <f>IF(G692="","Missing", IF(AND(ISNUMBER(G692)=FALSE, H692=""),"Invalid - Could Not Parse", IF(AND(ISNUMBER(G692)=FALSE, H692&lt;&gt;""),"Text - Converted to Date", IF(ISNUMBER(G692),"Valid","Check"))))</f>
        <v>Text - Converted to Date</v>
      </c>
      <c r="J692" s="9" t="str">
        <f>IF(OR(C692="", H692=""), "Cannot Check - Date Missing", IF(H692&lt;C692, "Invalid - Ship Before Order", "Valid"))</f>
        <v>Valid</v>
      </c>
      <c r="K692" s="5">
        <f>IF(OR(C692="", H692=""), "", IF(H692&lt;C692, "", H692-C692))</f>
        <v>6</v>
      </c>
      <c r="L692" s="3" t="s">
        <v>893</v>
      </c>
      <c r="M692" s="3" t="s">
        <v>61</v>
      </c>
      <c r="N692" s="4" t="str">
        <f>TRIM(SUBSTITUTE(M692,"_"," "))</f>
        <v>Arjun Bose</v>
      </c>
      <c r="O692" s="3" t="s">
        <v>894</v>
      </c>
      <c r="P692" s="6" t="str">
        <f>PROPER(TRIM(SUBSTITUTE(O692,".","")))</f>
        <v>Consumer</v>
      </c>
      <c r="Q692" s="3" t="s">
        <v>73</v>
      </c>
      <c r="R692" s="7" t="str">
        <f>PROPER(TRIM(SUBSTITUTE(Q692,"  "," ")))</f>
        <v>West</v>
      </c>
      <c r="S692" s="3" t="s">
        <v>28</v>
      </c>
      <c r="T692" s="6" t="str">
        <f>PROPER(TRIM(SUBSTITUTE(S692,"  "," ")))</f>
        <v>Rajasthan</v>
      </c>
      <c r="U692" s="3" t="s">
        <v>135</v>
      </c>
      <c r="V692" s="6" t="str">
        <f>PROPER(TRIM(SUBSTITUTE(U692,"  "," ")))</f>
        <v>Udaipur</v>
      </c>
      <c r="W692" s="3" t="s">
        <v>30</v>
      </c>
      <c r="X692" s="6" t="str">
        <f>PROPER(TRIM(SUBSTITUTE(W692,"  "," ")))</f>
        <v>Office Supplies</v>
      </c>
      <c r="Y692" s="3" t="s">
        <v>198</v>
      </c>
      <c r="Z692" s="6" t="str">
        <f>PROPER(TRIM(SUBSTITUTE(Y692,"  "," ")))</f>
        <v>Binders</v>
      </c>
      <c r="AA692" s="3" t="s">
        <v>895</v>
      </c>
      <c r="AB692" s="3" t="s">
        <v>67</v>
      </c>
      <c r="AC692" s="6" t="str">
        <f>PROPER(TRIM(SUBSTITUTE(AB692,"  "," ")))</f>
        <v>Standard Class</v>
      </c>
      <c r="AD692" s="3">
        <v>1</v>
      </c>
      <c r="AE692" s="3">
        <v>1643.41</v>
      </c>
      <c r="AF692" s="3">
        <v>0</v>
      </c>
      <c r="AG692" s="17">
        <v>0</v>
      </c>
      <c r="AH692" s="6" t="str">
        <f t="shared" si="83"/>
        <v>Valid</v>
      </c>
      <c r="AI692" s="3">
        <v>1643.41</v>
      </c>
      <c r="AJ692" s="3">
        <v>907.4</v>
      </c>
      <c r="AK692" s="3">
        <v>736.01</v>
      </c>
      <c r="AL692" s="3" t="s">
        <v>137</v>
      </c>
      <c r="AM692" s="6" t="str">
        <f>PROPER(TRIM(SUBSTITUTE(AL692,".","")))</f>
        <v>Pending</v>
      </c>
      <c r="AN692" s="3" t="s">
        <v>78</v>
      </c>
      <c r="AO692" s="8" t="str">
        <f>PROPER(TRIM(SUBSTITUTE(AN692,".","")))</f>
        <v>Cancelled</v>
      </c>
      <c r="AP692" t="str">
        <f>IF(COUNTIF($A$2:$A$933, A692) &gt; 1, "Duplicate ID", "Unique")</f>
        <v>Unique</v>
      </c>
      <c r="AR692">
        <f t="shared" si="84"/>
        <v>1643.41</v>
      </c>
      <c r="AS692">
        <f t="shared" si="85"/>
        <v>736.0100000000001</v>
      </c>
      <c r="AT692" s="15">
        <f t="shared" si="86"/>
        <v>0.44785537388722235</v>
      </c>
      <c r="AU692" t="str">
        <f t="shared" si="87"/>
        <v>Clean</v>
      </c>
      <c r="AV692" s="8" t="str">
        <f t="shared" si="88"/>
        <v>Cancelled</v>
      </c>
    </row>
    <row r="693" spans="1:48">
      <c r="A693" s="3" t="s">
        <v>1728</v>
      </c>
      <c r="B693" s="3" t="s">
        <v>1729</v>
      </c>
      <c r="C693" s="9">
        <f>IFERROR(DATEVALUE(TEXT(B693,"DD/MM/YYYY")), IF(ISNUMBER(B693), B693, ""))</f>
        <v>45862</v>
      </c>
      <c r="D693" s="9" t="str">
        <f>IF(B693="","Missing", IF(AND(ISNUMBER(B693)=FALSE, C693=""),"Invalid - Could Not Parse", IF(AND(ISNUMBER(B693)=FALSE, C693&lt;&gt;""),"Text - Converted to Date", IF(ISNUMBER(B693),"Valid","Check"))))</f>
        <v>Text - Converted to Date</v>
      </c>
      <c r="E693" s="5">
        <f t="shared" si="81"/>
        <v>7</v>
      </c>
      <c r="F693" s="5">
        <f t="shared" si="82"/>
        <v>2025</v>
      </c>
      <c r="G693" s="3" t="s">
        <v>1730</v>
      </c>
      <c r="H693" s="9">
        <f>IFERROR(DATEVALUE(TEXT(G693,"DD/MM/YYYY")), IF(ISNUMBER(G693), G693, ""))</f>
        <v>45870</v>
      </c>
      <c r="I693" s="9" t="str">
        <f>IF(G693="","Missing", IF(AND(ISNUMBER(G693)=FALSE, H693=""),"Invalid - Could Not Parse", IF(AND(ISNUMBER(G693)=FALSE, H693&lt;&gt;""),"Text - Converted to Date", IF(ISNUMBER(G693),"Valid","Check"))))</f>
        <v>Text - Converted to Date</v>
      </c>
      <c r="J693" s="9" t="str">
        <f>IF(OR(C693="", H693=""), "Cannot Check - Date Missing", IF(H693&lt;C693, "Invalid - Ship Before Order", "Valid"))</f>
        <v>Valid</v>
      </c>
      <c r="K693" s="5">
        <f>IF(OR(C693="", H693=""), "", IF(H693&lt;C693, "", H693-C693))</f>
        <v>8</v>
      </c>
      <c r="L693" s="3" t="s">
        <v>1731</v>
      </c>
      <c r="M693" s="3" t="s">
        <v>366</v>
      </c>
      <c r="N693" s="4" t="str">
        <f>TRIM(SUBSTITUTE(M693,"_"," "))</f>
        <v>Kabir Singh</v>
      </c>
      <c r="O693" s="3" t="s">
        <v>41</v>
      </c>
      <c r="P693" s="6" t="str">
        <f>PROPER(TRIM(SUBSTITUTE(O693,".","")))</f>
        <v>Small Business</v>
      </c>
      <c r="Q693" s="3" t="s">
        <v>42</v>
      </c>
      <c r="R693" s="7" t="str">
        <f>PROPER(TRIM(SUBSTITUTE(Q693,"  "," ")))</f>
        <v>East</v>
      </c>
      <c r="S693" s="3" t="s">
        <v>311</v>
      </c>
      <c r="T693" s="6" t="str">
        <f>PROPER(TRIM(SUBSTITUTE(S693,"  "," ")))</f>
        <v>Jharkhand</v>
      </c>
      <c r="U693" s="3" t="s">
        <v>312</v>
      </c>
      <c r="V693" s="6" t="str">
        <f>PROPER(TRIM(SUBSTITUTE(U693,"  "," ")))</f>
        <v>Ranchi</v>
      </c>
      <c r="W693" s="3" t="s">
        <v>30</v>
      </c>
      <c r="X693" s="6" t="str">
        <f>PROPER(TRIM(SUBSTITUTE(W693,"  "," ")))</f>
        <v>Office Supplies</v>
      </c>
      <c r="Y693" s="3" t="s">
        <v>198</v>
      </c>
      <c r="Z693" s="6" t="str">
        <f>PROPER(TRIM(SUBSTITUTE(Y693,"  "," ")))</f>
        <v>Binders</v>
      </c>
      <c r="AA693" s="3" t="s">
        <v>1732</v>
      </c>
      <c r="AB693" s="3" t="s">
        <v>56</v>
      </c>
      <c r="AC693" s="6" t="str">
        <f>PROPER(TRIM(SUBSTITUTE(AB693,"  "," ")))</f>
        <v>First Class</v>
      </c>
      <c r="AD693" s="3">
        <v>8</v>
      </c>
      <c r="AE693" s="3">
        <v>1528.92</v>
      </c>
      <c r="AF693" s="3">
        <v>0</v>
      </c>
      <c r="AG693" s="17">
        <v>0</v>
      </c>
      <c r="AH693" s="6" t="str">
        <f t="shared" si="83"/>
        <v>Valid</v>
      </c>
      <c r="AI693" s="3">
        <v>12231.36</v>
      </c>
      <c r="AJ693" s="3">
        <v>8766.9</v>
      </c>
      <c r="AK693" s="3">
        <v>3464.46</v>
      </c>
      <c r="AL693" s="3" t="s">
        <v>34</v>
      </c>
      <c r="AM693" s="6" t="str">
        <f>PROPER(TRIM(SUBSTITUTE(AL693,".","")))</f>
        <v>Paid</v>
      </c>
      <c r="AN693" s="3" t="s">
        <v>35</v>
      </c>
      <c r="AO693" s="8" t="str">
        <f>PROPER(TRIM(SUBSTITUTE(AN693,".","")))</f>
        <v>Completed</v>
      </c>
      <c r="AP693" t="str">
        <f>IF(COUNTIF($A$2:$A$933, A693) &gt; 1, "Duplicate ID", "Unique")</f>
        <v>Unique</v>
      </c>
      <c r="AR693">
        <f t="shared" si="84"/>
        <v>12231.36</v>
      </c>
      <c r="AS693">
        <f t="shared" si="85"/>
        <v>3464.4600000000009</v>
      </c>
      <c r="AT693" s="15">
        <f t="shared" si="86"/>
        <v>0.28324405462679547</v>
      </c>
      <c r="AU693" t="str">
        <f t="shared" si="87"/>
        <v>Clean</v>
      </c>
      <c r="AV693" s="8" t="str">
        <f t="shared" si="88"/>
        <v>Active</v>
      </c>
    </row>
    <row r="694" spans="1:48">
      <c r="A694" s="3" t="s">
        <v>1448</v>
      </c>
      <c r="B694" s="3" t="s">
        <v>1449</v>
      </c>
      <c r="C694" s="9">
        <f>IFERROR(DATEVALUE(TEXT(B694,"DD/MM/YYYY")), IF(ISNUMBER(B694), B694, ""))</f>
        <v>45863</v>
      </c>
      <c r="D694" s="9" t="str">
        <f>IF(B694="","Missing", IF(AND(ISNUMBER(B694)=FALSE, C694=""),"Invalid - Could Not Parse", IF(AND(ISNUMBER(B694)=FALSE, C694&lt;&gt;""),"Text - Converted to Date", IF(ISNUMBER(B694),"Valid","Check"))))</f>
        <v>Text - Converted to Date</v>
      </c>
      <c r="E694" s="5">
        <f t="shared" si="81"/>
        <v>7</v>
      </c>
      <c r="F694" s="5">
        <f t="shared" si="82"/>
        <v>2025</v>
      </c>
      <c r="G694" s="3" t="s">
        <v>1450</v>
      </c>
      <c r="H694" s="9">
        <f>IFERROR(DATEVALUE(MID(G694,4,2) &amp; "/" &amp; LEFT(G694,2) &amp; "/" &amp; RIGHT(G694,4)), IF(ISNUMBER(G694), G694, IFERROR(DATEVALUE(G694), "")))</f>
        <v>45865</v>
      </c>
      <c r="I694" s="9" t="str">
        <f>IF(G694="","Missing", IF(AND(ISNUMBER(G694)=FALSE, H694=""),"Invalid - Could Not Parse", IF(AND(ISNUMBER(G694)=FALSE, H694&lt;&gt;""),"Text - Converted to Date", IF(ISNUMBER(G694),"Valid","Check"))))</f>
        <v>Text - Converted to Date</v>
      </c>
      <c r="J694" s="9" t="str">
        <f>IF(OR(C694="", H694=""), "Cannot Check - Date Missing", IF(H694&lt;C694, "Invalid - Ship Before Order", "Valid"))</f>
        <v>Valid</v>
      </c>
      <c r="K694" s="5">
        <f>IF(OR(C694="", H694=""), "", IF(H694&lt;C694, "", H694-C694))</f>
        <v>2</v>
      </c>
      <c r="L694" s="3" t="s">
        <v>1451</v>
      </c>
      <c r="M694" s="3" t="s">
        <v>366</v>
      </c>
      <c r="N694" s="4" t="str">
        <f>TRIM(SUBSTITUTE(M694,"_"," "))</f>
        <v>Kabir Singh</v>
      </c>
      <c r="O694" s="3" t="s">
        <v>26</v>
      </c>
      <c r="P694" s="6" t="str">
        <f>PROPER(TRIM(SUBSTITUTE(O694,".","")))</f>
        <v>Consumer</v>
      </c>
      <c r="Q694" s="3" t="s">
        <v>42</v>
      </c>
      <c r="R694" s="7" t="str">
        <f>PROPER(TRIM(SUBSTITUTE(Q694,"  "," ")))</f>
        <v>East</v>
      </c>
      <c r="S694" s="3" t="s">
        <v>311</v>
      </c>
      <c r="T694" s="6" t="str">
        <f>PROPER(TRIM(SUBSTITUTE(S694,"  "," ")))</f>
        <v>Jharkhand</v>
      </c>
      <c r="U694" s="3" t="s">
        <v>312</v>
      </c>
      <c r="V694" s="6" t="str">
        <f>PROPER(TRIM(SUBSTITUTE(U694,"  "," ")))</f>
        <v>Ranchi</v>
      </c>
      <c r="W694" s="3" t="s">
        <v>30</v>
      </c>
      <c r="X694" s="6" t="str">
        <f>PROPER(TRIM(SUBSTITUTE(W694,"  "," ")))</f>
        <v>Office Supplies</v>
      </c>
      <c r="Y694" s="3" t="s">
        <v>198</v>
      </c>
      <c r="Z694" s="6" t="str">
        <f>PROPER(TRIM(SUBSTITUTE(Y694,"  "," ")))</f>
        <v>Binders</v>
      </c>
      <c r="AA694" s="3" t="s">
        <v>1452</v>
      </c>
      <c r="AB694" s="3" t="s">
        <v>33</v>
      </c>
      <c r="AC694" s="6" t="str">
        <f>PROPER(TRIM(SUBSTITUTE(AB694,"  "," ")))</f>
        <v>Second Class</v>
      </c>
      <c r="AD694" s="3">
        <v>6</v>
      </c>
      <c r="AE694" s="3">
        <v>3438.38</v>
      </c>
      <c r="AF694" s="3">
        <v>0.2</v>
      </c>
      <c r="AG694" s="17">
        <v>0.2</v>
      </c>
      <c r="AH694" s="6" t="str">
        <f t="shared" si="83"/>
        <v>Valid</v>
      </c>
      <c r="AI694" s="3">
        <v>16504.22</v>
      </c>
      <c r="AJ694" s="3">
        <v>11262.71</v>
      </c>
      <c r="AK694" s="3">
        <v>5241.51</v>
      </c>
      <c r="AL694" s="3" t="s">
        <v>34</v>
      </c>
      <c r="AM694" s="6" t="str">
        <f>PROPER(TRIM(SUBSTITUTE(AL694,".","")))</f>
        <v>Paid</v>
      </c>
      <c r="AN694" s="3" t="s">
        <v>35</v>
      </c>
      <c r="AO694" s="8" t="str">
        <f>PROPER(TRIM(SUBSTITUTE(AN694,".","")))</f>
        <v>Completed</v>
      </c>
      <c r="AP694" t="str">
        <f>IF(COUNTIF($A$2:$A$933, A694) &gt; 1, "Duplicate ID", "Unique")</f>
        <v>Unique</v>
      </c>
      <c r="AR694">
        <f t="shared" si="84"/>
        <v>16504.223999999998</v>
      </c>
      <c r="AS694">
        <f t="shared" si="85"/>
        <v>5241.5139999999992</v>
      </c>
      <c r="AT694" s="15">
        <f t="shared" si="86"/>
        <v>0.31758621308096641</v>
      </c>
      <c r="AU694" t="str">
        <f t="shared" si="87"/>
        <v>Clean</v>
      </c>
      <c r="AV694" s="8" t="str">
        <f t="shared" si="88"/>
        <v>Active</v>
      </c>
    </row>
    <row r="695" spans="1:48">
      <c r="A695" s="3" t="s">
        <v>1078</v>
      </c>
      <c r="B695" s="3" t="s">
        <v>1079</v>
      </c>
      <c r="C695" s="9">
        <f>IFERROR(DATEVALUE(TEXT(B695,"DD/MM/YYYY")), IF(ISNUMBER(B695), B695, ""))</f>
        <v>45864</v>
      </c>
      <c r="D695" s="9" t="str">
        <f>IF(B695="","Missing", IF(AND(ISNUMBER(B695)=FALSE, C695=""),"Invalid - Could Not Parse", IF(AND(ISNUMBER(B695)=FALSE, C695&lt;&gt;""),"Text - Converted to Date", IF(ISNUMBER(B695),"Valid","Check"))))</f>
        <v>Text - Converted to Date</v>
      </c>
      <c r="E695" s="5">
        <f t="shared" si="81"/>
        <v>7</v>
      </c>
      <c r="F695" s="5">
        <f t="shared" si="82"/>
        <v>2025</v>
      </c>
      <c r="G695" s="3" t="s">
        <v>1080</v>
      </c>
      <c r="H695" s="9">
        <f>IFERROR(DATEVALUE(TEXT(G695,"DD/MM/YYYY")), IF(ISNUMBER(G695), G695, ""))</f>
        <v>45724</v>
      </c>
      <c r="I695" s="9" t="str">
        <f>IF(G695="","Missing", IF(AND(ISNUMBER(G695)=FALSE, H695=""),"Invalid - Could Not Parse", IF(AND(ISNUMBER(G695)=FALSE, H695&lt;&gt;""),"Text - Converted to Date", IF(ISNUMBER(G695),"Valid","Check"))))</f>
        <v>Text - Converted to Date</v>
      </c>
      <c r="J695" s="9" t="str">
        <f>IF(OR(C695="", H695=""), "Cannot Check - Date Missing", IF(H695&lt;C695, "Invalid - Ship Before Order", "Valid"))</f>
        <v>Invalid - Ship Before Order</v>
      </c>
      <c r="K695" s="5" t="str">
        <f>IF(OR(C695="", H695=""), "", IF(H695&lt;C695, "", H695-C695))</f>
        <v/>
      </c>
      <c r="L695" s="3" t="s">
        <v>1081</v>
      </c>
      <c r="M695" s="3" t="s">
        <v>83</v>
      </c>
      <c r="N695" s="4" t="str">
        <f>TRIM(SUBSTITUTE(M695,"_"," "))</f>
        <v>Vikram Iyer</v>
      </c>
      <c r="O695" s="3" t="s">
        <v>26</v>
      </c>
      <c r="P695" s="6" t="str">
        <f>PROPER(TRIM(SUBSTITUTE(O695,".","")))</f>
        <v>Consumer</v>
      </c>
      <c r="Q695" s="3" t="s">
        <v>73</v>
      </c>
      <c r="R695" s="7" t="str">
        <f>PROPER(TRIM(SUBSTITUTE(Q695,"  "," ")))</f>
        <v>West</v>
      </c>
      <c r="S695" s="3" t="s">
        <v>84</v>
      </c>
      <c r="T695" s="6" t="str">
        <f>PROPER(TRIM(SUBSTITUTE(S695,"  "," ")))</f>
        <v>Madhya Pradesh</v>
      </c>
      <c r="U695" s="3" t="s">
        <v>85</v>
      </c>
      <c r="V695" s="6" t="str">
        <f>PROPER(TRIM(SUBSTITUTE(U695,"  "," ")))</f>
        <v>Indore</v>
      </c>
      <c r="W695" s="3" t="s">
        <v>30</v>
      </c>
      <c r="X695" s="6" t="str">
        <f>PROPER(TRIM(SUBSTITUTE(W695,"  "," ")))</f>
        <v>Office Supplies</v>
      </c>
      <c r="Y695" s="3" t="s">
        <v>109</v>
      </c>
      <c r="Z695" s="6" t="str">
        <f>PROPER(TRIM(SUBSTITUTE(Y695,"  "," ")))</f>
        <v>Labels</v>
      </c>
      <c r="AA695" s="3" t="s">
        <v>1082</v>
      </c>
      <c r="AB695" s="3" t="s">
        <v>33</v>
      </c>
      <c r="AC695" s="6" t="str">
        <f>PROPER(TRIM(SUBSTITUTE(AB695,"  "," ")))</f>
        <v>Second Class</v>
      </c>
      <c r="AD695" s="3">
        <v>2</v>
      </c>
      <c r="AE695" s="3">
        <v>2503.5300000000002</v>
      </c>
      <c r="AF695" s="3">
        <v>-0.16</v>
      </c>
      <c r="AG695" s="17">
        <v>-0.16</v>
      </c>
      <c r="AH695" s="6" t="str">
        <f t="shared" si="83"/>
        <v>Invalid - Negative</v>
      </c>
      <c r="AI695" s="3">
        <v>4756.71</v>
      </c>
      <c r="AJ695" s="3">
        <v>2954.86</v>
      </c>
      <c r="AK695" s="3">
        <v>1801.85</v>
      </c>
      <c r="AL695" s="3" t="s">
        <v>124</v>
      </c>
      <c r="AM695" s="6" t="str">
        <f>PROPER(TRIM(SUBSTITUTE(AL695,".","")))</f>
        <v>Refunded</v>
      </c>
      <c r="AN695" s="3" t="s">
        <v>78</v>
      </c>
      <c r="AO695" s="8" t="str">
        <f>PROPER(TRIM(SUBSTITUTE(AN695,".","")))</f>
        <v>Cancelled</v>
      </c>
      <c r="AP695" t="str">
        <f>IF(COUNTIF($A$2:$A$933, A695) &gt; 1, "Duplicate ID", "Unique")</f>
        <v>Unique</v>
      </c>
      <c r="AR695">
        <f t="shared" si="84"/>
        <v>5808.1895999999997</v>
      </c>
      <c r="AS695">
        <f t="shared" si="85"/>
        <v>2853.3295999999996</v>
      </c>
      <c r="AT695" s="15">
        <f t="shared" si="86"/>
        <v>0.49125972058487893</v>
      </c>
      <c r="AU695" t="str">
        <f t="shared" si="87"/>
        <v>Invalid</v>
      </c>
      <c r="AV695" s="8" t="str">
        <f t="shared" si="88"/>
        <v>Refund</v>
      </c>
    </row>
    <row r="696" spans="1:48">
      <c r="A696" s="3" t="s">
        <v>282</v>
      </c>
      <c r="B696" s="3" t="s">
        <v>283</v>
      </c>
      <c r="C696" s="9">
        <f>IFERROR(DATEVALUE(TEXT(B696,"DD/MM/YYYY")), IF(ISNUMBER(B696), B696, ""))</f>
        <v>45867</v>
      </c>
      <c r="D696" s="9" t="str">
        <f>IF(B696="","Missing", IF(AND(ISNUMBER(B696)=FALSE, C696=""),"Invalid - Could Not Parse", IF(AND(ISNUMBER(B696)=FALSE, C696&lt;&gt;""),"Text - Converted to Date", IF(ISNUMBER(B696),"Valid","Check"))))</f>
        <v>Text - Converted to Date</v>
      </c>
      <c r="E696" s="5">
        <f t="shared" si="81"/>
        <v>7</v>
      </c>
      <c r="F696" s="5">
        <f t="shared" si="82"/>
        <v>2025</v>
      </c>
      <c r="G696" s="3" t="s">
        <v>283</v>
      </c>
      <c r="H696" s="9">
        <f>IFERROR(DATEVALUE(TEXT(G696,"DD/MM/YYYY")), IF(ISNUMBER(G696), G696, ""))</f>
        <v>45867</v>
      </c>
      <c r="I696" s="9" t="str">
        <f>IF(G696="","Missing", IF(AND(ISNUMBER(G696)=FALSE, H696=""),"Invalid - Could Not Parse", IF(AND(ISNUMBER(G696)=FALSE, H696&lt;&gt;""),"Text - Converted to Date", IF(ISNUMBER(G696),"Valid","Check"))))</f>
        <v>Text - Converted to Date</v>
      </c>
      <c r="J696" s="9" t="str">
        <f>IF(OR(C696="", H696=""), "Cannot Check - Date Missing", IF(H696&lt;C696, "Invalid - Ship Before Order", "Valid"))</f>
        <v>Valid</v>
      </c>
      <c r="K696" s="5">
        <f>IF(OR(C696="", H696=""), "", IF(H696&lt;C696, "", H696-C696))</f>
        <v>0</v>
      </c>
      <c r="L696" s="3" t="s">
        <v>284</v>
      </c>
      <c r="M696" s="3" t="s">
        <v>210</v>
      </c>
      <c r="N696" s="4" t="str">
        <f>TRIM(SUBSTITUTE(M696,"_"," "))</f>
        <v>Diya Patel</v>
      </c>
      <c r="O696" s="3" t="s">
        <v>26</v>
      </c>
      <c r="P696" s="6" t="str">
        <f>PROPER(TRIM(SUBSTITUTE(O696,".","")))</f>
        <v>Consumer</v>
      </c>
      <c r="Q696" s="3" t="s">
        <v>73</v>
      </c>
      <c r="R696" s="7" t="str">
        <f>PROPER(TRIM(SUBSTITUTE(Q696,"  "," ")))</f>
        <v>West</v>
      </c>
      <c r="S696" s="3" t="s">
        <v>74</v>
      </c>
      <c r="T696" s="6" t="str">
        <f>PROPER(TRIM(SUBSTITUTE(S696,"  "," ")))</f>
        <v>Maharashtra</v>
      </c>
      <c r="U696" s="3" t="s">
        <v>75</v>
      </c>
      <c r="V696" s="6" t="str">
        <f>PROPER(TRIM(SUBSTITUTE(U696,"  "," ")))</f>
        <v>Mumbai</v>
      </c>
      <c r="W696" s="3" t="s">
        <v>86</v>
      </c>
      <c r="X696" s="6" t="str">
        <f>PROPER(TRIM(SUBSTITUTE(W696,"  "," ")))</f>
        <v>Technology</v>
      </c>
      <c r="Y696" s="3" t="s">
        <v>94</v>
      </c>
      <c r="Z696" s="6" t="str">
        <f>PROPER(TRIM(SUBSTITUTE(Y696,"  "," ")))</f>
        <v>Copiers</v>
      </c>
      <c r="AA696" s="3" t="s">
        <v>285</v>
      </c>
      <c r="AB696" s="3" t="s">
        <v>286</v>
      </c>
      <c r="AC696" s="6" t="str">
        <f>PROPER(TRIM(SUBSTITUTE(AB696,"  "," ")))</f>
        <v>Standard Class</v>
      </c>
      <c r="AD696" s="3">
        <v>4</v>
      </c>
      <c r="AE696" s="3">
        <v>1327.54</v>
      </c>
      <c r="AF696" s="3">
        <v>0.2</v>
      </c>
      <c r="AG696" s="17">
        <v>0.2</v>
      </c>
      <c r="AH696" s="6" t="str">
        <f t="shared" si="83"/>
        <v>Valid</v>
      </c>
      <c r="AI696" s="3">
        <v>4248.13</v>
      </c>
      <c r="AJ696" s="3">
        <v>3321.09</v>
      </c>
      <c r="AK696" s="3">
        <v>927.04</v>
      </c>
      <c r="AL696" s="3" t="s">
        <v>34</v>
      </c>
      <c r="AM696" s="6" t="str">
        <f>PROPER(TRIM(SUBSTITUTE(AL696,".","")))</f>
        <v>Paid</v>
      </c>
      <c r="AN696" s="3" t="s">
        <v>35</v>
      </c>
      <c r="AO696" s="8" t="str">
        <f>PROPER(TRIM(SUBSTITUTE(AN696,".","")))</f>
        <v>Completed</v>
      </c>
      <c r="AP696" t="str">
        <f>IF(COUNTIF($A$2:$A$933, A696) &gt; 1, "Duplicate ID", "Unique")</f>
        <v>Unique</v>
      </c>
      <c r="AR696">
        <f t="shared" si="84"/>
        <v>4248.1279999999997</v>
      </c>
      <c r="AS696">
        <f t="shared" si="85"/>
        <v>927.03799999999956</v>
      </c>
      <c r="AT696" s="15">
        <f t="shared" si="86"/>
        <v>0.21822270892025844</v>
      </c>
      <c r="AU696" t="str">
        <f t="shared" si="87"/>
        <v>Clean</v>
      </c>
      <c r="AV696" s="8" t="str">
        <f t="shared" si="88"/>
        <v>Active</v>
      </c>
    </row>
    <row r="697" spans="1:48">
      <c r="A697" s="3" t="s">
        <v>1280</v>
      </c>
      <c r="B697" s="3" t="s">
        <v>283</v>
      </c>
      <c r="C697" s="9">
        <f>IFERROR(DATEVALUE(TEXT(B697,"DD/MM/YYYY")), IF(ISNUMBER(B697), B697, ""))</f>
        <v>45867</v>
      </c>
      <c r="D697" s="9" t="str">
        <f>IF(B697="","Missing", IF(AND(ISNUMBER(B697)=FALSE, C697=""),"Invalid - Could Not Parse", IF(AND(ISNUMBER(B697)=FALSE, C697&lt;&gt;""),"Text - Converted to Date", IF(ISNUMBER(B697),"Valid","Check"))))</f>
        <v>Text - Converted to Date</v>
      </c>
      <c r="E697" s="5">
        <f t="shared" si="81"/>
        <v>7</v>
      </c>
      <c r="F697" s="5">
        <f t="shared" si="82"/>
        <v>2025</v>
      </c>
      <c r="G697" s="3" t="s">
        <v>1281</v>
      </c>
      <c r="H697" s="9">
        <f>IFERROR(DATEVALUE(TEXT(G697,"DD/MM/YYYY")), IF(ISNUMBER(G697), G697, ""))</f>
        <v>45871</v>
      </c>
      <c r="I697" s="9" t="str">
        <f>IF(G697="","Missing", IF(AND(ISNUMBER(G697)=FALSE, H697=""),"Invalid - Could Not Parse", IF(AND(ISNUMBER(G697)=FALSE, H697&lt;&gt;""),"Text - Converted to Date", IF(ISNUMBER(G697),"Valid","Check"))))</f>
        <v>Text - Converted to Date</v>
      </c>
      <c r="J697" s="9" t="str">
        <f>IF(OR(C697="", H697=""), "Cannot Check - Date Missing", IF(H697&lt;C697, "Invalid - Ship Before Order", "Valid"))</f>
        <v>Valid</v>
      </c>
      <c r="K697" s="5">
        <f>IF(OR(C697="", H697=""), "", IF(H697&lt;C697, "", H697-C697))</f>
        <v>4</v>
      </c>
      <c r="L697" s="3" t="s">
        <v>1282</v>
      </c>
      <c r="M697" s="3" t="s">
        <v>168</v>
      </c>
      <c r="N697" s="4" t="str">
        <f>TRIM(SUBSTITUTE(M697,"_"," "))</f>
        <v>Sneha Kapoor</v>
      </c>
      <c r="O697" s="3" t="s">
        <v>41</v>
      </c>
      <c r="P697" s="6" t="str">
        <f>PROPER(TRIM(SUBSTITUTE(O697,".","")))</f>
        <v>Small Business</v>
      </c>
      <c r="Q697" s="3"/>
      <c r="R697" s="6" t="str">
        <f>IF(ISBLANK(Q697), "Unknown", Q697)</f>
        <v>Unknown</v>
      </c>
      <c r="S697" s="3" t="s">
        <v>84</v>
      </c>
      <c r="T697" s="6" t="str">
        <f>PROPER(TRIM(SUBSTITUTE(S697,"  "," ")))</f>
        <v>Madhya Pradesh</v>
      </c>
      <c r="U697" s="3" t="s">
        <v>85</v>
      </c>
      <c r="V697" s="6" t="str">
        <f>PROPER(TRIM(SUBSTITUTE(U697,"  "," ")))</f>
        <v>Indore</v>
      </c>
      <c r="W697" s="3" t="s">
        <v>86</v>
      </c>
      <c r="X697" s="6" t="str">
        <f>PROPER(TRIM(SUBSTITUTE(W697,"  "," ")))</f>
        <v>Technology</v>
      </c>
      <c r="Y697" s="3" t="s">
        <v>87</v>
      </c>
      <c r="Z697" s="6" t="str">
        <f>PROPER(TRIM(SUBSTITUTE(Y697,"  "," ")))</f>
        <v>Accessories</v>
      </c>
      <c r="AA697" s="3" t="s">
        <v>1283</v>
      </c>
      <c r="AB697" s="3" t="s">
        <v>56</v>
      </c>
      <c r="AC697" s="6" t="str">
        <f>PROPER(TRIM(SUBSTITUTE(AB697,"  "," ")))</f>
        <v>First Class</v>
      </c>
      <c r="AD697" s="3">
        <v>1</v>
      </c>
      <c r="AE697" s="3">
        <v>4499.46</v>
      </c>
      <c r="AF697" s="3">
        <v>0.1</v>
      </c>
      <c r="AG697" s="17">
        <v>0.1</v>
      </c>
      <c r="AH697" s="6" t="str">
        <f t="shared" si="83"/>
        <v>Valid</v>
      </c>
      <c r="AI697" s="3">
        <v>4049.51</v>
      </c>
      <c r="AJ697" s="3">
        <v>2509.1999999999998</v>
      </c>
      <c r="AK697" s="3">
        <v>1540.31</v>
      </c>
      <c r="AL697" s="3" t="s">
        <v>34</v>
      </c>
      <c r="AM697" s="6" t="str">
        <f>PROPER(TRIM(SUBSTITUTE(AL697,".","")))</f>
        <v>Paid</v>
      </c>
      <c r="AN697" s="3" t="s">
        <v>1026</v>
      </c>
      <c r="AO697" s="8" t="str">
        <f>PROPER(TRIM(SUBSTITUTE(AN697,".","")))</f>
        <v>Completed</v>
      </c>
      <c r="AP697" t="str">
        <f>IF(COUNTIF($A$2:$A$933, A697) &gt; 1, "Duplicate ID", "Unique")</f>
        <v>Unique</v>
      </c>
      <c r="AR697">
        <f t="shared" si="84"/>
        <v>4049.5140000000001</v>
      </c>
      <c r="AS697">
        <f t="shared" si="85"/>
        <v>1540.3140000000003</v>
      </c>
      <c r="AT697" s="15">
        <f t="shared" si="86"/>
        <v>0.38037008885510715</v>
      </c>
      <c r="AU697" t="str">
        <f t="shared" si="87"/>
        <v>Clean</v>
      </c>
      <c r="AV697" s="8" t="str">
        <f t="shared" si="88"/>
        <v>Active</v>
      </c>
    </row>
    <row r="698" spans="1:48">
      <c r="A698" s="3" t="s">
        <v>818</v>
      </c>
      <c r="B698" s="3" t="s">
        <v>819</v>
      </c>
      <c r="C698" s="9">
        <f>IFERROR(DATEVALUE(TEXT(B698,"DD/MM/YYYY")), IF(ISNUMBER(B698), B698, ""))</f>
        <v>45868</v>
      </c>
      <c r="D698" s="9" t="str">
        <f>IF(B698="","Missing", IF(AND(ISNUMBER(B698)=FALSE, C698=""),"Invalid - Could Not Parse", IF(AND(ISNUMBER(B698)=FALSE, C698&lt;&gt;""),"Text - Converted to Date", IF(ISNUMBER(B698),"Valid","Check"))))</f>
        <v>Text - Converted to Date</v>
      </c>
      <c r="E698" s="5">
        <f t="shared" si="81"/>
        <v>7</v>
      </c>
      <c r="F698" s="5">
        <f t="shared" si="82"/>
        <v>2025</v>
      </c>
      <c r="G698" s="3" t="s">
        <v>820</v>
      </c>
      <c r="H698" s="9">
        <f>IFERROR(DATEVALUE(TEXT(G698,"DD/MM/YYYY")), IF(ISNUMBER(G698), G698, ""))</f>
        <v>45665</v>
      </c>
      <c r="I698" s="9" t="str">
        <f>IF(G698="","Missing", IF(AND(ISNUMBER(G698)=FALSE, H698=""),"Invalid - Could Not Parse", IF(AND(ISNUMBER(G698)=FALSE, H698&lt;&gt;""),"Text - Converted to Date", IF(ISNUMBER(G698),"Valid","Check"))))</f>
        <v>Text - Converted to Date</v>
      </c>
      <c r="J698" s="9" t="str">
        <f>IF(OR(C698="", H698=""), "Cannot Check - Date Missing", IF(H698&lt;C698, "Invalid - Ship Before Order", "Valid"))</f>
        <v>Invalid - Ship Before Order</v>
      </c>
      <c r="K698" s="5" t="str">
        <f>IF(OR(C698="", H698=""), "", IF(H698&lt;C698, "", H698-C698))</f>
        <v/>
      </c>
      <c r="L698" s="3" t="s">
        <v>821</v>
      </c>
      <c r="M698" s="3" t="s">
        <v>168</v>
      </c>
      <c r="N698" s="4" t="str">
        <f>TRIM(SUBSTITUTE(M698,"_"," "))</f>
        <v>Sneha Kapoor</v>
      </c>
      <c r="O698" s="3" t="s">
        <v>41</v>
      </c>
      <c r="P698" s="6" t="str">
        <f>PROPER(TRIM(SUBSTITUTE(O698,".","")))</f>
        <v>Small Business</v>
      </c>
      <c r="Q698" s="3" t="s">
        <v>62</v>
      </c>
      <c r="R698" s="7" t="str">
        <f>PROPER(TRIM(SUBSTITUTE(Q698,"  "," ")))</f>
        <v>South</v>
      </c>
      <c r="S698" s="3" t="s">
        <v>339</v>
      </c>
      <c r="T698" s="6" t="str">
        <f>PROPER(TRIM(SUBSTITUTE(S698,"  "," ")))</f>
        <v>Tamil Nadu</v>
      </c>
      <c r="U698" s="3" t="s">
        <v>340</v>
      </c>
      <c r="V698" s="6" t="str">
        <f>PROPER(TRIM(SUBSTITUTE(U698,"  "," ")))</f>
        <v>Chennai</v>
      </c>
      <c r="W698" s="3" t="s">
        <v>30</v>
      </c>
      <c r="X698" s="6" t="str">
        <f>PROPER(TRIM(SUBSTITUTE(W698,"  "," ")))</f>
        <v>Office Supplies</v>
      </c>
      <c r="Y698" s="3" t="s">
        <v>156</v>
      </c>
      <c r="Z698" s="6" t="str">
        <f>PROPER(TRIM(SUBSTITUTE(Y698,"  "," ")))</f>
        <v>Storage</v>
      </c>
      <c r="AA698" s="3" t="s">
        <v>822</v>
      </c>
      <c r="AB698" s="3" t="s">
        <v>48</v>
      </c>
      <c r="AC698" s="6" t="str">
        <f>PROPER(TRIM(SUBSTITUTE(AB698,"  "," ")))</f>
        <v>Same Day</v>
      </c>
      <c r="AD698" s="3">
        <v>9</v>
      </c>
      <c r="AE698" s="3">
        <v>3165.43</v>
      </c>
      <c r="AF698" s="3">
        <v>0.1</v>
      </c>
      <c r="AG698" s="17">
        <v>0.1</v>
      </c>
      <c r="AH698" s="6" t="str">
        <f t="shared" si="83"/>
        <v>Valid</v>
      </c>
      <c r="AI698" s="3">
        <v>25639.98</v>
      </c>
      <c r="AJ698" s="3">
        <v>21635.08</v>
      </c>
      <c r="AK698" s="3">
        <v>4004.9</v>
      </c>
      <c r="AL698" s="3" t="s">
        <v>34</v>
      </c>
      <c r="AM698" s="6" t="str">
        <f>PROPER(TRIM(SUBSTITUTE(AL698,".","")))</f>
        <v>Paid</v>
      </c>
      <c r="AN698" s="3" t="s">
        <v>35</v>
      </c>
      <c r="AO698" s="8" t="str">
        <f>PROPER(TRIM(SUBSTITUTE(AN698,".","")))</f>
        <v>Completed</v>
      </c>
      <c r="AP698" t="str">
        <f>IF(COUNTIF($A$2:$A$933, A698) &gt; 1, "Duplicate ID", "Unique")</f>
        <v>Unique</v>
      </c>
      <c r="AR698">
        <f t="shared" si="84"/>
        <v>25639.983</v>
      </c>
      <c r="AS698">
        <f t="shared" si="85"/>
        <v>4004.9029999999984</v>
      </c>
      <c r="AT698" s="15">
        <f t="shared" si="86"/>
        <v>0.1561975684617263</v>
      </c>
      <c r="AU698" t="str">
        <f t="shared" si="87"/>
        <v>Invalid</v>
      </c>
      <c r="AV698" s="8" t="str">
        <f t="shared" si="88"/>
        <v>Active</v>
      </c>
    </row>
    <row r="699" spans="1:48">
      <c r="A699" s="3" t="s">
        <v>1648</v>
      </c>
      <c r="B699" s="3" t="s">
        <v>1649</v>
      </c>
      <c r="C699" s="9">
        <f>IFERROR(DATEVALUE(TEXT(B699,"DD/MM/YYYY")), IF(ISNUMBER(B699), B699, ""))</f>
        <v>45869</v>
      </c>
      <c r="D699" s="9" t="str">
        <f>IF(B699="","Missing", IF(AND(ISNUMBER(B699)=FALSE, C699=""),"Invalid - Could Not Parse", IF(AND(ISNUMBER(B699)=FALSE, C699&lt;&gt;""),"Text - Converted to Date", IF(ISNUMBER(B699),"Valid","Check"))))</f>
        <v>Text - Converted to Date</v>
      </c>
      <c r="E699" s="5">
        <f t="shared" si="81"/>
        <v>7</v>
      </c>
      <c r="F699" s="5">
        <f t="shared" si="82"/>
        <v>2025</v>
      </c>
      <c r="G699" s="3" t="s">
        <v>943</v>
      </c>
      <c r="H699" s="9">
        <f>IFERROR(DATEVALUE(TEXT(G699,"DD/MM/YYYY")), IF(ISNUMBER(G699), G699, ""))</f>
        <v>45871</v>
      </c>
      <c r="I699" s="9" t="str">
        <f>IF(G699="","Missing", IF(AND(ISNUMBER(G699)=FALSE, H699=""),"Invalid - Could Not Parse", IF(AND(ISNUMBER(G699)=FALSE, H699&lt;&gt;""),"Text - Converted to Date", IF(ISNUMBER(G699),"Valid","Check"))))</f>
        <v>Text - Converted to Date</v>
      </c>
      <c r="J699" s="9" t="str">
        <f>IF(OR(C699="", H699=""), "Cannot Check - Date Missing", IF(H699&lt;C699, "Invalid - Ship Before Order", "Valid"))</f>
        <v>Valid</v>
      </c>
      <c r="K699" s="5">
        <f>IF(OR(C699="", H699=""), "", IF(H699&lt;C699, "", H699-C699))</f>
        <v>2</v>
      </c>
      <c r="L699" s="3" t="s">
        <v>1650</v>
      </c>
      <c r="M699" s="3" t="s">
        <v>180</v>
      </c>
      <c r="N699" s="4" t="str">
        <f>TRIM(SUBSTITUTE(M699,"_"," "))</f>
        <v>Rohan Mehta</v>
      </c>
      <c r="O699" s="3" t="s">
        <v>115</v>
      </c>
      <c r="P699" s="6" t="str">
        <f>PROPER(TRIM(SUBSTITUTE(O699,".","")))</f>
        <v>Home Office</v>
      </c>
      <c r="Q699" s="3" t="s">
        <v>62</v>
      </c>
      <c r="R699" s="7" t="str">
        <f>PROPER(TRIM(SUBSTITUTE(Q699,"  "," ")))</f>
        <v>South</v>
      </c>
      <c r="S699" s="3" t="s">
        <v>100</v>
      </c>
      <c r="T699" s="6" t="str">
        <f>PROPER(TRIM(SUBSTITUTE(S699,"  "," ")))</f>
        <v>Andhra Pradesh</v>
      </c>
      <c r="U699" s="3" t="s">
        <v>101</v>
      </c>
      <c r="V699" s="6" t="str">
        <f>PROPER(TRIM(SUBSTITUTE(U699,"  "," ")))</f>
        <v>Vijayawada</v>
      </c>
      <c r="W699" s="3" t="s">
        <v>30</v>
      </c>
      <c r="X699" s="6" t="str">
        <f>PROPER(TRIM(SUBSTITUTE(W699,"  "," ")))</f>
        <v>Office Supplies</v>
      </c>
      <c r="Y699" s="3" t="s">
        <v>109</v>
      </c>
      <c r="Z699" s="6" t="str">
        <f>PROPER(TRIM(SUBSTITUTE(Y699,"  "," ")))</f>
        <v>Labels</v>
      </c>
      <c r="AA699" s="3" t="s">
        <v>1651</v>
      </c>
      <c r="AB699" s="3" t="s">
        <v>48</v>
      </c>
      <c r="AC699" s="6" t="str">
        <f>PROPER(TRIM(SUBSTITUTE(AB699,"  "," ")))</f>
        <v>Same Day</v>
      </c>
      <c r="AD699" s="3">
        <v>1</v>
      </c>
      <c r="AE699" s="3">
        <v>1947.88</v>
      </c>
      <c r="AF699" s="3">
        <v>0.15</v>
      </c>
      <c r="AG699" s="17">
        <v>0.15</v>
      </c>
      <c r="AH699" s="6" t="str">
        <f t="shared" si="83"/>
        <v>Valid</v>
      </c>
      <c r="AI699" s="3">
        <v>1655.7</v>
      </c>
      <c r="AJ699" s="3">
        <v>1354.8</v>
      </c>
      <c r="AK699" s="3">
        <v>300.89999999999998</v>
      </c>
      <c r="AL699" s="3" t="s">
        <v>34</v>
      </c>
      <c r="AM699" s="6" t="str">
        <f>PROPER(TRIM(SUBSTITUTE(AL699,".","")))</f>
        <v>Paid</v>
      </c>
      <c r="AN699" s="3" t="s">
        <v>125</v>
      </c>
      <c r="AO699" s="8" t="str">
        <f>PROPER(TRIM(SUBSTITUTE(AN699,".","")))</f>
        <v>Returned</v>
      </c>
      <c r="AP699" t="str">
        <f>IF(COUNTIF($A$2:$A$933, A699) &gt; 1, "Duplicate ID", "Unique")</f>
        <v>Unique</v>
      </c>
      <c r="AR699">
        <f t="shared" si="84"/>
        <v>1655.6980000000001</v>
      </c>
      <c r="AS699">
        <f t="shared" si="85"/>
        <v>300.89800000000014</v>
      </c>
      <c r="AT699" s="15">
        <f t="shared" si="86"/>
        <v>0.1817348332848141</v>
      </c>
      <c r="AU699" t="str">
        <f t="shared" si="87"/>
        <v>Clean</v>
      </c>
      <c r="AV699" s="8" t="str">
        <f t="shared" si="88"/>
        <v>Active</v>
      </c>
    </row>
    <row r="700" spans="1:48">
      <c r="A700" s="3" t="s">
        <v>549</v>
      </c>
      <c r="B700" s="3" t="s">
        <v>550</v>
      </c>
      <c r="C700" s="9">
        <f>IFERROR(DATEVALUE(MID(B700,4,2) &amp; "/" &amp; LEFT(B700,2) &amp; "/" &amp; RIGHT(B700,4)), IF(ISNUMBER(B700), B700, IFERROR(DATEVALUE(B700), "")))</f>
        <v>45893</v>
      </c>
      <c r="D700" s="9" t="str">
        <f>IF(B700="","Missing", IF(AND(ISNUMBER(B700)=FALSE, C700=""),"Invalid - Could Not Parse", IF(AND(ISNUMBER(B700)=FALSE, C700&lt;&gt;""),"Text - Converted to Date", IF(ISNUMBER(B700),"Valid","Check"))))</f>
        <v>Text - Converted to Date</v>
      </c>
      <c r="E700" s="5">
        <f t="shared" si="81"/>
        <v>8</v>
      </c>
      <c r="F700" s="5">
        <f t="shared" si="82"/>
        <v>2025</v>
      </c>
      <c r="G700" s="3" t="s">
        <v>69</v>
      </c>
      <c r="H700" s="9">
        <f>IFERROR(DATEVALUE(TEXT(G700,"DD/MM/YYYY")), IF(ISNUMBER(G700), G700, ""))</f>
        <v>45898</v>
      </c>
      <c r="I700" s="9" t="str">
        <f>IF(G700="","Missing", IF(AND(ISNUMBER(G700)=FALSE, H700=""),"Invalid - Could Not Parse", IF(AND(ISNUMBER(G700)=FALSE, H700&lt;&gt;""),"Text - Converted to Date", IF(ISNUMBER(G700),"Valid","Check"))))</f>
        <v>Text - Converted to Date</v>
      </c>
      <c r="J700" s="9" t="str">
        <f>IF(OR(C700="", H700=""), "Cannot Check - Date Missing", IF(H700&lt;C700, "Invalid - Ship Before Order", "Valid"))</f>
        <v>Valid</v>
      </c>
      <c r="K700" s="5">
        <f>IF(OR(C700="", H700=""), "", IF(H700&lt;C700, "", H700-C700))</f>
        <v>5</v>
      </c>
      <c r="L700" s="3" t="s">
        <v>551</v>
      </c>
      <c r="M700" s="3" t="s">
        <v>162</v>
      </c>
      <c r="N700" s="4" t="str">
        <f>TRIM(SUBSTITUTE(M700,"_"," "))</f>
        <v>Aarav Sharma</v>
      </c>
      <c r="O700" s="3" t="s">
        <v>41</v>
      </c>
      <c r="P700" s="6" t="str">
        <f>PROPER(TRIM(SUBSTITUTE(O700,".","")))</f>
        <v>Small Business</v>
      </c>
      <c r="Q700" s="3" t="s">
        <v>42</v>
      </c>
      <c r="R700" s="7" t="str">
        <f>PROPER(TRIM(SUBSTITUTE(Q700,"  "," ")))</f>
        <v>East</v>
      </c>
      <c r="S700" s="3" t="s">
        <v>186</v>
      </c>
      <c r="T700" s="6" t="str">
        <f>PROPER(TRIM(SUBSTITUTE(S700,"  "," ")))</f>
        <v>Bihar</v>
      </c>
      <c r="U700" s="3" t="s">
        <v>187</v>
      </c>
      <c r="V700" s="6" t="str">
        <f>PROPER(TRIM(SUBSTITUTE(U700,"  "," ")))</f>
        <v>Patna</v>
      </c>
      <c r="W700" s="3" t="s">
        <v>86</v>
      </c>
      <c r="X700" s="6" t="str">
        <f>PROPER(TRIM(SUBSTITUTE(W700,"  "," ")))</f>
        <v>Technology</v>
      </c>
      <c r="Y700" s="3" t="s">
        <v>94</v>
      </c>
      <c r="Z700" s="6" t="str">
        <f>PROPER(TRIM(SUBSTITUTE(Y700,"  "," ")))</f>
        <v>Copiers</v>
      </c>
      <c r="AA700" s="3" t="s">
        <v>552</v>
      </c>
      <c r="AB700" s="3" t="s">
        <v>56</v>
      </c>
      <c r="AC700" s="6" t="str">
        <f>PROPER(TRIM(SUBSTITUTE(AB700,"  "," ")))</f>
        <v>First Class</v>
      </c>
      <c r="AD700" s="3">
        <v>3</v>
      </c>
      <c r="AE700" s="3">
        <v>3703.96</v>
      </c>
      <c r="AF700" s="3">
        <v>0.15</v>
      </c>
      <c r="AG700" s="17">
        <v>0.15</v>
      </c>
      <c r="AH700" s="6" t="str">
        <f t="shared" si="83"/>
        <v>Valid</v>
      </c>
      <c r="AI700" s="3">
        <v>9549.44</v>
      </c>
      <c r="AJ700" s="3">
        <v>5586.28</v>
      </c>
      <c r="AK700" s="3">
        <v>3858.82</v>
      </c>
      <c r="AL700" s="3" t="s">
        <v>34</v>
      </c>
      <c r="AM700" s="6" t="str">
        <f>PROPER(TRIM(SUBSTITUTE(AL700,".","")))</f>
        <v>Paid</v>
      </c>
      <c r="AN700" s="3" t="s">
        <v>125</v>
      </c>
      <c r="AO700" s="8" t="str">
        <f>PROPER(TRIM(SUBSTITUTE(AN700,".","")))</f>
        <v>Returned</v>
      </c>
      <c r="AP700" t="str">
        <f>IF(COUNTIF($A$2:$A$933, A700) &gt; 1, "Duplicate ID", "Unique")</f>
        <v>Duplicate ID</v>
      </c>
      <c r="AQ700" t="s">
        <v>4106</v>
      </c>
      <c r="AR700">
        <f t="shared" si="84"/>
        <v>9445.098</v>
      </c>
      <c r="AS700">
        <f t="shared" si="85"/>
        <v>3858.8180000000002</v>
      </c>
      <c r="AT700" s="15">
        <f t="shared" si="86"/>
        <v>0.40855245758170006</v>
      </c>
      <c r="AU700" t="str">
        <f t="shared" si="87"/>
        <v>Invalid</v>
      </c>
      <c r="AV700" s="8" t="str">
        <f t="shared" si="88"/>
        <v>Active</v>
      </c>
    </row>
    <row r="701" spans="1:48">
      <c r="A701" s="3" t="s">
        <v>3509</v>
      </c>
      <c r="B701" s="3" t="s">
        <v>3510</v>
      </c>
      <c r="C701" s="9">
        <f>IFERROR(DATEVALUE(TEXT(B701,"DD/MM/YYYY")), IF(ISNUMBER(B701), B701, ""))</f>
        <v>45870</v>
      </c>
      <c r="D701" s="9" t="str">
        <f>IF(B701="","Missing", IF(AND(ISNUMBER(B701)=FALSE, C701=""),"Invalid - Could Not Parse", IF(AND(ISNUMBER(B701)=FALSE, C701&lt;&gt;""),"Text - Converted to Date", IF(ISNUMBER(B701),"Valid","Check"))))</f>
        <v>Text - Converted to Date</v>
      </c>
      <c r="E701" s="5">
        <f t="shared" si="81"/>
        <v>8</v>
      </c>
      <c r="F701" s="5">
        <f t="shared" si="82"/>
        <v>2025</v>
      </c>
      <c r="G701" s="3" t="s">
        <v>3511</v>
      </c>
      <c r="H701" s="9">
        <f>IFERROR(DATEVALUE(TEXT(G701,"DD/MM/YYYY")), IF(ISNUMBER(G701), G701, ""))</f>
        <v>45872</v>
      </c>
      <c r="I701" s="9" t="str">
        <f>IF(G701="","Missing", IF(AND(ISNUMBER(G701)=FALSE, H701=""),"Invalid - Could Not Parse", IF(AND(ISNUMBER(G701)=FALSE, H701&lt;&gt;""),"Text - Converted to Date", IF(ISNUMBER(G701),"Valid","Check"))))</f>
        <v>Text - Converted to Date</v>
      </c>
      <c r="J701" s="9" t="str">
        <f>IF(OR(C701="", H701=""), "Cannot Check - Date Missing", IF(H701&lt;C701, "Invalid - Ship Before Order", "Valid"))</f>
        <v>Valid</v>
      </c>
      <c r="K701" s="5">
        <f>IF(OR(C701="", H701=""), "", IF(H701&lt;C701, "", H701-C701))</f>
        <v>2</v>
      </c>
      <c r="L701" s="3" t="s">
        <v>3512</v>
      </c>
      <c r="M701" s="3" t="s">
        <v>107</v>
      </c>
      <c r="N701" s="4" t="str">
        <f>TRIM(SUBSTITUTE(M701,"_"," "))</f>
        <v>Aditi Sen</v>
      </c>
      <c r="O701" s="3" t="s">
        <v>41</v>
      </c>
      <c r="P701" s="6" t="str">
        <f>PROPER(TRIM(SUBSTITUTE(O701,".","")))</f>
        <v>Small Business</v>
      </c>
      <c r="Q701" s="3" t="s">
        <v>62</v>
      </c>
      <c r="R701" s="7" t="str">
        <f>PROPER(TRIM(SUBSTITUTE(Q701,"  "," ")))</f>
        <v>South</v>
      </c>
      <c r="S701" s="3" t="s">
        <v>242</v>
      </c>
      <c r="T701" s="6" t="str">
        <f>PROPER(TRIM(SUBSTITUTE(S701,"  "," ")))</f>
        <v>Kerala</v>
      </c>
      <c r="U701" s="3" t="s">
        <v>243</v>
      </c>
      <c r="V701" s="6" t="str">
        <f>PROPER(TRIM(SUBSTITUTE(U701,"  "," ")))</f>
        <v>Kochi</v>
      </c>
      <c r="W701" s="3" t="s">
        <v>45</v>
      </c>
      <c r="X701" s="6" t="str">
        <f>PROPER(TRIM(SUBSTITUTE(W701,"  "," ")))</f>
        <v>Furniture</v>
      </c>
      <c r="Y701" s="3" t="s">
        <v>204</v>
      </c>
      <c r="Z701" s="6" t="str">
        <f>PROPER(TRIM(SUBSTITUTE(Y701,"  "," ")))</f>
        <v>Bookcases</v>
      </c>
      <c r="AA701" s="3" t="s">
        <v>3513</v>
      </c>
      <c r="AB701" s="3" t="s">
        <v>67</v>
      </c>
      <c r="AC701" s="6" t="str">
        <f>PROPER(TRIM(SUBSTITUTE(AB701,"  "," ")))</f>
        <v>Standard Class</v>
      </c>
      <c r="AD701" s="3">
        <v>3</v>
      </c>
      <c r="AE701" s="3">
        <v>1904.78</v>
      </c>
      <c r="AF701" s="3">
        <v>0.25</v>
      </c>
      <c r="AG701" s="17">
        <v>0.25</v>
      </c>
      <c r="AH701" s="6" t="str">
        <f t="shared" si="83"/>
        <v>Valid</v>
      </c>
      <c r="AI701" s="3">
        <v>4285.76</v>
      </c>
      <c r="AJ701" s="3">
        <v>2386.33</v>
      </c>
      <c r="AK701" s="3">
        <v>1899.43</v>
      </c>
      <c r="AL701" s="3" t="s">
        <v>200</v>
      </c>
      <c r="AM701" s="6" t="str">
        <f>PROPER(TRIM(SUBSTITUTE(AL701,".","")))</f>
        <v>Failed</v>
      </c>
      <c r="AN701" s="3" t="s">
        <v>78</v>
      </c>
      <c r="AO701" s="8" t="str">
        <f>PROPER(TRIM(SUBSTITUTE(AN701,".","")))</f>
        <v>Cancelled</v>
      </c>
      <c r="AP701" t="str">
        <f>IF(COUNTIF($A$2:$A$933, A701) &gt; 1, "Duplicate ID", "Unique")</f>
        <v>Unique</v>
      </c>
      <c r="AR701">
        <f t="shared" si="84"/>
        <v>4285.7550000000001</v>
      </c>
      <c r="AS701">
        <f t="shared" si="85"/>
        <v>1899.4250000000002</v>
      </c>
      <c r="AT701" s="15">
        <f t="shared" si="86"/>
        <v>0.44319495631458172</v>
      </c>
      <c r="AU701" t="str">
        <f t="shared" si="87"/>
        <v>Clean</v>
      </c>
      <c r="AV701" s="8" t="str">
        <f t="shared" si="88"/>
        <v>Cancelled</v>
      </c>
    </row>
    <row r="702" spans="1:48">
      <c r="A702" s="3" t="s">
        <v>728</v>
      </c>
      <c r="B702" s="3" t="s">
        <v>191</v>
      </c>
      <c r="C702" s="9">
        <v>45687</v>
      </c>
      <c r="D702" s="9" t="str">
        <f>IF(B702="","Missing", IF(AND(ISNUMBER(B702)=FALSE, C702=""),"Invalid - Could Not Parse", IF(AND(ISNUMBER(B702)=FALSE, C702&lt;&gt;""),"Text - Converted to Date", IF(ISNUMBER(B702),"Valid","Check"))))</f>
        <v>Text - Converted to Date</v>
      </c>
      <c r="E702" s="5">
        <f t="shared" si="81"/>
        <v>1</v>
      </c>
      <c r="F702" s="5">
        <f t="shared" si="82"/>
        <v>2025</v>
      </c>
      <c r="G702" s="3" t="s">
        <v>729</v>
      </c>
      <c r="H702" s="9">
        <f>IFERROR(DATEVALUE(TEXT(G702,"DD/MM/YYYY")), IF(ISNUMBER(G702), G702, ""))</f>
        <v>45683</v>
      </c>
      <c r="I702" s="9" t="str">
        <f>IF(G702="","Missing", IF(AND(ISNUMBER(G702)=FALSE, H702=""),"Invalid - Could Not Parse", IF(AND(ISNUMBER(G702)=FALSE, H702&lt;&gt;""),"Text - Converted to Date", IF(ISNUMBER(G702),"Valid","Check"))))</f>
        <v>Text - Converted to Date</v>
      </c>
      <c r="J702" s="9" t="str">
        <f>IF(OR(C702="", H702=""), "Cannot Check - Date Missing", IF(H702&lt;C702, "Invalid - Ship Before Order", "Valid"))</f>
        <v>Invalid - Ship Before Order</v>
      </c>
      <c r="K702" s="5" t="str">
        <f>IF(OR(C702="", H702=""), "", IF(H702&lt;C702, "", H702-C702))</f>
        <v/>
      </c>
      <c r="L702" s="3" t="s">
        <v>730</v>
      </c>
      <c r="M702" s="3" t="s">
        <v>142</v>
      </c>
      <c r="N702" s="4" t="str">
        <f>TRIM(SUBSTITUTE(M702,"_"," "))</f>
        <v>Priya Menon</v>
      </c>
      <c r="O702" s="3" t="s">
        <v>108</v>
      </c>
      <c r="P702" s="6" t="str">
        <f>PROPER(TRIM(SUBSTITUTE(O702,".","")))</f>
        <v>Corporate</v>
      </c>
      <c r="Q702" s="3" t="s">
        <v>73</v>
      </c>
      <c r="R702" s="7" t="str">
        <f>PROPER(TRIM(SUBSTITUTE(Q702,"  "," ")))</f>
        <v>West</v>
      </c>
      <c r="S702" s="3" t="s">
        <v>84</v>
      </c>
      <c r="T702" s="6" t="str">
        <f>PROPER(TRIM(SUBSTITUTE(S702,"  "," ")))</f>
        <v>Madhya Pradesh</v>
      </c>
      <c r="U702" s="3" t="s">
        <v>85</v>
      </c>
      <c r="V702" s="6" t="str">
        <f>PROPER(TRIM(SUBSTITUTE(U702,"  "," ")))</f>
        <v>Indore</v>
      </c>
      <c r="W702" s="3" t="s">
        <v>30</v>
      </c>
      <c r="X702" s="6" t="str">
        <f>PROPER(TRIM(SUBSTITUTE(W702,"  "," ")))</f>
        <v>Office Supplies</v>
      </c>
      <c r="Y702" s="3" t="s">
        <v>156</v>
      </c>
      <c r="Z702" s="6" t="str">
        <f>PROPER(TRIM(SUBSTITUTE(Y702,"  "," ")))</f>
        <v>Storage</v>
      </c>
      <c r="AA702" s="3" t="s">
        <v>731</v>
      </c>
      <c r="AB702" s="3" t="s">
        <v>33</v>
      </c>
      <c r="AC702" s="6" t="str">
        <f>PROPER(TRIM(SUBSTITUTE(AB702,"  "," ")))</f>
        <v>Second Class</v>
      </c>
      <c r="AD702" s="3">
        <v>2</v>
      </c>
      <c r="AE702" s="3">
        <v>3039.3</v>
      </c>
      <c r="AF702" s="3">
        <v>0.05</v>
      </c>
      <c r="AG702" s="17">
        <v>0.05</v>
      </c>
      <c r="AH702" s="6" t="str">
        <f t="shared" si="83"/>
        <v>Valid</v>
      </c>
      <c r="AI702" s="3">
        <v>5774.67</v>
      </c>
      <c r="AJ702" s="3">
        <v>3518.36</v>
      </c>
      <c r="AK702" s="3">
        <v>2256.31</v>
      </c>
      <c r="AL702" s="3" t="s">
        <v>34</v>
      </c>
      <c r="AM702" s="6" t="str">
        <f>PROPER(TRIM(SUBSTITUTE(AL702,".","")))</f>
        <v>Paid</v>
      </c>
      <c r="AN702" s="3" t="s">
        <v>35</v>
      </c>
      <c r="AO702" s="8" t="str">
        <f>PROPER(TRIM(SUBSTITUTE(AN702,".","")))</f>
        <v>Completed</v>
      </c>
      <c r="AP702" t="str">
        <f>IF(COUNTIF($A$2:$A$933, A702) &gt; 1, "Duplicate ID", "Unique")</f>
        <v>Unique</v>
      </c>
      <c r="AR702">
        <f t="shared" si="84"/>
        <v>5774.67</v>
      </c>
      <c r="AS702">
        <f t="shared" si="85"/>
        <v>2256.31</v>
      </c>
      <c r="AT702" s="15">
        <f t="shared" si="86"/>
        <v>0.39072535746631409</v>
      </c>
      <c r="AU702" t="str">
        <f t="shared" si="87"/>
        <v>Invalid</v>
      </c>
      <c r="AV702" s="8" t="str">
        <f t="shared" si="88"/>
        <v>Active</v>
      </c>
    </row>
    <row r="703" spans="1:48">
      <c r="A703" s="3" t="s">
        <v>942</v>
      </c>
      <c r="B703" s="3" t="s">
        <v>943</v>
      </c>
      <c r="C703" s="9">
        <f>IFERROR(DATEVALUE(TEXT(B703,"DD/MM/YYYY")), IF(ISNUMBER(B703), B703, ""))</f>
        <v>45871</v>
      </c>
      <c r="D703" s="9" t="str">
        <f>IF(B703="","Missing", IF(AND(ISNUMBER(B703)=FALSE, C703=""),"Invalid - Could Not Parse", IF(AND(ISNUMBER(B703)=FALSE, C703&lt;&gt;""),"Text - Converted to Date", IF(ISNUMBER(B703),"Valid","Check"))))</f>
        <v>Text - Converted to Date</v>
      </c>
      <c r="E703" s="5">
        <f t="shared" si="81"/>
        <v>8</v>
      </c>
      <c r="F703" s="5">
        <f t="shared" si="82"/>
        <v>2025</v>
      </c>
      <c r="G703" s="3" t="s">
        <v>944</v>
      </c>
      <c r="H703" s="9">
        <f>IFERROR(DATEVALUE(TEXT(G703,"DD/MM/YYYY")), IF(ISNUMBER(G703), G703, ""))</f>
        <v>45879</v>
      </c>
      <c r="I703" s="9" t="str">
        <f>IF(G703="","Missing", IF(AND(ISNUMBER(G703)=FALSE, H703=""),"Invalid - Could Not Parse", IF(AND(ISNUMBER(G703)=FALSE, H703&lt;&gt;""),"Text - Converted to Date", IF(ISNUMBER(G703),"Valid","Check"))))</f>
        <v>Text - Converted to Date</v>
      </c>
      <c r="J703" s="9" t="str">
        <f>IF(OR(C703="", H703=""), "Cannot Check - Date Missing", IF(H703&lt;C703, "Invalid - Ship Before Order", "Valid"))</f>
        <v>Valid</v>
      </c>
      <c r="K703" s="5">
        <f>IF(OR(C703="", H703=""), "", IF(H703&lt;C703, "", H703-C703))</f>
        <v>8</v>
      </c>
      <c r="L703" s="3" t="s">
        <v>945</v>
      </c>
      <c r="M703" s="3" t="s">
        <v>25</v>
      </c>
      <c r="N703" s="4" t="str">
        <f>TRIM(SUBSTITUTE(M703,"_"," "))</f>
        <v>Karan Malhotra</v>
      </c>
      <c r="O703" s="3" t="s">
        <v>108</v>
      </c>
      <c r="P703" s="6" t="str">
        <f>PROPER(TRIM(SUBSTITUTE(O703,".","")))</f>
        <v>Corporate</v>
      </c>
      <c r="Q703" s="3" t="s">
        <v>27</v>
      </c>
      <c r="R703" s="7" t="str">
        <f>PROPER(TRIM(SUBSTITUTE(Q703,"  "," ")))</f>
        <v>North</v>
      </c>
      <c r="S703" s="3" t="s">
        <v>506</v>
      </c>
      <c r="T703" s="6" t="str">
        <f>PROPER(TRIM(SUBSTITUTE(S703,"  "," ")))</f>
        <v>Delhi</v>
      </c>
      <c r="U703" s="3" t="s">
        <v>507</v>
      </c>
      <c r="V703" s="6" t="str">
        <f>PROPER(TRIM(SUBSTITUTE(U703,"  "," ")))</f>
        <v>New Delhi</v>
      </c>
      <c r="W703" s="3" t="s">
        <v>45</v>
      </c>
      <c r="X703" s="6" t="str">
        <f>PROPER(TRIM(SUBSTITUTE(W703,"  "," ")))</f>
        <v>Furniture</v>
      </c>
      <c r="Y703" s="3" t="s">
        <v>65</v>
      </c>
      <c r="Z703" s="6" t="str">
        <f>PROPER(TRIM(SUBSTITUTE(Y703,"  "," ")))</f>
        <v>Furnishings</v>
      </c>
      <c r="AA703" s="3" t="s">
        <v>946</v>
      </c>
      <c r="AB703" s="3" t="s">
        <v>48</v>
      </c>
      <c r="AC703" s="6" t="str">
        <f>PROPER(TRIM(SUBSTITUTE(AB703,"  "," ")))</f>
        <v>Same Day</v>
      </c>
      <c r="AD703" s="3">
        <v>9</v>
      </c>
      <c r="AE703" s="3">
        <v>2962.62</v>
      </c>
      <c r="AF703" s="3">
        <v>0.1</v>
      </c>
      <c r="AG703" s="17">
        <v>0.1</v>
      </c>
      <c r="AH703" s="6" t="str">
        <f t="shared" si="83"/>
        <v>Valid</v>
      </c>
      <c r="AI703" s="3">
        <v>23997.22</v>
      </c>
      <c r="AJ703" s="3">
        <v>16134.63</v>
      </c>
      <c r="AK703" s="3">
        <v>7862.59</v>
      </c>
      <c r="AL703" s="3" t="s">
        <v>124</v>
      </c>
      <c r="AM703" s="6" t="str">
        <f>PROPER(TRIM(SUBSTITUTE(AL703,".","")))</f>
        <v>Refunded</v>
      </c>
      <c r="AN703" s="3" t="s">
        <v>125</v>
      </c>
      <c r="AO703" s="8" t="str">
        <f>PROPER(TRIM(SUBSTITUTE(AN703,".","")))</f>
        <v>Returned</v>
      </c>
      <c r="AP703" t="str">
        <f>IF(COUNTIF($A$2:$A$933, A703) &gt; 1, "Duplicate ID", "Unique")</f>
        <v>Unique</v>
      </c>
      <c r="AR703">
        <f t="shared" si="84"/>
        <v>23997.221999999998</v>
      </c>
      <c r="AS703">
        <f t="shared" si="85"/>
        <v>7862.5919999999987</v>
      </c>
      <c r="AT703" s="15">
        <f t="shared" si="86"/>
        <v>0.32764592501582057</v>
      </c>
      <c r="AU703" t="str">
        <f t="shared" si="87"/>
        <v>Clean</v>
      </c>
      <c r="AV703" s="8" t="str">
        <f t="shared" si="88"/>
        <v>Refund</v>
      </c>
    </row>
    <row r="704" spans="1:48">
      <c r="A704" s="3" t="s">
        <v>1370</v>
      </c>
      <c r="B704" s="3" t="s">
        <v>1371</v>
      </c>
      <c r="C704" s="9">
        <f>IFERROR(DATEVALUE(TEXT(B704,"DD/MM/YYYY")), IF(ISNUMBER(B704), B704, ""))</f>
        <v>45875</v>
      </c>
      <c r="D704" s="9" t="str">
        <f>IF(B704="","Missing", IF(AND(ISNUMBER(B704)=FALSE, C704=""),"Invalid - Could Not Parse", IF(AND(ISNUMBER(B704)=FALSE, C704&lt;&gt;""),"Text - Converted to Date", IF(ISNUMBER(B704),"Valid","Check"))))</f>
        <v>Text - Converted to Date</v>
      </c>
      <c r="E704" s="5">
        <f t="shared" si="81"/>
        <v>8</v>
      </c>
      <c r="F704" s="5">
        <f t="shared" si="82"/>
        <v>2025</v>
      </c>
      <c r="G704" s="3" t="s">
        <v>944</v>
      </c>
      <c r="H704" s="9">
        <f>IFERROR(DATEVALUE(TEXT(G704,"DD/MM/YYYY")), IF(ISNUMBER(G704), G704, ""))</f>
        <v>45879</v>
      </c>
      <c r="I704" s="9" t="str">
        <f>IF(G704="","Missing", IF(AND(ISNUMBER(G704)=FALSE, H704=""),"Invalid - Could Not Parse", IF(AND(ISNUMBER(G704)=FALSE, H704&lt;&gt;""),"Text - Converted to Date", IF(ISNUMBER(G704),"Valid","Check"))))</f>
        <v>Text - Converted to Date</v>
      </c>
      <c r="J704" s="9" t="str">
        <f>IF(OR(C704="", H704=""), "Cannot Check - Date Missing", IF(H704&lt;C704, "Invalid - Ship Before Order", "Valid"))</f>
        <v>Valid</v>
      </c>
      <c r="K704" s="5">
        <f>IF(OR(C704="", H704=""), "", IF(H704&lt;C704, "", H704-C704))</f>
        <v>4</v>
      </c>
      <c r="L704" s="3" t="s">
        <v>1372</v>
      </c>
      <c r="M704" s="3" t="s">
        <v>180</v>
      </c>
      <c r="N704" s="4" t="str">
        <f>TRIM(SUBSTITUTE(M704,"_"," "))</f>
        <v>Rohan Mehta</v>
      </c>
      <c r="O704" s="3" t="s">
        <v>41</v>
      </c>
      <c r="P704" s="6" t="str">
        <f>PROPER(TRIM(SUBSTITUTE(O704,".","")))</f>
        <v>Small Business</v>
      </c>
      <c r="Q704" s="3" t="s">
        <v>27</v>
      </c>
      <c r="R704" s="7" t="str">
        <f>PROPER(TRIM(SUBSTITUTE(Q704,"  "," ")))</f>
        <v>North</v>
      </c>
      <c r="S704" s="3" t="s">
        <v>506</v>
      </c>
      <c r="T704" s="6" t="str">
        <f>PROPER(TRIM(SUBSTITUTE(S704,"  "," ")))</f>
        <v>Delhi</v>
      </c>
      <c r="U704" s="3" t="s">
        <v>507</v>
      </c>
      <c r="V704" s="6" t="str">
        <f>PROPER(TRIM(SUBSTITUTE(U704,"  "," ")))</f>
        <v>New Delhi</v>
      </c>
      <c r="W704" s="3" t="s">
        <v>30</v>
      </c>
      <c r="X704" s="6" t="str">
        <f>PROPER(TRIM(SUBSTITUTE(W704,"  "," ")))</f>
        <v>Office Supplies</v>
      </c>
      <c r="Y704" s="3" t="s">
        <v>198</v>
      </c>
      <c r="Z704" s="6" t="str">
        <f>PROPER(TRIM(SUBSTITUTE(Y704,"  "," ")))</f>
        <v>Binders</v>
      </c>
      <c r="AA704" s="3" t="s">
        <v>1373</v>
      </c>
      <c r="AB704" s="3" t="s">
        <v>33</v>
      </c>
      <c r="AC704" s="6" t="str">
        <f>PROPER(TRIM(SUBSTITUTE(AB704,"  "," ")))</f>
        <v>Second Class</v>
      </c>
      <c r="AD704" s="3">
        <v>9</v>
      </c>
      <c r="AE704" s="3">
        <v>4042.45</v>
      </c>
      <c r="AF704" s="3">
        <v>0.1</v>
      </c>
      <c r="AG704" s="17">
        <v>0.1</v>
      </c>
      <c r="AH704" s="6" t="str">
        <f t="shared" si="83"/>
        <v>Valid</v>
      </c>
      <c r="AI704" s="3">
        <v>32743.84</v>
      </c>
      <c r="AJ704" s="3">
        <v>22452.05</v>
      </c>
      <c r="AK704" s="3">
        <v>10291.790000000001</v>
      </c>
      <c r="AL704" s="3" t="s">
        <v>137</v>
      </c>
      <c r="AM704" s="6" t="str">
        <f>PROPER(TRIM(SUBSTITUTE(AL704,".","")))</f>
        <v>Pending</v>
      </c>
      <c r="AN704" s="3" t="s">
        <v>125</v>
      </c>
      <c r="AO704" s="8" t="str">
        <f>PROPER(TRIM(SUBSTITUTE(AN704,".","")))</f>
        <v>Returned</v>
      </c>
      <c r="AP704" t="str">
        <f>IF(COUNTIF($A$2:$A$933, A704) &gt; 1, "Duplicate ID", "Unique")</f>
        <v>Unique</v>
      </c>
      <c r="AR704">
        <f t="shared" si="84"/>
        <v>32743.844999999998</v>
      </c>
      <c r="AS704">
        <f t="shared" si="85"/>
        <v>10291.794999999998</v>
      </c>
      <c r="AT704" s="15">
        <f t="shared" si="86"/>
        <v>0.314312353970647</v>
      </c>
      <c r="AU704" t="str">
        <f t="shared" si="87"/>
        <v>Clean</v>
      </c>
      <c r="AV704" s="8" t="str">
        <f t="shared" si="88"/>
        <v>Active</v>
      </c>
    </row>
    <row r="705" spans="1:48">
      <c r="A705" s="3" t="s">
        <v>3078</v>
      </c>
      <c r="B705" s="3" t="s">
        <v>1371</v>
      </c>
      <c r="C705" s="9">
        <f>IFERROR(DATEVALUE(TEXT(B705,"DD/MM/YYYY")), IF(ISNUMBER(B705), B705, ""))</f>
        <v>45875</v>
      </c>
      <c r="D705" s="9" t="str">
        <f>IF(B705="","Missing", IF(AND(ISNUMBER(B705)=FALSE, C705=""),"Invalid - Could Not Parse", IF(AND(ISNUMBER(B705)=FALSE, C705&lt;&gt;""),"Text - Converted to Date", IF(ISNUMBER(B705),"Valid","Check"))))</f>
        <v>Text - Converted to Date</v>
      </c>
      <c r="E705" s="5">
        <f t="shared" si="81"/>
        <v>8</v>
      </c>
      <c r="F705" s="5">
        <f t="shared" si="82"/>
        <v>2025</v>
      </c>
      <c r="G705" s="3" t="s">
        <v>3079</v>
      </c>
      <c r="H705" s="9">
        <f>IFERROR(DATEVALUE(TEXT(G705,"DD/MM/YYYY")), IF(ISNUMBER(G705), G705, ""))</f>
        <v>45878</v>
      </c>
      <c r="I705" s="9" t="str">
        <f>IF(G705="","Missing", IF(AND(ISNUMBER(G705)=FALSE, H705=""),"Invalid - Could Not Parse", IF(AND(ISNUMBER(G705)=FALSE, H705&lt;&gt;""),"Text - Converted to Date", IF(ISNUMBER(G705),"Valid","Check"))))</f>
        <v>Text - Converted to Date</v>
      </c>
      <c r="J705" s="9" t="str">
        <f>IF(OR(C705="", H705=""), "Cannot Check - Date Missing", IF(H705&lt;C705, "Invalid - Ship Before Order", "Valid"))</f>
        <v>Valid</v>
      </c>
      <c r="K705" s="5">
        <f>IF(OR(C705="", H705=""), "", IF(H705&lt;C705, "", H705-C705))</f>
        <v>3</v>
      </c>
      <c r="L705" s="3" t="s">
        <v>3080</v>
      </c>
      <c r="M705" s="3" t="s">
        <v>40</v>
      </c>
      <c r="N705" s="4" t="str">
        <f>TRIM(SUBSTITUTE(M705,"_"," "))</f>
        <v>Mira Das</v>
      </c>
      <c r="O705" s="3" t="s">
        <v>41</v>
      </c>
      <c r="P705" s="6" t="str">
        <f>PROPER(TRIM(SUBSTITUTE(O705,".","")))</f>
        <v>Small Business</v>
      </c>
      <c r="Q705" s="3" t="s">
        <v>62</v>
      </c>
      <c r="R705" s="7" t="str">
        <f>PROPER(TRIM(SUBSTITUTE(Q705,"  "," ")))</f>
        <v>South</v>
      </c>
      <c r="S705" s="3" t="s">
        <v>100</v>
      </c>
      <c r="T705" s="6" t="str">
        <f>PROPER(TRIM(SUBSTITUTE(S705,"  "," ")))</f>
        <v>Andhra Pradesh</v>
      </c>
      <c r="U705" s="3" t="s">
        <v>101</v>
      </c>
      <c r="V705" s="6" t="str">
        <f>PROPER(TRIM(SUBSTITUTE(U705,"  "," ")))</f>
        <v>Vijayawada</v>
      </c>
      <c r="W705" s="3" t="s">
        <v>30</v>
      </c>
      <c r="X705" s="6" t="str">
        <f>PROPER(TRIM(SUBSTITUTE(W705,"  "," ")))</f>
        <v>Office Supplies</v>
      </c>
      <c r="Y705" s="3" t="s">
        <v>31</v>
      </c>
      <c r="Z705" s="6" t="str">
        <f>PROPER(TRIM(SUBSTITUTE(Y705,"  "," ")))</f>
        <v>Paper</v>
      </c>
      <c r="AA705" s="3" t="s">
        <v>3081</v>
      </c>
      <c r="AB705" s="3" t="s">
        <v>33</v>
      </c>
      <c r="AC705" s="6" t="str">
        <f>PROPER(TRIM(SUBSTITUTE(AB705,"  "," ")))</f>
        <v>Second Class</v>
      </c>
      <c r="AD705" s="3">
        <v>3</v>
      </c>
      <c r="AE705" s="3">
        <v>598.54999999999995</v>
      </c>
      <c r="AF705" s="3">
        <v>0</v>
      </c>
      <c r="AG705" s="17">
        <v>0</v>
      </c>
      <c r="AH705" s="6" t="str">
        <f t="shared" si="83"/>
        <v>Valid</v>
      </c>
      <c r="AI705" s="3">
        <v>1795.65</v>
      </c>
      <c r="AJ705" s="3">
        <v>996.72</v>
      </c>
      <c r="AK705" s="3">
        <v>798.93</v>
      </c>
      <c r="AL705" s="3" t="s">
        <v>34</v>
      </c>
      <c r="AM705" s="6" t="str">
        <f>PROPER(TRIM(SUBSTITUTE(AL705,".","")))</f>
        <v>Paid</v>
      </c>
      <c r="AN705" s="3" t="s">
        <v>35</v>
      </c>
      <c r="AO705" s="8" t="str">
        <f>PROPER(TRIM(SUBSTITUTE(AN705,".","")))</f>
        <v>Completed</v>
      </c>
      <c r="AP705" t="str">
        <f>IF(COUNTIF($A$2:$A$933, A705) &gt; 1, "Duplicate ID", "Unique")</f>
        <v>Unique</v>
      </c>
      <c r="AR705">
        <f t="shared" si="84"/>
        <v>1795.6499999999999</v>
      </c>
      <c r="AS705">
        <f t="shared" si="85"/>
        <v>798.92999999999984</v>
      </c>
      <c r="AT705" s="15">
        <f t="shared" si="86"/>
        <v>0.44492523598696843</v>
      </c>
      <c r="AU705" t="str">
        <f t="shared" si="87"/>
        <v>Clean</v>
      </c>
      <c r="AV705" s="8" t="str">
        <f t="shared" si="88"/>
        <v>Active</v>
      </c>
    </row>
    <row r="706" spans="1:48">
      <c r="A706" s="3" t="s">
        <v>3739</v>
      </c>
      <c r="B706" s="3" t="s">
        <v>1371</v>
      </c>
      <c r="C706" s="9">
        <f>IFERROR(DATEVALUE(TEXT(B706,"DD/MM/YYYY")), IF(ISNUMBER(B706), B706, ""))</f>
        <v>45875</v>
      </c>
      <c r="D706" s="9" t="str">
        <f>IF(B706="","Missing", IF(AND(ISNUMBER(B706)=FALSE, C706=""),"Invalid - Could Not Parse", IF(AND(ISNUMBER(B706)=FALSE, C706&lt;&gt;""),"Text - Converted to Date", IF(ISNUMBER(B706),"Valid","Check"))))</f>
        <v>Text - Converted to Date</v>
      </c>
      <c r="E706" s="5">
        <f t="shared" si="81"/>
        <v>8</v>
      </c>
      <c r="F706" s="5">
        <f t="shared" si="82"/>
        <v>2025</v>
      </c>
      <c r="G706" s="3" t="s">
        <v>583</v>
      </c>
      <c r="H706" s="9">
        <f>IFERROR(DATEVALUE(TEXT(G706,"DD/MM/YYYY")), IF(ISNUMBER(G706), G706, ""))</f>
        <v>45880</v>
      </c>
      <c r="I706" s="9" t="str">
        <f>IF(G706="","Missing", IF(AND(ISNUMBER(G706)=FALSE, H706=""),"Invalid - Could Not Parse", IF(AND(ISNUMBER(G706)=FALSE, H706&lt;&gt;""),"Text - Converted to Date", IF(ISNUMBER(G706),"Valid","Check"))))</f>
        <v>Text - Converted to Date</v>
      </c>
      <c r="J706" s="9" t="str">
        <f>IF(OR(C706="", H706=""), "Cannot Check - Date Missing", IF(H706&lt;C706, "Invalid - Ship Before Order", "Valid"))</f>
        <v>Valid</v>
      </c>
      <c r="K706" s="5">
        <f>IF(OR(C706="", H706=""), "", IF(H706&lt;C706, "", H706-C706))</f>
        <v>5</v>
      </c>
      <c r="L706" s="3" t="s">
        <v>3740</v>
      </c>
      <c r="M706" s="3" t="s">
        <v>61</v>
      </c>
      <c r="N706" s="4" t="str">
        <f>TRIM(SUBSTITUTE(M706,"_"," "))</f>
        <v>Arjun Bose</v>
      </c>
      <c r="O706" s="3" t="s">
        <v>26</v>
      </c>
      <c r="P706" s="6" t="str">
        <f>PROPER(TRIM(SUBSTITUTE(O706,".","")))</f>
        <v>Consumer</v>
      </c>
      <c r="Q706" s="3" t="s">
        <v>73</v>
      </c>
      <c r="R706" s="7" t="str">
        <f>PROPER(TRIM(SUBSTITUTE(Q706,"  "," ")))</f>
        <v>West</v>
      </c>
      <c r="S706" s="3" t="s">
        <v>84</v>
      </c>
      <c r="T706" s="6" t="str">
        <f>PROPER(TRIM(SUBSTITUTE(S706,"  "," ")))</f>
        <v>Madhya Pradesh</v>
      </c>
      <c r="U706" s="3" t="s">
        <v>85</v>
      </c>
      <c r="V706" s="6" t="str">
        <f>PROPER(TRIM(SUBSTITUTE(U706,"  "," ")))</f>
        <v>Indore</v>
      </c>
      <c r="W706" s="3" t="s">
        <v>30</v>
      </c>
      <c r="X706" s="6" t="str">
        <f>PROPER(TRIM(SUBSTITUTE(W706,"  "," ")))</f>
        <v>Office Supplies</v>
      </c>
      <c r="Y706" s="3" t="s">
        <v>109</v>
      </c>
      <c r="Z706" s="6" t="str">
        <f>PROPER(TRIM(SUBSTITUTE(Y706,"  "," ")))</f>
        <v>Labels</v>
      </c>
      <c r="AA706" s="3" t="s">
        <v>3741</v>
      </c>
      <c r="AB706" s="3" t="s">
        <v>56</v>
      </c>
      <c r="AC706" s="6" t="str">
        <f>PROPER(TRIM(SUBSTITUTE(AB706,"  "," ")))</f>
        <v>First Class</v>
      </c>
      <c r="AD706" s="3">
        <v>2</v>
      </c>
      <c r="AE706" s="3">
        <v>2375.94</v>
      </c>
      <c r="AF706" s="3">
        <v>0.25</v>
      </c>
      <c r="AG706" s="17">
        <v>0.25</v>
      </c>
      <c r="AH706" s="6" t="str">
        <f t="shared" si="83"/>
        <v>Valid</v>
      </c>
      <c r="AI706" s="3">
        <v>3563.91</v>
      </c>
      <c r="AJ706" s="3">
        <v>2639.7</v>
      </c>
      <c r="AK706" s="3">
        <v>924.21</v>
      </c>
      <c r="AL706" s="3" t="s">
        <v>34</v>
      </c>
      <c r="AM706" s="6" t="str">
        <f>PROPER(TRIM(SUBSTITUTE(AL706,".","")))</f>
        <v>Paid</v>
      </c>
      <c r="AN706" s="3" t="s">
        <v>35</v>
      </c>
      <c r="AO706" s="8" t="str">
        <f>PROPER(TRIM(SUBSTITUTE(AN706,".","")))</f>
        <v>Completed</v>
      </c>
      <c r="AP706" t="str">
        <f>IF(COUNTIF($A$2:$A$933, A706) &gt; 1, "Duplicate ID", "Unique")</f>
        <v>Unique</v>
      </c>
      <c r="AR706">
        <f t="shared" si="84"/>
        <v>3563.91</v>
      </c>
      <c r="AS706">
        <f t="shared" si="85"/>
        <v>924.21</v>
      </c>
      <c r="AT706" s="15">
        <f t="shared" si="86"/>
        <v>0.25932473042248544</v>
      </c>
      <c r="AU706" t="str">
        <f t="shared" si="87"/>
        <v>Clean</v>
      </c>
      <c r="AV706" s="8" t="str">
        <f t="shared" si="88"/>
        <v>Active</v>
      </c>
    </row>
    <row r="707" spans="1:48">
      <c r="A707" s="3" t="s">
        <v>4043</v>
      </c>
      <c r="B707" s="3" t="s">
        <v>4044</v>
      </c>
      <c r="C707" s="9">
        <f>IFERROR(DATEVALUE(TEXT(B707,"DD/MM/YYYY")), IF(ISNUMBER(B707), B707, ""))</f>
        <v>45875</v>
      </c>
      <c r="D707" s="9" t="str">
        <f>IF(B707="","Missing", IF(AND(ISNUMBER(B707)=FALSE, C707=""),"Invalid - Could Not Parse", IF(AND(ISNUMBER(B707)=FALSE, C707&lt;&gt;""),"Text - Converted to Date", IF(ISNUMBER(B707),"Valid","Check"))))</f>
        <v>Text - Converted to Date</v>
      </c>
      <c r="E707" s="5">
        <f t="shared" ref="E707:E770" si="89">IFERROR(MONTH(C707), "")</f>
        <v>8</v>
      </c>
      <c r="F707" s="5">
        <f t="shared" ref="F707:F770" si="90">IFERROR(YEAR(C707), "")</f>
        <v>2025</v>
      </c>
      <c r="G707" s="3" t="s">
        <v>3578</v>
      </c>
      <c r="H707" s="9">
        <f>IFERROR(DATEVALUE(TEXT(G707,"DD/MM/YYYY")), IF(ISNUMBER(G707), G707, ""))</f>
        <v>45876</v>
      </c>
      <c r="I707" s="9" t="str">
        <f>IF(G707="","Missing", IF(AND(ISNUMBER(G707)=FALSE, H707=""),"Invalid - Could Not Parse", IF(AND(ISNUMBER(G707)=FALSE, H707&lt;&gt;""),"Text - Converted to Date", IF(ISNUMBER(G707),"Valid","Check"))))</f>
        <v>Text - Converted to Date</v>
      </c>
      <c r="J707" s="9" t="str">
        <f>IF(OR(C707="", H707=""), "Cannot Check - Date Missing", IF(H707&lt;C707, "Invalid - Ship Before Order", "Valid"))</f>
        <v>Valid</v>
      </c>
      <c r="K707" s="5">
        <f>IF(OR(C707="", H707=""), "", IF(H707&lt;C707, "", H707-C707))</f>
        <v>1</v>
      </c>
      <c r="L707" s="3" t="s">
        <v>4045</v>
      </c>
      <c r="M707" s="3" t="s">
        <v>148</v>
      </c>
      <c r="N707" s="4" t="str">
        <f>TRIM(SUBSTITUTE(M707,"_"," "))</f>
        <v>Rahul Verma</v>
      </c>
      <c r="O707" s="3" t="s">
        <v>41</v>
      </c>
      <c r="P707" s="6" t="str">
        <f>PROPER(TRIM(SUBSTITUTE(O707,".","")))</f>
        <v>Small Business</v>
      </c>
      <c r="Q707" s="3" t="s">
        <v>73</v>
      </c>
      <c r="R707" s="7" t="str">
        <f>PROPER(TRIM(SUBSTITUTE(Q707,"  "," ")))</f>
        <v>West</v>
      </c>
      <c r="S707" s="3" t="s">
        <v>74</v>
      </c>
      <c r="T707" s="6" t="str">
        <f>PROPER(TRIM(SUBSTITUTE(S707,"  "," ")))</f>
        <v>Maharashtra</v>
      </c>
      <c r="U707" s="3" t="s">
        <v>75</v>
      </c>
      <c r="V707" s="6" t="str">
        <f>PROPER(TRIM(SUBSTITUTE(U707,"  "," ")))</f>
        <v>Mumbai</v>
      </c>
      <c r="W707" s="3" t="s">
        <v>30</v>
      </c>
      <c r="X707" s="6" t="str">
        <f>PROPER(TRIM(SUBSTITUTE(W707,"  "," ")))</f>
        <v>Office Supplies</v>
      </c>
      <c r="Y707" s="3" t="s">
        <v>54</v>
      </c>
      <c r="Z707" s="6" t="str">
        <f>PROPER(TRIM(SUBSTITUTE(Y707,"  "," ")))</f>
        <v>Art</v>
      </c>
      <c r="AA707" s="3" t="s">
        <v>4046</v>
      </c>
      <c r="AB707" s="3" t="s">
        <v>67</v>
      </c>
      <c r="AC707" s="6" t="str">
        <f>PROPER(TRIM(SUBSTITUTE(AB707,"  "," ")))</f>
        <v>Standard Class</v>
      </c>
      <c r="AD707" s="3">
        <v>4</v>
      </c>
      <c r="AE707" s="3">
        <v>3523.64</v>
      </c>
      <c r="AF707" s="3">
        <v>0.1</v>
      </c>
      <c r="AG707" s="17">
        <v>0.1</v>
      </c>
      <c r="AH707" s="6" t="str">
        <f t="shared" ref="AH707:AH770" si="91">IF(ISBLANK(AF707), "Missing", IF(AF707 &lt; 0, "Invalid - Negative", IF(AF707 &gt; 0.5, "Invalid - Above Range", "Valid")))</f>
        <v>Valid</v>
      </c>
      <c r="AI707" s="3">
        <v>12685.1</v>
      </c>
      <c r="AJ707" s="3">
        <v>10779.56</v>
      </c>
      <c r="AK707" s="3">
        <v>1905.54</v>
      </c>
      <c r="AL707" s="3" t="s">
        <v>124</v>
      </c>
      <c r="AM707" s="6" t="str">
        <f>PROPER(TRIM(SUBSTITUTE(AL707,".","")))</f>
        <v>Refunded</v>
      </c>
      <c r="AN707" s="3" t="s">
        <v>78</v>
      </c>
      <c r="AO707" s="8" t="str">
        <f>PROPER(TRIM(SUBSTITUTE(AN707,".","")))</f>
        <v>Cancelled</v>
      </c>
      <c r="AP707" t="str">
        <f>IF(COUNTIF($A$2:$A$933, A707) &gt; 1, "Duplicate ID", "Unique")</f>
        <v>Unique</v>
      </c>
      <c r="AR707">
        <f t="shared" ref="AR707:AR770" si="92">AD707 * AE707 * (1 - AG707)</f>
        <v>12685.103999999999</v>
      </c>
      <c r="AS707">
        <f t="shared" ref="AS707:AS770" si="93">AR707-AJ707</f>
        <v>1905.5439999999999</v>
      </c>
      <c r="AT707" s="15">
        <f t="shared" ref="AT707:AT770" si="94">IFERROR(AS707 / AR707, "")</f>
        <v>0.15021902855506741</v>
      </c>
      <c r="AU707" t="str">
        <f t="shared" ref="AU707:AU770" si="95">IF(OR(AH707="Invalid - Negative",AH707="Invalid - Above Range", J707="Invalid - Ship Before Order", AQ707="Conflicting Duplicate - Flagged"), "Invalid", IF(OR(R706="Unknown", AC706="Unknown", AH707="Missing"), "Warning", "Clean"))</f>
        <v>Clean</v>
      </c>
      <c r="AV707" s="8" t="str">
        <f t="shared" ref="AV707:AV770" si="96">IF(AM707 = "Refunded", "Refund", IF(AO707 = "Cancelled", "Cancelled", "Active"))</f>
        <v>Refund</v>
      </c>
    </row>
    <row r="708" spans="1:48">
      <c r="A708" s="3" t="s">
        <v>487</v>
      </c>
      <c r="B708" s="3" t="s">
        <v>488</v>
      </c>
      <c r="C708" s="9">
        <f>IFERROR(DATEVALUE(TEXT(B708,"DD/MM/YYYY")), IF(ISNUMBER(B708), B708, ""))</f>
        <v>45876</v>
      </c>
      <c r="D708" s="9" t="str">
        <f>IF(B708="","Missing", IF(AND(ISNUMBER(B708)=FALSE, C708=""),"Invalid - Could Not Parse", IF(AND(ISNUMBER(B708)=FALSE, C708&lt;&gt;""),"Text - Converted to Date", IF(ISNUMBER(B708),"Valid","Check"))))</f>
        <v>Text - Converted to Date</v>
      </c>
      <c r="E708" s="5">
        <f t="shared" si="89"/>
        <v>8</v>
      </c>
      <c r="F708" s="5">
        <f t="shared" si="90"/>
        <v>2025</v>
      </c>
      <c r="G708" s="3" t="s">
        <v>489</v>
      </c>
      <c r="H708" s="9">
        <f>IFERROR(DATEVALUE(TEXT(G708,"DD/MM/YYYY")), IF(ISNUMBER(G708), G708, ""))</f>
        <v>45850</v>
      </c>
      <c r="I708" s="9" t="str">
        <f>IF(G708="","Missing", IF(AND(ISNUMBER(G708)=FALSE, H708=""),"Invalid - Could Not Parse", IF(AND(ISNUMBER(G708)=FALSE, H708&lt;&gt;""),"Text - Converted to Date", IF(ISNUMBER(G708),"Valid","Check"))))</f>
        <v>Text - Converted to Date</v>
      </c>
      <c r="J708" s="9" t="str">
        <f>IF(OR(C708="", H708=""), "Cannot Check - Date Missing", IF(H708&lt;C708, "Invalid - Ship Before Order", "Valid"))</f>
        <v>Invalid - Ship Before Order</v>
      </c>
      <c r="K708" s="5" t="str">
        <f>IF(OR(C708="", H708=""), "", IF(H708&lt;C708, "", H708-C708))</f>
        <v/>
      </c>
      <c r="L708" s="3" t="s">
        <v>490</v>
      </c>
      <c r="M708" s="3" t="s">
        <v>180</v>
      </c>
      <c r="N708" s="4" t="str">
        <f>TRIM(SUBSTITUTE(M708,"_"," "))</f>
        <v>Rohan Mehta</v>
      </c>
      <c r="O708" s="3" t="s">
        <v>115</v>
      </c>
      <c r="P708" s="6" t="str">
        <f>PROPER(TRIM(SUBSTITUTE(O708,".","")))</f>
        <v>Home Office</v>
      </c>
      <c r="Q708" s="3" t="s">
        <v>27</v>
      </c>
      <c r="R708" s="7" t="str">
        <f>PROPER(TRIM(SUBSTITUTE(Q708,"  "," ")))</f>
        <v>North</v>
      </c>
      <c r="S708" s="3" t="s">
        <v>174</v>
      </c>
      <c r="T708" s="6" t="str">
        <f>PROPER(TRIM(SUBSTITUTE(S708,"  "," ")))</f>
        <v>Uttar Pradesh</v>
      </c>
      <c r="U708" s="3" t="s">
        <v>175</v>
      </c>
      <c r="V708" s="6" t="str">
        <f>PROPER(TRIM(SUBSTITUTE(U708,"  "," ")))</f>
        <v>Noida</v>
      </c>
      <c r="W708" s="3" t="s">
        <v>45</v>
      </c>
      <c r="X708" s="6" t="str">
        <f>PROPER(TRIM(SUBSTITUTE(W708,"  "," ")))</f>
        <v>Furniture</v>
      </c>
      <c r="Y708" s="3" t="s">
        <v>65</v>
      </c>
      <c r="Z708" s="6" t="str">
        <f>PROPER(TRIM(SUBSTITUTE(Y708,"  "," ")))</f>
        <v>Furnishings</v>
      </c>
      <c r="AA708" s="3" t="s">
        <v>491</v>
      </c>
      <c r="AB708" s="3" t="s">
        <v>67</v>
      </c>
      <c r="AC708" s="6" t="str">
        <f>PROPER(TRIM(SUBSTITUTE(AB708,"  "," ")))</f>
        <v>Standard Class</v>
      </c>
      <c r="AD708" s="3">
        <v>1</v>
      </c>
      <c r="AE708" s="3">
        <v>2582.1999999999998</v>
      </c>
      <c r="AF708" s="3">
        <v>0.15</v>
      </c>
      <c r="AG708" s="17">
        <v>0.15</v>
      </c>
      <c r="AH708" s="6" t="str">
        <f t="shared" si="91"/>
        <v>Valid</v>
      </c>
      <c r="AI708" s="3">
        <v>2194.87</v>
      </c>
      <c r="AJ708" s="3">
        <v>1223.17</v>
      </c>
      <c r="AK708" s="3">
        <v>971.7</v>
      </c>
      <c r="AL708" s="3" t="s">
        <v>124</v>
      </c>
      <c r="AM708" s="6" t="str">
        <f>PROPER(TRIM(SUBSTITUTE(AL708,".","")))</f>
        <v>Refunded</v>
      </c>
      <c r="AN708" s="3" t="s">
        <v>78</v>
      </c>
      <c r="AO708" s="8" t="str">
        <f>PROPER(TRIM(SUBSTITUTE(AN708,".","")))</f>
        <v>Cancelled</v>
      </c>
      <c r="AP708" t="str">
        <f>IF(COUNTIF($A$2:$A$933, A708) &gt; 1, "Duplicate ID", "Unique")</f>
        <v>Unique</v>
      </c>
      <c r="AR708">
        <f t="shared" si="92"/>
        <v>2194.87</v>
      </c>
      <c r="AS708">
        <f t="shared" si="93"/>
        <v>971.69999999999982</v>
      </c>
      <c r="AT708" s="15">
        <f t="shared" si="94"/>
        <v>0.44271414707932583</v>
      </c>
      <c r="AU708" t="str">
        <f t="shared" si="95"/>
        <v>Invalid</v>
      </c>
      <c r="AV708" s="8" t="str">
        <f t="shared" si="96"/>
        <v>Refund</v>
      </c>
    </row>
    <row r="709" spans="1:48">
      <c r="A709" s="3" t="s">
        <v>2715</v>
      </c>
      <c r="B709" s="3" t="s">
        <v>2716</v>
      </c>
      <c r="C709" s="9">
        <f>IFERROR(DATEVALUE(TEXT(B709,"DD/MM/YYYY")), IF(ISNUMBER(B709), B709, ""))</f>
        <v>45876</v>
      </c>
      <c r="D709" s="9" t="str">
        <f>IF(B709="","Missing", IF(AND(ISNUMBER(B709)=FALSE, C709=""),"Invalid - Could Not Parse", IF(AND(ISNUMBER(B709)=FALSE, C709&lt;&gt;""),"Text - Converted to Date", IF(ISNUMBER(B709),"Valid","Check"))))</f>
        <v>Text - Converted to Date</v>
      </c>
      <c r="E709" s="5">
        <f t="shared" si="89"/>
        <v>8</v>
      </c>
      <c r="F709" s="5">
        <f t="shared" si="90"/>
        <v>2025</v>
      </c>
      <c r="G709" s="3" t="s">
        <v>240</v>
      </c>
      <c r="H709" s="9">
        <f>IFERROR(DATEVALUE(TEXT(G709,"DD/MM/YYYY")), IF(ISNUMBER(G709), G709, ""))</f>
        <v>45882</v>
      </c>
      <c r="I709" s="9" t="str">
        <f>IF(G709="","Missing", IF(AND(ISNUMBER(G709)=FALSE, H709=""),"Invalid - Could Not Parse", IF(AND(ISNUMBER(G709)=FALSE, H709&lt;&gt;""),"Text - Converted to Date", IF(ISNUMBER(G709),"Valid","Check"))))</f>
        <v>Text - Converted to Date</v>
      </c>
      <c r="J709" s="9" t="str">
        <f>IF(OR(C709="", H709=""), "Cannot Check - Date Missing", IF(H709&lt;C709, "Invalid - Ship Before Order", "Valid"))</f>
        <v>Valid</v>
      </c>
      <c r="K709" s="5">
        <f>IF(OR(C709="", H709=""), "", IF(H709&lt;C709, "", H709-C709))</f>
        <v>6</v>
      </c>
      <c r="L709" s="3" t="s">
        <v>2717</v>
      </c>
      <c r="M709" s="3" t="s">
        <v>40</v>
      </c>
      <c r="N709" s="4" t="str">
        <f>TRIM(SUBSTITUTE(M709,"_"," "))</f>
        <v>Mira Das</v>
      </c>
      <c r="O709" s="3" t="s">
        <v>108</v>
      </c>
      <c r="P709" s="6" t="str">
        <f>PROPER(TRIM(SUBSTITUTE(O709,".","")))</f>
        <v>Corporate</v>
      </c>
      <c r="Q709" s="3" t="s">
        <v>27</v>
      </c>
      <c r="R709" s="7" t="str">
        <f>PROPER(TRIM(SUBSTITUTE(Q709,"  "," ")))</f>
        <v>North</v>
      </c>
      <c r="S709" s="3" t="s">
        <v>506</v>
      </c>
      <c r="T709" s="6" t="str">
        <f>PROPER(TRIM(SUBSTITUTE(S709,"  "," ")))</f>
        <v>Delhi</v>
      </c>
      <c r="U709" s="3" t="s">
        <v>507</v>
      </c>
      <c r="V709" s="6" t="str">
        <f>PROPER(TRIM(SUBSTITUTE(U709,"  "," ")))</f>
        <v>New Delhi</v>
      </c>
      <c r="W709" s="3" t="s">
        <v>86</v>
      </c>
      <c r="X709" s="6" t="str">
        <f>PROPER(TRIM(SUBSTITUTE(W709,"  "," ")))</f>
        <v>Technology</v>
      </c>
      <c r="Y709" s="3" t="s">
        <v>223</v>
      </c>
      <c r="Z709" s="6" t="str">
        <f>PROPER(TRIM(SUBSTITUTE(Y709,"  "," ")))</f>
        <v>Phones</v>
      </c>
      <c r="AA709" s="3" t="s">
        <v>2718</v>
      </c>
      <c r="AB709" s="3" t="s">
        <v>67</v>
      </c>
      <c r="AC709" s="6" t="str">
        <f>PROPER(TRIM(SUBSTITUTE(AB709,"  "," ")))</f>
        <v>Standard Class</v>
      </c>
      <c r="AD709" s="3">
        <v>6</v>
      </c>
      <c r="AE709" s="3">
        <v>1921.86</v>
      </c>
      <c r="AF709" s="3">
        <v>0.2</v>
      </c>
      <c r="AG709" s="17">
        <v>0.2</v>
      </c>
      <c r="AH709" s="6" t="str">
        <f t="shared" si="91"/>
        <v>Valid</v>
      </c>
      <c r="AI709" s="3">
        <v>9224.93</v>
      </c>
      <c r="AJ709" s="3">
        <v>7005.2</v>
      </c>
      <c r="AK709" s="3">
        <v>2219.73</v>
      </c>
      <c r="AL709" s="3" t="s">
        <v>124</v>
      </c>
      <c r="AM709" s="6" t="str">
        <f>PROPER(TRIM(SUBSTITUTE(AL709,".","")))</f>
        <v>Refunded</v>
      </c>
      <c r="AN709" s="3" t="s">
        <v>78</v>
      </c>
      <c r="AO709" s="8" t="str">
        <f>PROPER(TRIM(SUBSTITUTE(AN709,".","")))</f>
        <v>Cancelled</v>
      </c>
      <c r="AP709" t="str">
        <f>IF(COUNTIF($A$2:$A$933, A709) &gt; 1, "Duplicate ID", "Unique")</f>
        <v>Unique</v>
      </c>
      <c r="AR709">
        <f t="shared" si="92"/>
        <v>9224.9279999999999</v>
      </c>
      <c r="AS709">
        <f t="shared" si="93"/>
        <v>2219.7280000000001</v>
      </c>
      <c r="AT709" s="15">
        <f t="shared" si="94"/>
        <v>0.24062279944081949</v>
      </c>
      <c r="AU709" t="str">
        <f t="shared" si="95"/>
        <v>Clean</v>
      </c>
      <c r="AV709" s="8" t="str">
        <f t="shared" si="96"/>
        <v>Refund</v>
      </c>
    </row>
    <row r="710" spans="1:48">
      <c r="A710" s="3" t="s">
        <v>3577</v>
      </c>
      <c r="B710" s="3" t="s">
        <v>3578</v>
      </c>
      <c r="C710" s="9">
        <f>IFERROR(DATEVALUE(TEXT(B710,"DD/MM/YYYY")), IF(ISNUMBER(B710), B710, ""))</f>
        <v>45876</v>
      </c>
      <c r="D710" s="9" t="str">
        <f>IF(B710="","Missing", IF(AND(ISNUMBER(B710)=FALSE, C710=""),"Invalid - Could Not Parse", IF(AND(ISNUMBER(B710)=FALSE, C710&lt;&gt;""),"Text - Converted to Date", IF(ISNUMBER(B710),"Valid","Check"))))</f>
        <v>Text - Converted to Date</v>
      </c>
      <c r="E710" s="5">
        <f t="shared" si="89"/>
        <v>8</v>
      </c>
      <c r="F710" s="5">
        <f t="shared" si="90"/>
        <v>2025</v>
      </c>
      <c r="G710" s="3" t="s">
        <v>1799</v>
      </c>
      <c r="H710" s="9">
        <f>IFERROR(DATEVALUE(TEXT(G710,"DD/MM/YYYY")), IF(ISNUMBER(G710), G710, ""))</f>
        <v>45876</v>
      </c>
      <c r="I710" s="9" t="str">
        <f>IF(G710="","Missing", IF(AND(ISNUMBER(G710)=FALSE, H710=""),"Invalid - Could Not Parse", IF(AND(ISNUMBER(G710)=FALSE, H710&lt;&gt;""),"Text - Converted to Date", IF(ISNUMBER(G710),"Valid","Check"))))</f>
        <v>Text - Converted to Date</v>
      </c>
      <c r="J710" s="9" t="str">
        <f>IF(OR(C710="", H710=""), "Cannot Check - Date Missing", IF(H710&lt;C710, "Invalid - Ship Before Order", "Valid"))</f>
        <v>Valid</v>
      </c>
      <c r="K710" s="5">
        <f>IF(OR(C710="", H710=""), "", IF(H710&lt;C710, "", H710-C710))</f>
        <v>0</v>
      </c>
      <c r="L710" s="3" t="s">
        <v>3579</v>
      </c>
      <c r="M710" s="3" t="s">
        <v>366</v>
      </c>
      <c r="N710" s="4" t="str">
        <f>TRIM(SUBSTITUTE(M710,"_"," "))</f>
        <v>Kabir Singh</v>
      </c>
      <c r="O710" s="3" t="s">
        <v>26</v>
      </c>
      <c r="P710" s="6" t="str">
        <f>PROPER(TRIM(SUBSTITUTE(O710,".","")))</f>
        <v>Consumer</v>
      </c>
      <c r="Q710" s="3" t="s">
        <v>73</v>
      </c>
      <c r="R710" s="7" t="str">
        <f>PROPER(TRIM(SUBSTITUTE(Q710,"  "," ")))</f>
        <v>West</v>
      </c>
      <c r="S710" s="3" t="s">
        <v>28</v>
      </c>
      <c r="T710" s="6" t="str">
        <f>PROPER(TRIM(SUBSTITUTE(S710,"  "," ")))</f>
        <v>Rajasthan</v>
      </c>
      <c r="U710" s="3" t="s">
        <v>135</v>
      </c>
      <c r="V710" s="6" t="str">
        <f>PROPER(TRIM(SUBSTITUTE(U710,"  "," ")))</f>
        <v>Udaipur</v>
      </c>
      <c r="W710" s="3" t="s">
        <v>86</v>
      </c>
      <c r="X710" s="6" t="str">
        <f>PROPER(TRIM(SUBSTITUTE(W710,"  "," ")))</f>
        <v>Technology</v>
      </c>
      <c r="Y710" s="3" t="s">
        <v>382</v>
      </c>
      <c r="Z710" s="6" t="str">
        <f>PROPER(TRIM(SUBSTITUTE(Y710,"  "," ")))</f>
        <v>Machines</v>
      </c>
      <c r="AA710" s="3" t="s">
        <v>3580</v>
      </c>
      <c r="AB710" s="3"/>
      <c r="AC710" s="11" t="str">
        <f>IF(ISBLANK(AB710), "Unknown", AB710)</f>
        <v>Unknown</v>
      </c>
      <c r="AD710" s="3">
        <v>9</v>
      </c>
      <c r="AE710" s="3">
        <v>1076.75</v>
      </c>
      <c r="AF710" s="3">
        <v>0.2</v>
      </c>
      <c r="AG710" s="17">
        <v>0.2</v>
      </c>
      <c r="AH710" s="6" t="str">
        <f t="shared" si="91"/>
        <v>Valid</v>
      </c>
      <c r="AI710" s="3">
        <v>7752.6</v>
      </c>
      <c r="AJ710" s="3">
        <v>4689.3</v>
      </c>
      <c r="AK710" s="3">
        <v>3063.3</v>
      </c>
      <c r="AL710" s="3" t="s">
        <v>34</v>
      </c>
      <c r="AM710" s="6" t="str">
        <f>PROPER(TRIM(SUBSTITUTE(AL710,".","")))</f>
        <v>Paid</v>
      </c>
      <c r="AN710" s="3" t="s">
        <v>35</v>
      </c>
      <c r="AO710" s="8" t="str">
        <f>PROPER(TRIM(SUBSTITUTE(AN710,".","")))</f>
        <v>Completed</v>
      </c>
      <c r="AP710" t="str">
        <f>IF(COUNTIF($A$2:$A$933, A710) &gt; 1, "Duplicate ID", "Unique")</f>
        <v>Unique</v>
      </c>
      <c r="AR710">
        <f t="shared" si="92"/>
        <v>7752.6</v>
      </c>
      <c r="AS710">
        <f t="shared" si="93"/>
        <v>3063.3</v>
      </c>
      <c r="AT710" s="15">
        <f t="shared" si="94"/>
        <v>0.39513195573098059</v>
      </c>
      <c r="AU710" t="str">
        <f t="shared" si="95"/>
        <v>Clean</v>
      </c>
      <c r="AV710" s="8" t="str">
        <f t="shared" si="96"/>
        <v>Active</v>
      </c>
    </row>
    <row r="711" spans="1:48">
      <c r="A711" s="3" t="s">
        <v>581</v>
      </c>
      <c r="B711" s="3" t="s">
        <v>582</v>
      </c>
      <c r="C711" s="9">
        <f>IFERROR(DATEVALUE(TEXT(B711,"DD/MM/YYYY")), IF(ISNUMBER(B711), B711, ""))</f>
        <v>45877</v>
      </c>
      <c r="D711" s="9" t="str">
        <f>IF(B711="","Missing", IF(AND(ISNUMBER(B711)=FALSE, C711=""),"Invalid - Could Not Parse", IF(AND(ISNUMBER(B711)=FALSE, C711&lt;&gt;""),"Text - Converted to Date", IF(ISNUMBER(B711),"Valid","Check"))))</f>
        <v>Text - Converted to Date</v>
      </c>
      <c r="E711" s="5">
        <f t="shared" si="89"/>
        <v>8</v>
      </c>
      <c r="F711" s="5">
        <f t="shared" si="90"/>
        <v>2025</v>
      </c>
      <c r="G711" s="3" t="s">
        <v>583</v>
      </c>
      <c r="H711" s="9">
        <f>IFERROR(DATEVALUE(TEXT(G711,"DD/MM/YYYY")), IF(ISNUMBER(G711), G711, ""))</f>
        <v>45880</v>
      </c>
      <c r="I711" s="9" t="str">
        <f>IF(G711="","Missing", IF(AND(ISNUMBER(G711)=FALSE, H711=""),"Invalid - Could Not Parse", IF(AND(ISNUMBER(G711)=FALSE, H711&lt;&gt;""),"Text - Converted to Date", IF(ISNUMBER(G711),"Valid","Check"))))</f>
        <v>Text - Converted to Date</v>
      </c>
      <c r="J711" s="9" t="str">
        <f>IF(OR(C711="", H711=""), "Cannot Check - Date Missing", IF(H711&lt;C711, "Invalid - Ship Before Order", "Valid"))</f>
        <v>Valid</v>
      </c>
      <c r="K711" s="5">
        <f>IF(OR(C711="", H711=""), "", IF(H711&lt;C711, "", H711-C711))</f>
        <v>3</v>
      </c>
      <c r="L711" s="3" t="s">
        <v>584</v>
      </c>
      <c r="M711" s="3" t="s">
        <v>210</v>
      </c>
      <c r="N711" s="4" t="str">
        <f>TRIM(SUBSTITUTE(M711,"_"," "))</f>
        <v>Diya Patel</v>
      </c>
      <c r="O711" s="3" t="s">
        <v>41</v>
      </c>
      <c r="P711" s="6" t="str">
        <f>PROPER(TRIM(SUBSTITUTE(O711,".","")))</f>
        <v>Small Business</v>
      </c>
      <c r="Q711" s="3" t="s">
        <v>73</v>
      </c>
      <c r="R711" s="7" t="str">
        <f>PROPER(TRIM(SUBSTITUTE(Q711,"  "," ")))</f>
        <v>West</v>
      </c>
      <c r="S711" s="3" t="s">
        <v>235</v>
      </c>
      <c r="T711" s="6" t="str">
        <f>PROPER(TRIM(SUBSTITUTE(S711,"  "," ")))</f>
        <v>Gujarat</v>
      </c>
      <c r="U711" s="3" t="s">
        <v>236</v>
      </c>
      <c r="V711" s="6" t="str">
        <f>PROPER(TRIM(SUBSTITUTE(U711,"  "," ")))</f>
        <v>Ahmedabad</v>
      </c>
      <c r="W711" s="3" t="s">
        <v>30</v>
      </c>
      <c r="X711" s="6" t="str">
        <f>PROPER(TRIM(SUBSTITUTE(W711,"  "," ")))</f>
        <v>Office Supplies</v>
      </c>
      <c r="Y711" s="3" t="s">
        <v>156</v>
      </c>
      <c r="Z711" s="6" t="str">
        <f>PROPER(TRIM(SUBSTITUTE(Y711,"  "," ")))</f>
        <v>Storage</v>
      </c>
      <c r="AA711" s="3" t="s">
        <v>585</v>
      </c>
      <c r="AB711" s="3" t="s">
        <v>48</v>
      </c>
      <c r="AC711" s="6" t="str">
        <f>PROPER(TRIM(SUBSTITUTE(AB711,"  "," ")))</f>
        <v>Same Day</v>
      </c>
      <c r="AD711" s="3">
        <v>5</v>
      </c>
      <c r="AE711" s="3">
        <v>3602.36</v>
      </c>
      <c r="AF711" s="3">
        <v>0.2</v>
      </c>
      <c r="AG711" s="17">
        <v>0.2</v>
      </c>
      <c r="AH711" s="6" t="str">
        <f t="shared" si="91"/>
        <v>Valid</v>
      </c>
      <c r="AI711" s="3">
        <v>14409.44</v>
      </c>
      <c r="AJ711" s="3">
        <v>8809.9699999999993</v>
      </c>
      <c r="AK711" s="3">
        <v>5599.47</v>
      </c>
      <c r="AL711" s="3" t="s">
        <v>137</v>
      </c>
      <c r="AM711" s="6" t="str">
        <f>PROPER(TRIM(SUBSTITUTE(AL711,".","")))</f>
        <v>Pending</v>
      </c>
      <c r="AN711" s="3" t="s">
        <v>125</v>
      </c>
      <c r="AO711" s="8" t="str">
        <f>PROPER(TRIM(SUBSTITUTE(AN711,".","")))</f>
        <v>Returned</v>
      </c>
      <c r="AP711" t="str">
        <f>IF(COUNTIF($A$2:$A$933, A711) &gt; 1, "Duplicate ID", "Unique")</f>
        <v>Unique</v>
      </c>
      <c r="AR711">
        <f t="shared" si="92"/>
        <v>14409.44</v>
      </c>
      <c r="AS711">
        <f t="shared" si="93"/>
        <v>5599.4700000000012</v>
      </c>
      <c r="AT711" s="15">
        <f t="shared" si="94"/>
        <v>0.38859733619071951</v>
      </c>
      <c r="AU711" t="str">
        <f t="shared" si="95"/>
        <v>Warning</v>
      </c>
      <c r="AV711" s="8" t="str">
        <f t="shared" si="96"/>
        <v>Active</v>
      </c>
    </row>
    <row r="712" spans="1:48">
      <c r="A712" s="3" t="s">
        <v>1342</v>
      </c>
      <c r="B712" s="3" t="s">
        <v>1343</v>
      </c>
      <c r="C712" s="9">
        <f>IFERROR(DATEVALUE(TEXT(B712,"DD/MM/YYYY")), IF(ISNUMBER(B712), B712, ""))</f>
        <v>45878</v>
      </c>
      <c r="D712" s="9" t="str">
        <f>IF(B712="","Missing", IF(AND(ISNUMBER(B712)=FALSE, C712=""),"Invalid - Could Not Parse", IF(AND(ISNUMBER(B712)=FALSE, C712&lt;&gt;""),"Text - Converted to Date", IF(ISNUMBER(B712),"Valid","Check"))))</f>
        <v>Text - Converted to Date</v>
      </c>
      <c r="E712" s="5">
        <f t="shared" si="89"/>
        <v>8</v>
      </c>
      <c r="F712" s="5">
        <f t="shared" si="90"/>
        <v>2025</v>
      </c>
      <c r="G712" s="3" t="s">
        <v>1344</v>
      </c>
      <c r="H712" s="9">
        <f>IFERROR(DATEVALUE(TEXT(G712,"DD/MM/YYYY")), IF(ISNUMBER(G712), G712, ""))</f>
        <v>45881</v>
      </c>
      <c r="I712" s="9" t="str">
        <f>IF(G712="","Missing", IF(AND(ISNUMBER(G712)=FALSE, H712=""),"Invalid - Could Not Parse", IF(AND(ISNUMBER(G712)=FALSE, H712&lt;&gt;""),"Text - Converted to Date", IF(ISNUMBER(G712),"Valid","Check"))))</f>
        <v>Text - Converted to Date</v>
      </c>
      <c r="J712" s="9" t="str">
        <f>IF(OR(C712="", H712=""), "Cannot Check - Date Missing", IF(H712&lt;C712, "Invalid - Ship Before Order", "Valid"))</f>
        <v>Valid</v>
      </c>
      <c r="K712" s="5">
        <f>IF(OR(C712="", H712=""), "", IF(H712&lt;C712, "", H712-C712))</f>
        <v>3</v>
      </c>
      <c r="L712" s="3" t="s">
        <v>1345</v>
      </c>
      <c r="M712" s="3" t="s">
        <v>210</v>
      </c>
      <c r="N712" s="4" t="str">
        <f>TRIM(SUBSTITUTE(M712,"_"," "))</f>
        <v>Diya Patel</v>
      </c>
      <c r="O712" s="3" t="s">
        <v>108</v>
      </c>
      <c r="P712" s="6" t="str">
        <f>PROPER(TRIM(SUBSTITUTE(O712,".","")))</f>
        <v>Corporate</v>
      </c>
      <c r="Q712" s="3" t="s">
        <v>62</v>
      </c>
      <c r="R712" s="7" t="str">
        <f>PROPER(TRIM(SUBSTITUTE(Q712,"  "," ")))</f>
        <v>South</v>
      </c>
      <c r="S712" s="3" t="s">
        <v>229</v>
      </c>
      <c r="T712" s="6" t="str">
        <f>PROPER(TRIM(SUBSTITUTE(S712,"  "," ")))</f>
        <v>Karnataka</v>
      </c>
      <c r="U712" s="3" t="s">
        <v>230</v>
      </c>
      <c r="V712" s="6" t="str">
        <f>PROPER(TRIM(SUBSTITUTE(U712,"  "," ")))</f>
        <v>Bengaluru</v>
      </c>
      <c r="W712" s="3" t="s">
        <v>86</v>
      </c>
      <c r="X712" s="6" t="str">
        <f>PROPER(TRIM(SUBSTITUTE(W712,"  "," ")))</f>
        <v>Technology</v>
      </c>
      <c r="Y712" s="3" t="s">
        <v>87</v>
      </c>
      <c r="Z712" s="6" t="str">
        <f>PROPER(TRIM(SUBSTITUTE(Y712,"  "," ")))</f>
        <v>Accessories</v>
      </c>
      <c r="AA712" s="3" t="s">
        <v>1346</v>
      </c>
      <c r="AB712" s="3" t="s">
        <v>33</v>
      </c>
      <c r="AC712" s="6" t="str">
        <f>PROPER(TRIM(SUBSTITUTE(AB712,"  "," ")))</f>
        <v>Second Class</v>
      </c>
      <c r="AD712" s="3">
        <v>2</v>
      </c>
      <c r="AE712" s="3">
        <v>3237.27</v>
      </c>
      <c r="AF712" s="3">
        <v>0</v>
      </c>
      <c r="AG712" s="17">
        <v>0</v>
      </c>
      <c r="AH712" s="6" t="str">
        <f t="shared" si="91"/>
        <v>Valid</v>
      </c>
      <c r="AI712" s="3">
        <v>6474.54</v>
      </c>
      <c r="AJ712" s="3">
        <v>5095.91</v>
      </c>
      <c r="AK712" s="3">
        <v>1378.63</v>
      </c>
      <c r="AL712" s="3" t="s">
        <v>34</v>
      </c>
      <c r="AM712" s="6" t="str">
        <f>PROPER(TRIM(SUBSTITUTE(AL712,".","")))</f>
        <v>Paid</v>
      </c>
      <c r="AN712" s="3" t="s">
        <v>78</v>
      </c>
      <c r="AO712" s="8" t="str">
        <f>PROPER(TRIM(SUBSTITUTE(AN712,".","")))</f>
        <v>Cancelled</v>
      </c>
      <c r="AP712" t="str">
        <f>IF(COUNTIF($A$2:$A$933, A712) &gt; 1, "Duplicate ID", "Unique")</f>
        <v>Unique</v>
      </c>
      <c r="AR712">
        <f t="shared" si="92"/>
        <v>6474.54</v>
      </c>
      <c r="AS712">
        <f t="shared" si="93"/>
        <v>1378.63</v>
      </c>
      <c r="AT712" s="15">
        <f t="shared" si="94"/>
        <v>0.21293095725719513</v>
      </c>
      <c r="AU712" t="str">
        <f t="shared" si="95"/>
        <v>Clean</v>
      </c>
      <c r="AV712" s="8" t="str">
        <f t="shared" si="96"/>
        <v>Cancelled</v>
      </c>
    </row>
    <row r="713" spans="1:48">
      <c r="A713" s="3" t="s">
        <v>2731</v>
      </c>
      <c r="B713" s="3" t="s">
        <v>2732</v>
      </c>
      <c r="C713" s="9">
        <f>IFERROR(DATEVALUE(TEXT(B713,"DD/MM/YYYY")), IF(ISNUMBER(B713), B713, ""))</f>
        <v>45878</v>
      </c>
      <c r="D713" s="9" t="str">
        <f>IF(B713="","Missing", IF(AND(ISNUMBER(B713)=FALSE, C713=""),"Invalid - Could Not Parse", IF(AND(ISNUMBER(B713)=FALSE, C713&lt;&gt;""),"Text - Converted to Date", IF(ISNUMBER(B713),"Valid","Check"))))</f>
        <v>Text - Converted to Date</v>
      </c>
      <c r="E713" s="5">
        <f t="shared" si="89"/>
        <v>8</v>
      </c>
      <c r="F713" s="5">
        <f t="shared" si="90"/>
        <v>2025</v>
      </c>
      <c r="G713" s="3" t="s">
        <v>2733</v>
      </c>
      <c r="H713" s="9">
        <f>IFERROR(DATEVALUE(TEXT(G713,"DD/MM/YYYY")), IF(ISNUMBER(G713), G713, ""))</f>
        <v>45910</v>
      </c>
      <c r="I713" s="9" t="str">
        <f>IF(G713="","Missing", IF(AND(ISNUMBER(G713)=FALSE, H713=""),"Invalid - Could Not Parse", IF(AND(ISNUMBER(G713)=FALSE, H713&lt;&gt;""),"Text - Converted to Date", IF(ISNUMBER(G713),"Valid","Check"))))</f>
        <v>Text - Converted to Date</v>
      </c>
      <c r="J713" s="9" t="str">
        <f>IF(OR(C713="", H713=""), "Cannot Check - Date Missing", IF(H713&lt;C713, "Invalid - Ship Before Order", "Valid"))</f>
        <v>Valid</v>
      </c>
      <c r="K713" s="5">
        <f>IF(OR(C713="", H713=""), "", IF(H713&lt;C713, "", H713-C713))</f>
        <v>32</v>
      </c>
      <c r="L713" s="3" t="s">
        <v>2734</v>
      </c>
      <c r="M713" s="3" t="s">
        <v>148</v>
      </c>
      <c r="N713" s="4" t="str">
        <f>TRIM(SUBSTITUTE(M713,"_"," "))</f>
        <v>Rahul Verma</v>
      </c>
      <c r="O713" s="3" t="s">
        <v>115</v>
      </c>
      <c r="P713" s="6" t="str">
        <f>PROPER(TRIM(SUBSTITUTE(O713,".","")))</f>
        <v>Home Office</v>
      </c>
      <c r="Q713" s="3" t="s">
        <v>73</v>
      </c>
      <c r="R713" s="7" t="str">
        <f>PROPER(TRIM(SUBSTITUTE(Q713,"  "," ")))</f>
        <v>West</v>
      </c>
      <c r="S713" s="3" t="s">
        <v>74</v>
      </c>
      <c r="T713" s="6" t="str">
        <f>PROPER(TRIM(SUBSTITUTE(S713,"  "," ")))</f>
        <v>Maharashtra</v>
      </c>
      <c r="U713" s="3" t="s">
        <v>75</v>
      </c>
      <c r="V713" s="6" t="str">
        <f>PROPER(TRIM(SUBSTITUTE(U713,"  "," ")))</f>
        <v>Mumbai</v>
      </c>
      <c r="W713" s="3" t="s">
        <v>45</v>
      </c>
      <c r="X713" s="6" t="str">
        <f>PROPER(TRIM(SUBSTITUTE(W713,"  "," ")))</f>
        <v>Furniture</v>
      </c>
      <c r="Y713" s="3" t="s">
        <v>65</v>
      </c>
      <c r="Z713" s="6" t="str">
        <f>PROPER(TRIM(SUBSTITUTE(Y713,"  "," ")))</f>
        <v>Furnishings</v>
      </c>
      <c r="AA713" s="3" t="s">
        <v>2735</v>
      </c>
      <c r="AB713" s="3" t="s">
        <v>67</v>
      </c>
      <c r="AC713" s="6" t="str">
        <f>PROPER(TRIM(SUBSTITUTE(AB713,"  "," ")))</f>
        <v>Standard Class</v>
      </c>
      <c r="AD713" s="3">
        <v>6</v>
      </c>
      <c r="AE713" s="3">
        <v>3251.17</v>
      </c>
      <c r="AF713" s="3">
        <v>0.25</v>
      </c>
      <c r="AG713" s="17">
        <v>0.25</v>
      </c>
      <c r="AH713" s="6" t="str">
        <f t="shared" si="91"/>
        <v>Valid</v>
      </c>
      <c r="AI713" s="3">
        <v>14630.26</v>
      </c>
      <c r="AJ713" s="3">
        <v>11906.36</v>
      </c>
      <c r="AK713" s="3">
        <v>2723.9</v>
      </c>
      <c r="AL713" s="3" t="s">
        <v>124</v>
      </c>
      <c r="AM713" s="6" t="str">
        <f>PROPER(TRIM(SUBSTITUTE(AL713,".","")))</f>
        <v>Refunded</v>
      </c>
      <c r="AN713" s="3" t="s">
        <v>125</v>
      </c>
      <c r="AO713" s="8" t="str">
        <f>PROPER(TRIM(SUBSTITUTE(AN713,".","")))</f>
        <v>Returned</v>
      </c>
      <c r="AP713" t="str">
        <f>IF(COUNTIF($A$2:$A$933, A713) &gt; 1, "Duplicate ID", "Unique")</f>
        <v>Unique</v>
      </c>
      <c r="AR713">
        <f t="shared" si="92"/>
        <v>14630.264999999999</v>
      </c>
      <c r="AS713">
        <f t="shared" si="93"/>
        <v>2723.9049999999988</v>
      </c>
      <c r="AT713" s="15">
        <f t="shared" si="94"/>
        <v>0.18618288868998606</v>
      </c>
      <c r="AU713" t="str">
        <f t="shared" si="95"/>
        <v>Clean</v>
      </c>
      <c r="AV713" s="8" t="str">
        <f t="shared" si="96"/>
        <v>Refund</v>
      </c>
    </row>
    <row r="714" spans="1:48">
      <c r="A714" s="3" t="s">
        <v>2783</v>
      </c>
      <c r="B714" s="3" t="s">
        <v>1343</v>
      </c>
      <c r="C714" s="9">
        <f>IFERROR(DATEVALUE(TEXT(B714,"DD/MM/YYYY")), IF(ISNUMBER(B714), B714, ""))</f>
        <v>45878</v>
      </c>
      <c r="D714" s="9" t="str">
        <f>IF(B714="","Missing", IF(AND(ISNUMBER(B714)=FALSE, C714=""),"Invalid - Could Not Parse", IF(AND(ISNUMBER(B714)=FALSE, C714&lt;&gt;""),"Text - Converted to Date", IF(ISNUMBER(B714),"Valid","Check"))))</f>
        <v>Text - Converted to Date</v>
      </c>
      <c r="E714" s="5">
        <f t="shared" si="89"/>
        <v>8</v>
      </c>
      <c r="F714" s="5">
        <f t="shared" si="90"/>
        <v>2025</v>
      </c>
      <c r="G714" s="3" t="s">
        <v>2784</v>
      </c>
      <c r="H714" s="9">
        <f>IFERROR(DATEVALUE(TEXT(G714,"DD/MM/YYYY")), IF(ISNUMBER(G714), G714, ""))</f>
        <v>45938</v>
      </c>
      <c r="I714" s="9" t="str">
        <f>IF(G714="","Missing", IF(AND(ISNUMBER(G714)=FALSE, H714=""),"Invalid - Could Not Parse", IF(AND(ISNUMBER(G714)=FALSE, H714&lt;&gt;""),"Text - Converted to Date", IF(ISNUMBER(G714),"Valid","Check"))))</f>
        <v>Text - Converted to Date</v>
      </c>
      <c r="J714" s="9" t="str">
        <f>IF(OR(C714="", H714=""), "Cannot Check - Date Missing", IF(H714&lt;C714, "Invalid - Ship Before Order", "Valid"))</f>
        <v>Valid</v>
      </c>
      <c r="K714" s="5">
        <f>IF(OR(C714="", H714=""), "", IF(H714&lt;C714, "", H714-C714))</f>
        <v>60</v>
      </c>
      <c r="L714" s="3" t="s">
        <v>2785</v>
      </c>
      <c r="M714" s="3" t="s">
        <v>93</v>
      </c>
      <c r="N714" s="4" t="str">
        <f>TRIM(SUBSTITUTE(M714,"_"," "))</f>
        <v>Neha Gupta</v>
      </c>
      <c r="O714" s="3" t="s">
        <v>26</v>
      </c>
      <c r="P714" s="6" t="str">
        <f>PROPER(TRIM(SUBSTITUTE(O714,".","")))</f>
        <v>Consumer</v>
      </c>
      <c r="Q714" s="3" t="s">
        <v>27</v>
      </c>
      <c r="R714" s="7" t="str">
        <f>PROPER(TRIM(SUBSTITUTE(Q714,"  "," ")))</f>
        <v>North</v>
      </c>
      <c r="S714" s="3" t="s">
        <v>506</v>
      </c>
      <c r="T714" s="6" t="str">
        <f>PROPER(TRIM(SUBSTITUTE(S714,"  "," ")))</f>
        <v>Delhi</v>
      </c>
      <c r="U714" s="3" t="s">
        <v>507</v>
      </c>
      <c r="V714" s="6" t="str">
        <f>PROPER(TRIM(SUBSTITUTE(U714,"  "," ")))</f>
        <v>New Delhi</v>
      </c>
      <c r="W714" s="3" t="s">
        <v>30</v>
      </c>
      <c r="X714" s="6" t="str">
        <f>PROPER(TRIM(SUBSTITUTE(W714,"  "," ")))</f>
        <v>Office Supplies</v>
      </c>
      <c r="Y714" s="3" t="s">
        <v>54</v>
      </c>
      <c r="Z714" s="6" t="str">
        <f>PROPER(TRIM(SUBSTITUTE(Y714,"  "," ")))</f>
        <v>Art</v>
      </c>
      <c r="AA714" s="3" t="s">
        <v>2786</v>
      </c>
      <c r="AB714" s="3" t="s">
        <v>33</v>
      </c>
      <c r="AC714" s="6" t="str">
        <f>PROPER(TRIM(SUBSTITUTE(AB714,"  "," ")))</f>
        <v>Second Class</v>
      </c>
      <c r="AD714" s="3">
        <v>4</v>
      </c>
      <c r="AE714" s="3">
        <v>4080.95</v>
      </c>
      <c r="AF714" s="3">
        <v>0</v>
      </c>
      <c r="AG714" s="17">
        <v>0</v>
      </c>
      <c r="AH714" s="6" t="str">
        <f t="shared" si="91"/>
        <v>Valid</v>
      </c>
      <c r="AI714" s="3">
        <v>16323.8</v>
      </c>
      <c r="AJ714" s="3">
        <v>9965.7900000000009</v>
      </c>
      <c r="AK714" s="3">
        <v>6358.01</v>
      </c>
      <c r="AL714" s="3" t="s">
        <v>124</v>
      </c>
      <c r="AM714" s="6" t="str">
        <f>PROPER(TRIM(SUBSTITUTE(AL714,".","")))</f>
        <v>Refunded</v>
      </c>
      <c r="AN714" s="3" t="s">
        <v>125</v>
      </c>
      <c r="AO714" s="8" t="str">
        <f>PROPER(TRIM(SUBSTITUTE(AN714,".","")))</f>
        <v>Returned</v>
      </c>
      <c r="AP714" t="str">
        <f>IF(COUNTIF($A$2:$A$933, A714) &gt; 1, "Duplicate ID", "Unique")</f>
        <v>Unique</v>
      </c>
      <c r="AR714">
        <f t="shared" si="92"/>
        <v>16323.8</v>
      </c>
      <c r="AS714">
        <f t="shared" si="93"/>
        <v>6358.0099999999984</v>
      </c>
      <c r="AT714" s="15">
        <f t="shared" si="94"/>
        <v>0.38949325524693995</v>
      </c>
      <c r="AU714" t="str">
        <f t="shared" si="95"/>
        <v>Clean</v>
      </c>
      <c r="AV714" s="8" t="str">
        <f t="shared" si="96"/>
        <v>Refund</v>
      </c>
    </row>
    <row r="715" spans="1:48">
      <c r="A715" s="3" t="s">
        <v>1923</v>
      </c>
      <c r="B715" s="3" t="s">
        <v>944</v>
      </c>
      <c r="C715" s="9">
        <f>IFERROR(DATEVALUE(TEXT(B715,"DD/MM/YYYY")), IF(ISNUMBER(B715), B715, ""))</f>
        <v>45879</v>
      </c>
      <c r="D715" s="9" t="str">
        <f>IF(B715="","Missing", IF(AND(ISNUMBER(B715)=FALSE, C715=""),"Invalid - Could Not Parse", IF(AND(ISNUMBER(B715)=FALSE, C715&lt;&gt;""),"Text - Converted to Date", IF(ISNUMBER(B715),"Valid","Check"))))</f>
        <v>Text - Converted to Date</v>
      </c>
      <c r="E715" s="5">
        <f t="shared" si="89"/>
        <v>8</v>
      </c>
      <c r="F715" s="5">
        <f t="shared" si="90"/>
        <v>2025</v>
      </c>
      <c r="G715" s="3" t="s">
        <v>1118</v>
      </c>
      <c r="H715" s="9">
        <f>IFERROR(DATEVALUE(MID(G715,4,2) &amp; "/" &amp; LEFT(G715,2) &amp; "/" &amp; RIGHT(G715,4)), IF(ISNUMBER(G715), G715, IFERROR(DATEVALUE(G715), "")))</f>
        <v>45882</v>
      </c>
      <c r="I715" s="9" t="str">
        <f>IF(G715="","Missing", IF(AND(ISNUMBER(G715)=FALSE, H715=""),"Invalid - Could Not Parse", IF(AND(ISNUMBER(G715)=FALSE, H715&lt;&gt;""),"Text - Converted to Date", IF(ISNUMBER(G715),"Valid","Check"))))</f>
        <v>Text - Converted to Date</v>
      </c>
      <c r="J715" s="9" t="str">
        <f>IF(OR(C715="", H715=""), "Cannot Check - Date Missing", IF(H715&lt;C715, "Invalid - Ship Before Order", "Valid"))</f>
        <v>Valid</v>
      </c>
      <c r="K715" s="5">
        <f>IF(OR(C715="", H715=""), "", IF(H715&lt;C715, "", H715-C715))</f>
        <v>3</v>
      </c>
      <c r="L715" s="3" t="s">
        <v>1924</v>
      </c>
      <c r="M715" s="3" t="s">
        <v>142</v>
      </c>
      <c r="N715" s="4" t="str">
        <f>TRIM(SUBSTITUTE(M715,"_"," "))</f>
        <v>Priya Menon</v>
      </c>
      <c r="O715" s="3" t="s">
        <v>41</v>
      </c>
      <c r="P715" s="6" t="str">
        <f>PROPER(TRIM(SUBSTITUTE(O715,".","")))</f>
        <v>Small Business</v>
      </c>
      <c r="Q715" s="3" t="s">
        <v>73</v>
      </c>
      <c r="R715" s="7" t="str">
        <f>PROPER(TRIM(SUBSTITUTE(Q715,"  "," ")))</f>
        <v>West</v>
      </c>
      <c r="S715" s="3" t="s">
        <v>84</v>
      </c>
      <c r="T715" s="6" t="str">
        <f>PROPER(TRIM(SUBSTITUTE(S715,"  "," ")))</f>
        <v>Madhya Pradesh</v>
      </c>
      <c r="U715" s="3" t="s">
        <v>85</v>
      </c>
      <c r="V715" s="6" t="str">
        <f>PROPER(TRIM(SUBSTITUTE(U715,"  "," ")))</f>
        <v>Indore</v>
      </c>
      <c r="W715" s="3" t="s">
        <v>45</v>
      </c>
      <c r="X715" s="6" t="str">
        <f>PROPER(TRIM(SUBSTITUTE(W715,"  "," ")))</f>
        <v>Furniture</v>
      </c>
      <c r="Y715" s="3" t="s">
        <v>76</v>
      </c>
      <c r="Z715" s="6" t="str">
        <f>PROPER(TRIM(SUBSTITUTE(Y715,"  "," ")))</f>
        <v>Chairs</v>
      </c>
      <c r="AA715" s="3" t="s">
        <v>1925</v>
      </c>
      <c r="AB715" s="3" t="s">
        <v>67</v>
      </c>
      <c r="AC715" s="6" t="str">
        <f>PROPER(TRIM(SUBSTITUTE(AB715,"  "," ")))</f>
        <v>Standard Class</v>
      </c>
      <c r="AD715" s="3">
        <v>5</v>
      </c>
      <c r="AE715" s="3">
        <v>352.86</v>
      </c>
      <c r="AF715" s="3">
        <v>0</v>
      </c>
      <c r="AG715" s="17">
        <v>0</v>
      </c>
      <c r="AH715" s="6" t="str">
        <f t="shared" si="91"/>
        <v>Valid</v>
      </c>
      <c r="AI715" s="3">
        <v>1764.3</v>
      </c>
      <c r="AJ715" s="3">
        <v>1332.49</v>
      </c>
      <c r="AK715" s="3">
        <v>431.81</v>
      </c>
      <c r="AL715" s="3" t="s">
        <v>137</v>
      </c>
      <c r="AM715" s="6" t="str">
        <f>PROPER(TRIM(SUBSTITUTE(AL715,".","")))</f>
        <v>Pending</v>
      </c>
      <c r="AN715" s="3" t="s">
        <v>78</v>
      </c>
      <c r="AO715" s="8" t="str">
        <f>PROPER(TRIM(SUBSTITUTE(AN715,".","")))</f>
        <v>Cancelled</v>
      </c>
      <c r="AP715" t="str">
        <f>IF(COUNTIF($A$2:$A$933, A715) &gt; 1, "Duplicate ID", "Unique")</f>
        <v>Unique</v>
      </c>
      <c r="AR715">
        <f t="shared" si="92"/>
        <v>1764.3000000000002</v>
      </c>
      <c r="AS715">
        <f t="shared" si="93"/>
        <v>431.81000000000017</v>
      </c>
      <c r="AT715" s="15">
        <f t="shared" si="94"/>
        <v>0.24474862551720236</v>
      </c>
      <c r="AU715" t="str">
        <f t="shared" si="95"/>
        <v>Clean</v>
      </c>
      <c r="AV715" s="8" t="str">
        <f t="shared" si="96"/>
        <v>Cancelled</v>
      </c>
    </row>
    <row r="716" spans="1:48">
      <c r="A716" s="3" t="s">
        <v>2200</v>
      </c>
      <c r="B716" s="3" t="s">
        <v>944</v>
      </c>
      <c r="C716" s="9">
        <f>IFERROR(DATEVALUE(TEXT(B716,"DD/MM/YYYY")), IF(ISNUMBER(B716), B716, ""))</f>
        <v>45879</v>
      </c>
      <c r="D716" s="9" t="str">
        <f>IF(B716="","Missing", IF(AND(ISNUMBER(B716)=FALSE, C716=""),"Invalid - Could Not Parse", IF(AND(ISNUMBER(B716)=FALSE, C716&lt;&gt;""),"Text - Converted to Date", IF(ISNUMBER(B716),"Valid","Check"))))</f>
        <v>Text - Converted to Date</v>
      </c>
      <c r="E716" s="5">
        <f t="shared" si="89"/>
        <v>8</v>
      </c>
      <c r="F716" s="5">
        <f t="shared" si="90"/>
        <v>2025</v>
      </c>
      <c r="G716" s="3" t="s">
        <v>2201</v>
      </c>
      <c r="H716" s="9">
        <f>IFERROR(DATEVALUE(TEXT(G716,"DD/MM/YYYY")), IF(ISNUMBER(G716), G716, ""))</f>
        <v>45879</v>
      </c>
      <c r="I716" s="9" t="str">
        <f>IF(G716="","Missing", IF(AND(ISNUMBER(G716)=FALSE, H716=""),"Invalid - Could Not Parse", IF(AND(ISNUMBER(G716)=FALSE, H716&lt;&gt;""),"Text - Converted to Date", IF(ISNUMBER(G716),"Valid","Check"))))</f>
        <v>Text - Converted to Date</v>
      </c>
      <c r="J716" s="9" t="str">
        <f>IF(OR(C716="", H716=""), "Cannot Check - Date Missing", IF(H716&lt;C716, "Invalid - Ship Before Order", "Valid"))</f>
        <v>Valid</v>
      </c>
      <c r="K716" s="5">
        <f>IF(OR(C716="", H716=""), "", IF(H716&lt;C716, "", H716-C716))</f>
        <v>0</v>
      </c>
      <c r="L716" s="3" t="s">
        <v>2202</v>
      </c>
      <c r="M716" s="3" t="s">
        <v>180</v>
      </c>
      <c r="N716" s="4" t="str">
        <f>TRIM(SUBSTITUTE(M716,"_"," "))</f>
        <v>Rohan Mehta</v>
      </c>
      <c r="O716" s="3" t="s">
        <v>115</v>
      </c>
      <c r="P716" s="6" t="str">
        <f>PROPER(TRIM(SUBSTITUTE(O716,".","")))</f>
        <v>Home Office</v>
      </c>
      <c r="Q716" s="3" t="s">
        <v>62</v>
      </c>
      <c r="R716" s="7" t="str">
        <f>PROPER(TRIM(SUBSTITUTE(Q716,"  "," ")))</f>
        <v>South</v>
      </c>
      <c r="S716" s="3" t="s">
        <v>63</v>
      </c>
      <c r="T716" s="6" t="str">
        <f>PROPER(TRIM(SUBSTITUTE(S716,"  "," ")))</f>
        <v>Telangana</v>
      </c>
      <c r="U716" s="3" t="s">
        <v>64</v>
      </c>
      <c r="V716" s="6" t="str">
        <f>PROPER(TRIM(SUBSTITUTE(U716,"  "," ")))</f>
        <v>Hyderabad</v>
      </c>
      <c r="W716" s="3" t="s">
        <v>45</v>
      </c>
      <c r="X716" s="6" t="str">
        <f>PROPER(TRIM(SUBSTITUTE(W716,"  "," ")))</f>
        <v>Furniture</v>
      </c>
      <c r="Y716" s="3" t="s">
        <v>204</v>
      </c>
      <c r="Z716" s="6" t="str">
        <f>PROPER(TRIM(SUBSTITUTE(Y716,"  "," ")))</f>
        <v>Bookcases</v>
      </c>
      <c r="AA716" s="3" t="s">
        <v>2203</v>
      </c>
      <c r="AB716" s="3" t="s">
        <v>67</v>
      </c>
      <c r="AC716" s="6" t="str">
        <f>PROPER(TRIM(SUBSTITUTE(AB716,"  "," ")))</f>
        <v>Standard Class</v>
      </c>
      <c r="AD716" s="3">
        <v>6</v>
      </c>
      <c r="AE716" s="3">
        <v>4288.7</v>
      </c>
      <c r="AF716" s="3">
        <v>0.15</v>
      </c>
      <c r="AG716" s="17">
        <v>0.15</v>
      </c>
      <c r="AH716" s="6" t="str">
        <f t="shared" si="91"/>
        <v>Valid</v>
      </c>
      <c r="AI716" s="3">
        <v>21872.37</v>
      </c>
      <c r="AJ716" s="3">
        <v>13829.5</v>
      </c>
      <c r="AK716" s="3">
        <v>8042.87</v>
      </c>
      <c r="AL716" s="3" t="s">
        <v>137</v>
      </c>
      <c r="AM716" s="6" t="str">
        <f>PROPER(TRIM(SUBSTITUTE(AL716,".","")))</f>
        <v>Pending</v>
      </c>
      <c r="AN716" s="3" t="s">
        <v>125</v>
      </c>
      <c r="AO716" s="8" t="str">
        <f>PROPER(TRIM(SUBSTITUTE(AN716,".","")))</f>
        <v>Returned</v>
      </c>
      <c r="AP716" t="str">
        <f>IF(COUNTIF($A$2:$A$933, A716) &gt; 1, "Duplicate ID", "Unique")</f>
        <v>Unique</v>
      </c>
      <c r="AR716">
        <f t="shared" si="92"/>
        <v>21872.369999999995</v>
      </c>
      <c r="AS716">
        <f t="shared" si="93"/>
        <v>8042.8699999999953</v>
      </c>
      <c r="AT716" s="15">
        <f t="shared" si="94"/>
        <v>0.36771826738483288</v>
      </c>
      <c r="AU716" t="str">
        <f t="shared" si="95"/>
        <v>Clean</v>
      </c>
      <c r="AV716" s="8" t="str">
        <f t="shared" si="96"/>
        <v>Active</v>
      </c>
    </row>
    <row r="717" spans="1:48">
      <c r="A717" s="3" t="s">
        <v>3793</v>
      </c>
      <c r="B717" s="3" t="s">
        <v>3103</v>
      </c>
      <c r="C717" s="9">
        <f>IFERROR(DATEVALUE(TEXT(B717,"DD/MM/YYYY")), IF(ISNUMBER(B717), B717, ""))</f>
        <v>45879</v>
      </c>
      <c r="D717" s="9" t="str">
        <f>IF(B717="","Missing", IF(AND(ISNUMBER(B717)=FALSE, C717=""),"Invalid - Could Not Parse", IF(AND(ISNUMBER(B717)=FALSE, C717&lt;&gt;""),"Text - Converted to Date", IF(ISNUMBER(B717),"Valid","Check"))))</f>
        <v>Text - Converted to Date</v>
      </c>
      <c r="E717" s="5">
        <f t="shared" si="89"/>
        <v>8</v>
      </c>
      <c r="F717" s="5">
        <f t="shared" si="90"/>
        <v>2025</v>
      </c>
      <c r="G717" s="3" t="s">
        <v>3794</v>
      </c>
      <c r="H717" s="9">
        <f>IFERROR(DATEVALUE(TEXT(G717,"DD/MM/YYYY")), IF(ISNUMBER(G717), G717, ""))</f>
        <v>45883</v>
      </c>
      <c r="I717" s="9" t="str">
        <f>IF(G717="","Missing", IF(AND(ISNUMBER(G717)=FALSE, H717=""),"Invalid - Could Not Parse", IF(AND(ISNUMBER(G717)=FALSE, H717&lt;&gt;""),"Text - Converted to Date", IF(ISNUMBER(G717),"Valid","Check"))))</f>
        <v>Text - Converted to Date</v>
      </c>
      <c r="J717" s="9" t="str">
        <f>IF(OR(C717="", H717=""), "Cannot Check - Date Missing", IF(H717&lt;C717, "Invalid - Ship Before Order", "Valid"))</f>
        <v>Valid</v>
      </c>
      <c r="K717" s="5">
        <f>IF(OR(C717="", H717=""), "", IF(H717&lt;C717, "", H717-C717))</f>
        <v>4</v>
      </c>
      <c r="L717" s="3" t="s">
        <v>3795</v>
      </c>
      <c r="M717" s="3" t="s">
        <v>107</v>
      </c>
      <c r="N717" s="4" t="str">
        <f>TRIM(SUBSTITUTE(M717,"_"," "))</f>
        <v>Aditi Sen</v>
      </c>
      <c r="O717" s="3" t="s">
        <v>26</v>
      </c>
      <c r="P717" s="6" t="str">
        <f>PROPER(TRIM(SUBSTITUTE(O717,".","")))</f>
        <v>Consumer</v>
      </c>
      <c r="Q717" s="3" t="s">
        <v>73</v>
      </c>
      <c r="R717" s="7" t="str">
        <f>PROPER(TRIM(SUBSTITUTE(Q717,"  "," ")))</f>
        <v>West</v>
      </c>
      <c r="S717" s="3" t="s">
        <v>28</v>
      </c>
      <c r="T717" s="6" t="str">
        <f>PROPER(TRIM(SUBSTITUTE(S717,"  "," ")))</f>
        <v>Rajasthan</v>
      </c>
      <c r="U717" s="3" t="s">
        <v>135</v>
      </c>
      <c r="V717" s="6" t="str">
        <f>PROPER(TRIM(SUBSTITUTE(U717,"  "," ")))</f>
        <v>Udaipur</v>
      </c>
      <c r="W717" s="3" t="s">
        <v>86</v>
      </c>
      <c r="X717" s="6" t="str">
        <f>PROPER(TRIM(SUBSTITUTE(W717,"  "," ")))</f>
        <v>Technology</v>
      </c>
      <c r="Y717" s="3" t="s">
        <v>87</v>
      </c>
      <c r="Z717" s="6" t="str">
        <f>PROPER(TRIM(SUBSTITUTE(Y717,"  "," ")))</f>
        <v>Accessories</v>
      </c>
      <c r="AA717" s="3" t="s">
        <v>3796</v>
      </c>
      <c r="AB717" s="3" t="s">
        <v>67</v>
      </c>
      <c r="AC717" s="6" t="str">
        <f>PROPER(TRIM(SUBSTITUTE(AB717,"  "," ")))</f>
        <v>Standard Class</v>
      </c>
      <c r="AD717" s="3">
        <v>5</v>
      </c>
      <c r="AE717" s="3">
        <v>2190.14</v>
      </c>
      <c r="AF717" s="3">
        <v>0.25</v>
      </c>
      <c r="AG717" s="17">
        <v>0.25</v>
      </c>
      <c r="AH717" s="6" t="str">
        <f t="shared" si="91"/>
        <v>Valid</v>
      </c>
      <c r="AI717" s="3">
        <v>8213.02</v>
      </c>
      <c r="AJ717" s="3">
        <v>5569.3</v>
      </c>
      <c r="AK717" s="3">
        <v>2643.72</v>
      </c>
      <c r="AL717" s="3" t="s">
        <v>34</v>
      </c>
      <c r="AM717" s="6" t="str">
        <f>PROPER(TRIM(SUBSTITUTE(AL717,".","")))</f>
        <v>Paid</v>
      </c>
      <c r="AN717" s="3" t="s">
        <v>35</v>
      </c>
      <c r="AO717" s="8" t="str">
        <f>PROPER(TRIM(SUBSTITUTE(AN717,".","")))</f>
        <v>Completed</v>
      </c>
      <c r="AP717" t="str">
        <f>IF(COUNTIF($A$2:$A$933, A717) &gt; 1, "Duplicate ID", "Unique")</f>
        <v>Unique</v>
      </c>
      <c r="AR717">
        <f t="shared" si="92"/>
        <v>8213.0249999999996</v>
      </c>
      <c r="AS717">
        <f t="shared" si="93"/>
        <v>2643.7249999999995</v>
      </c>
      <c r="AT717" s="15">
        <f t="shared" si="94"/>
        <v>0.32189418636860345</v>
      </c>
      <c r="AU717" t="str">
        <f t="shared" si="95"/>
        <v>Clean</v>
      </c>
      <c r="AV717" s="8" t="str">
        <f t="shared" si="96"/>
        <v>Active</v>
      </c>
    </row>
    <row r="718" spans="1:48">
      <c r="A718" s="3" t="s">
        <v>3069</v>
      </c>
      <c r="B718" s="3" t="s">
        <v>3070</v>
      </c>
      <c r="C718" s="9">
        <f>IFERROR(DATEVALUE(TEXT(B718,"DD/MM/YYYY")), IF(ISNUMBER(B718), B718, ""))</f>
        <v>45880</v>
      </c>
      <c r="D718" s="9" t="str">
        <f>IF(B718="","Missing", IF(AND(ISNUMBER(B718)=FALSE, C718=""),"Invalid - Could Not Parse", IF(AND(ISNUMBER(B718)=FALSE, C718&lt;&gt;""),"Text - Converted to Date", IF(ISNUMBER(B718),"Valid","Check"))))</f>
        <v>Text - Converted to Date</v>
      </c>
      <c r="E718" s="5">
        <f t="shared" si="89"/>
        <v>8</v>
      </c>
      <c r="F718" s="5">
        <f t="shared" si="90"/>
        <v>2025</v>
      </c>
      <c r="G718" s="3" t="s">
        <v>3071</v>
      </c>
      <c r="H718" s="9">
        <f>IFERROR(DATEVALUE(TEXT(G718,"DD/MM/YYYY")), IF(ISNUMBER(G718), G718, ""))</f>
        <v>45888</v>
      </c>
      <c r="I718" s="9" t="str">
        <f>IF(G718="","Missing", IF(AND(ISNUMBER(G718)=FALSE, H718=""),"Invalid - Could Not Parse", IF(AND(ISNUMBER(G718)=FALSE, H718&lt;&gt;""),"Text - Converted to Date", IF(ISNUMBER(G718),"Valid","Check"))))</f>
        <v>Text - Converted to Date</v>
      </c>
      <c r="J718" s="9" t="str">
        <f>IF(OR(C718="", H718=""), "Cannot Check - Date Missing", IF(H718&lt;C718, "Invalid - Ship Before Order", "Valid"))</f>
        <v>Valid</v>
      </c>
      <c r="K718" s="5">
        <f>IF(OR(C718="", H718=""), "", IF(H718&lt;C718, "", H718-C718))</f>
        <v>8</v>
      </c>
      <c r="L718" s="3" t="s">
        <v>3072</v>
      </c>
      <c r="M718" s="3" t="s">
        <v>366</v>
      </c>
      <c r="N718" s="4" t="str">
        <f>TRIM(SUBSTITUTE(M718,"_"," "))</f>
        <v>Kabir Singh</v>
      </c>
      <c r="O718" s="3" t="s">
        <v>41</v>
      </c>
      <c r="P718" s="6" t="str">
        <f>PROPER(TRIM(SUBSTITUTE(O718,".","")))</f>
        <v>Small Business</v>
      </c>
      <c r="Q718" s="3" t="s">
        <v>62</v>
      </c>
      <c r="R718" s="7" t="str">
        <f>PROPER(TRIM(SUBSTITUTE(Q718,"  "," ")))</f>
        <v>South</v>
      </c>
      <c r="S718" s="3" t="s">
        <v>242</v>
      </c>
      <c r="T718" s="6" t="str">
        <f>PROPER(TRIM(SUBSTITUTE(S718,"  "," ")))</f>
        <v>Kerala</v>
      </c>
      <c r="U718" s="3" t="s">
        <v>243</v>
      </c>
      <c r="V718" s="6" t="str">
        <f>PROPER(TRIM(SUBSTITUTE(U718,"  "," ")))</f>
        <v>Kochi</v>
      </c>
      <c r="W718" s="3" t="s">
        <v>86</v>
      </c>
      <c r="X718" s="6" t="str">
        <f>PROPER(TRIM(SUBSTITUTE(W718,"  "," ")))</f>
        <v>Technology</v>
      </c>
      <c r="Y718" s="3" t="s">
        <v>87</v>
      </c>
      <c r="Z718" s="6" t="str">
        <f>PROPER(TRIM(SUBSTITUTE(Y718,"  "," ")))</f>
        <v>Accessories</v>
      </c>
      <c r="AA718" s="3" t="s">
        <v>3073</v>
      </c>
      <c r="AB718" s="3" t="s">
        <v>67</v>
      </c>
      <c r="AC718" s="6" t="str">
        <f>PROPER(TRIM(SUBSTITUTE(AB718,"  "," ")))</f>
        <v>Standard Class</v>
      </c>
      <c r="AD718" s="3">
        <v>4</v>
      </c>
      <c r="AE718" s="3">
        <v>2258.96</v>
      </c>
      <c r="AF718" s="3">
        <v>0.25</v>
      </c>
      <c r="AG718" s="17">
        <v>0.25</v>
      </c>
      <c r="AH718" s="6" t="str">
        <f t="shared" si="91"/>
        <v>Valid</v>
      </c>
      <c r="AI718" s="3">
        <v>6776.88</v>
      </c>
      <c r="AJ718" s="3">
        <v>3836.24</v>
      </c>
      <c r="AK718" s="3">
        <v>2940.64</v>
      </c>
      <c r="AL718" s="3" t="s">
        <v>34</v>
      </c>
      <c r="AM718" s="6" t="str">
        <f>PROPER(TRIM(SUBSTITUTE(AL718,".","")))</f>
        <v>Paid</v>
      </c>
      <c r="AN718" s="3" t="s">
        <v>35</v>
      </c>
      <c r="AO718" s="8" t="str">
        <f>PROPER(TRIM(SUBSTITUTE(AN718,".","")))</f>
        <v>Completed</v>
      </c>
      <c r="AP718" t="str">
        <f>IF(COUNTIF($A$2:$A$933, A718) &gt; 1, "Duplicate ID", "Unique")</f>
        <v>Unique</v>
      </c>
      <c r="AR718">
        <f t="shared" si="92"/>
        <v>6776.88</v>
      </c>
      <c r="AS718">
        <f t="shared" si="93"/>
        <v>2940.6400000000003</v>
      </c>
      <c r="AT718" s="15">
        <f t="shared" si="94"/>
        <v>0.43392239496641527</v>
      </c>
      <c r="AU718" t="str">
        <f t="shared" si="95"/>
        <v>Clean</v>
      </c>
      <c r="AV718" s="8" t="str">
        <f t="shared" si="96"/>
        <v>Active</v>
      </c>
    </row>
    <row r="719" spans="1:48">
      <c r="A719" s="3" t="s">
        <v>2186</v>
      </c>
      <c r="B719" s="3" t="s">
        <v>2187</v>
      </c>
      <c r="C719" s="9">
        <f>IFERROR(DATEVALUE(TEXT(B719,"DD/MM/YYYY")), IF(ISNUMBER(B719), B719, ""))</f>
        <v>45881</v>
      </c>
      <c r="D719" s="9" t="str">
        <f>IF(B719="","Missing", IF(AND(ISNUMBER(B719)=FALSE, C719=""),"Invalid - Could Not Parse", IF(AND(ISNUMBER(B719)=FALSE, C719&lt;&gt;""),"Text - Converted to Date", IF(ISNUMBER(B719),"Valid","Check"))))</f>
        <v>Text - Converted to Date</v>
      </c>
      <c r="E719" s="5">
        <f t="shared" si="89"/>
        <v>8</v>
      </c>
      <c r="F719" s="5">
        <f t="shared" si="90"/>
        <v>2025</v>
      </c>
      <c r="G719" s="3" t="s">
        <v>1859</v>
      </c>
      <c r="H719" s="9">
        <f>IFERROR(DATEVALUE(TEXT(G719,"DD/MM/YYYY")), IF(ISNUMBER(G719), G719, ""))</f>
        <v>45885</v>
      </c>
      <c r="I719" s="9" t="str">
        <f>IF(G719="","Missing", IF(AND(ISNUMBER(G719)=FALSE, H719=""),"Invalid - Could Not Parse", IF(AND(ISNUMBER(G719)=FALSE, H719&lt;&gt;""),"Text - Converted to Date", IF(ISNUMBER(G719),"Valid","Check"))))</f>
        <v>Text - Converted to Date</v>
      </c>
      <c r="J719" s="9" t="str">
        <f>IF(OR(C719="", H719=""), "Cannot Check - Date Missing", IF(H719&lt;C719, "Invalid - Ship Before Order", "Valid"))</f>
        <v>Valid</v>
      </c>
      <c r="K719" s="5">
        <f>IF(OR(C719="", H719=""), "", IF(H719&lt;C719, "", H719-C719))</f>
        <v>4</v>
      </c>
      <c r="L719" s="3" t="s">
        <v>2188</v>
      </c>
      <c r="M719" s="3" t="s">
        <v>72</v>
      </c>
      <c r="N719" s="4" t="str">
        <f>TRIM(SUBSTITUTE(M719,"_"," "))</f>
        <v>Ananya Rao</v>
      </c>
      <c r="O719" s="3" t="s">
        <v>26</v>
      </c>
      <c r="P719" s="6" t="str">
        <f>PROPER(TRIM(SUBSTITUTE(O719,".","")))</f>
        <v>Consumer</v>
      </c>
      <c r="Q719" s="3" t="s">
        <v>42</v>
      </c>
      <c r="R719" s="7" t="str">
        <f>PROPER(TRIM(SUBSTITUTE(Q719,"  "," ")))</f>
        <v>East</v>
      </c>
      <c r="S719" s="3" t="s">
        <v>216</v>
      </c>
      <c r="T719" s="6" t="str">
        <f>PROPER(TRIM(SUBSTITUTE(S719,"  "," ")))</f>
        <v>Assam</v>
      </c>
      <c r="U719" s="3" t="s">
        <v>217</v>
      </c>
      <c r="V719" s="6" t="str">
        <f>PROPER(TRIM(SUBSTITUTE(U719,"  "," ")))</f>
        <v>Guwahati</v>
      </c>
      <c r="W719" s="3" t="s">
        <v>86</v>
      </c>
      <c r="X719" s="6" t="str">
        <f>PROPER(TRIM(SUBSTITUTE(W719,"  "," ")))</f>
        <v>Technology</v>
      </c>
      <c r="Y719" s="3" t="s">
        <v>87</v>
      </c>
      <c r="Z719" s="6" t="str">
        <f>PROPER(TRIM(SUBSTITUTE(Y719,"  "," ")))</f>
        <v>Accessories</v>
      </c>
      <c r="AA719" s="3" t="s">
        <v>2189</v>
      </c>
      <c r="AB719" s="3" t="s">
        <v>48</v>
      </c>
      <c r="AC719" s="6" t="str">
        <f>PROPER(TRIM(SUBSTITUTE(AB719,"  "," ")))</f>
        <v>Same Day</v>
      </c>
      <c r="AD719" s="3">
        <v>9</v>
      </c>
      <c r="AE719" s="3">
        <v>2379.2399999999998</v>
      </c>
      <c r="AF719" s="3">
        <v>0.05</v>
      </c>
      <c r="AG719" s="17">
        <v>0.05</v>
      </c>
      <c r="AH719" s="6" t="str">
        <f t="shared" si="91"/>
        <v>Valid</v>
      </c>
      <c r="AI719" s="3">
        <v>20342.5</v>
      </c>
      <c r="AJ719" s="3">
        <v>12407.51</v>
      </c>
      <c r="AK719" s="3">
        <v>7934.99</v>
      </c>
      <c r="AL719" s="3" t="s">
        <v>34</v>
      </c>
      <c r="AM719" s="6" t="str">
        <f>PROPER(TRIM(SUBSTITUTE(AL719,".","")))</f>
        <v>Paid</v>
      </c>
      <c r="AN719" s="3" t="s">
        <v>35</v>
      </c>
      <c r="AO719" s="8" t="str">
        <f>PROPER(TRIM(SUBSTITUTE(AN719,".","")))</f>
        <v>Completed</v>
      </c>
      <c r="AP719" t="str">
        <f>IF(COUNTIF($A$2:$A$933, A719) &gt; 1, "Duplicate ID", "Unique")</f>
        <v>Unique</v>
      </c>
      <c r="AR719">
        <f t="shared" si="92"/>
        <v>20342.501999999997</v>
      </c>
      <c r="AS719">
        <f t="shared" si="93"/>
        <v>7934.9919999999966</v>
      </c>
      <c r="AT719" s="15">
        <f t="shared" si="94"/>
        <v>0.39006961877157481</v>
      </c>
      <c r="AU719" t="str">
        <f t="shared" si="95"/>
        <v>Clean</v>
      </c>
      <c r="AV719" s="8" t="str">
        <f t="shared" si="96"/>
        <v>Active</v>
      </c>
    </row>
    <row r="720" spans="1:48">
      <c r="A720" s="3" t="s">
        <v>238</v>
      </c>
      <c r="B720" s="3" t="s">
        <v>239</v>
      </c>
      <c r="C720" s="9">
        <f>IFERROR(DATEVALUE(TEXT(B720,"DD/MM/YYYY")), IF(ISNUMBER(B720), B720, ""))</f>
        <v>45882</v>
      </c>
      <c r="D720" s="9" t="str">
        <f>IF(B720="","Missing", IF(AND(ISNUMBER(B720)=FALSE, C720=""),"Invalid - Could Not Parse", IF(AND(ISNUMBER(B720)=FALSE, C720&lt;&gt;""),"Text - Converted to Date", IF(ISNUMBER(B720),"Valid","Check"))))</f>
        <v>Text - Converted to Date</v>
      </c>
      <c r="E720" s="5">
        <f t="shared" si="89"/>
        <v>8</v>
      </c>
      <c r="F720" s="5">
        <f t="shared" si="90"/>
        <v>2025</v>
      </c>
      <c r="G720" s="3" t="s">
        <v>240</v>
      </c>
      <c r="H720" s="9">
        <f>IFERROR(DATEVALUE(TEXT(G720,"DD/MM/YYYY")), IF(ISNUMBER(G720), G720, ""))</f>
        <v>45882</v>
      </c>
      <c r="I720" s="9" t="str">
        <f>IF(G720="","Missing", IF(AND(ISNUMBER(G720)=FALSE, H720=""),"Invalid - Could Not Parse", IF(AND(ISNUMBER(G720)=FALSE, H720&lt;&gt;""),"Text - Converted to Date", IF(ISNUMBER(G720),"Valid","Check"))))</f>
        <v>Text - Converted to Date</v>
      </c>
      <c r="J720" s="9" t="str">
        <f>IF(OR(C720="", H720=""), "Cannot Check - Date Missing", IF(H720&lt;C720, "Invalid - Ship Before Order", "Valid"))</f>
        <v>Valid</v>
      </c>
      <c r="K720" s="5">
        <f>IF(OR(C720="", H720=""), "", IF(H720&lt;C720, "", H720-C720))</f>
        <v>0</v>
      </c>
      <c r="L720" s="3" t="s">
        <v>241</v>
      </c>
      <c r="M720" s="3" t="s">
        <v>180</v>
      </c>
      <c r="N720" s="4" t="str">
        <f>TRIM(SUBSTITUTE(M720,"_"," "))</f>
        <v>Rohan Mehta</v>
      </c>
      <c r="O720" s="3" t="s">
        <v>115</v>
      </c>
      <c r="P720" s="6" t="str">
        <f>PROPER(TRIM(SUBSTITUTE(O720,".","")))</f>
        <v>Home Office</v>
      </c>
      <c r="Q720" s="3" t="s">
        <v>62</v>
      </c>
      <c r="R720" s="7" t="str">
        <f>PROPER(TRIM(SUBSTITUTE(Q720,"  "," ")))</f>
        <v>South</v>
      </c>
      <c r="S720" s="3" t="s">
        <v>242</v>
      </c>
      <c r="T720" s="6" t="str">
        <f>PROPER(TRIM(SUBSTITUTE(S720,"  "," ")))</f>
        <v>Kerala</v>
      </c>
      <c r="U720" s="3" t="s">
        <v>243</v>
      </c>
      <c r="V720" s="6" t="str">
        <f>PROPER(TRIM(SUBSTITUTE(U720,"  "," ")))</f>
        <v>Kochi</v>
      </c>
      <c r="W720" s="3" t="s">
        <v>86</v>
      </c>
      <c r="X720" s="6" t="str">
        <f>PROPER(TRIM(SUBSTITUTE(W720,"  "," ")))</f>
        <v>Technology</v>
      </c>
      <c r="Y720" s="3" t="s">
        <v>223</v>
      </c>
      <c r="Z720" s="6" t="str">
        <f>PROPER(TRIM(SUBSTITUTE(Y720,"  "," ")))</f>
        <v>Phones</v>
      </c>
      <c r="AA720" s="3" t="s">
        <v>244</v>
      </c>
      <c r="AB720" s="3" t="s">
        <v>67</v>
      </c>
      <c r="AC720" s="6" t="str">
        <f>PROPER(TRIM(SUBSTITUTE(AB720,"  "," ")))</f>
        <v>Standard Class</v>
      </c>
      <c r="AD720" s="3">
        <v>1</v>
      </c>
      <c r="AE720" s="3">
        <v>256.01</v>
      </c>
      <c r="AF720" s="3">
        <v>0.15</v>
      </c>
      <c r="AG720" s="17">
        <v>0.15</v>
      </c>
      <c r="AH720" s="6" t="str">
        <f t="shared" si="91"/>
        <v>Valid</v>
      </c>
      <c r="AI720" s="3">
        <v>217.61</v>
      </c>
      <c r="AJ720" s="3">
        <v>119.77</v>
      </c>
      <c r="AK720" s="3">
        <v>97.84</v>
      </c>
      <c r="AL720" s="3" t="s">
        <v>34</v>
      </c>
      <c r="AM720" s="6" t="str">
        <f>PROPER(TRIM(SUBSTITUTE(AL720,".","")))</f>
        <v>Paid</v>
      </c>
      <c r="AN720" s="3" t="s">
        <v>35</v>
      </c>
      <c r="AO720" s="8" t="str">
        <f>PROPER(TRIM(SUBSTITUTE(AN720,".","")))</f>
        <v>Completed</v>
      </c>
      <c r="AP720" t="str">
        <f>IF(COUNTIF($A$2:$A$933, A720) &gt; 1, "Duplicate ID", "Unique")</f>
        <v>Unique</v>
      </c>
      <c r="AR720">
        <f t="shared" si="92"/>
        <v>217.60849999999999</v>
      </c>
      <c r="AS720">
        <f t="shared" si="93"/>
        <v>97.838499999999996</v>
      </c>
      <c r="AT720" s="15">
        <f t="shared" si="94"/>
        <v>0.44960789675035673</v>
      </c>
      <c r="AU720" t="str">
        <f t="shared" si="95"/>
        <v>Clean</v>
      </c>
      <c r="AV720" s="8" t="str">
        <f t="shared" si="96"/>
        <v>Active</v>
      </c>
    </row>
    <row r="721" spans="1:48">
      <c r="A721" s="3" t="s">
        <v>2041</v>
      </c>
      <c r="B721" s="3" t="s">
        <v>240</v>
      </c>
      <c r="C721" s="9">
        <f>IFERROR(DATEVALUE(TEXT(B721,"DD/MM/YYYY")), IF(ISNUMBER(B721), B721, ""))</f>
        <v>45882</v>
      </c>
      <c r="D721" s="9" t="str">
        <f>IF(B721="","Missing", IF(AND(ISNUMBER(B721)=FALSE, C721=""),"Invalid - Could Not Parse", IF(AND(ISNUMBER(B721)=FALSE, C721&lt;&gt;""),"Text - Converted to Date", IF(ISNUMBER(B721),"Valid","Check"))))</f>
        <v>Text - Converted to Date</v>
      </c>
      <c r="E721" s="5">
        <f t="shared" si="89"/>
        <v>8</v>
      </c>
      <c r="F721" s="5">
        <f t="shared" si="90"/>
        <v>2025</v>
      </c>
      <c r="G721" s="3" t="s">
        <v>2042</v>
      </c>
      <c r="H721" s="9">
        <f>IFERROR(DATEVALUE(TEXT(G721,"DD/MM/YYYY")), IF(ISNUMBER(G721), G721, ""))</f>
        <v>45886</v>
      </c>
      <c r="I721" s="9" t="str">
        <f>IF(G721="","Missing", IF(AND(ISNUMBER(G721)=FALSE, H721=""),"Invalid - Could Not Parse", IF(AND(ISNUMBER(G721)=FALSE, H721&lt;&gt;""),"Text - Converted to Date", IF(ISNUMBER(G721),"Valid","Check"))))</f>
        <v>Text - Converted to Date</v>
      </c>
      <c r="J721" s="9" t="str">
        <f>IF(OR(C721="", H721=""), "Cannot Check - Date Missing", IF(H721&lt;C721, "Invalid - Ship Before Order", "Valid"))</f>
        <v>Valid</v>
      </c>
      <c r="K721" s="5">
        <f>IF(OR(C721="", H721=""), "", IF(H721&lt;C721, "", H721-C721))</f>
        <v>4</v>
      </c>
      <c r="L721" s="3" t="s">
        <v>2043</v>
      </c>
      <c r="M721" s="3" t="s">
        <v>93</v>
      </c>
      <c r="N721" s="4" t="str">
        <f>TRIM(SUBSTITUTE(M721,"_"," "))</f>
        <v>Neha Gupta</v>
      </c>
      <c r="O721" s="3" t="s">
        <v>115</v>
      </c>
      <c r="P721" s="6" t="str">
        <f>PROPER(TRIM(SUBSTITUTE(O721,".","")))</f>
        <v>Home Office</v>
      </c>
      <c r="Q721" s="3" t="s">
        <v>73</v>
      </c>
      <c r="R721" s="7" t="str">
        <f>PROPER(TRIM(SUBSTITUTE(Q721,"  "," ")))</f>
        <v>West</v>
      </c>
      <c r="S721" s="3" t="s">
        <v>84</v>
      </c>
      <c r="T721" s="6" t="str">
        <f>PROPER(TRIM(SUBSTITUTE(S721,"  "," ")))</f>
        <v>Madhya Pradesh</v>
      </c>
      <c r="U721" s="3" t="s">
        <v>85</v>
      </c>
      <c r="V721" s="6" t="str">
        <f>PROPER(TRIM(SUBSTITUTE(U721,"  "," ")))</f>
        <v>Indore</v>
      </c>
      <c r="W721" s="3" t="s">
        <v>86</v>
      </c>
      <c r="X721" s="6" t="str">
        <f>PROPER(TRIM(SUBSTITUTE(W721,"  "," ")))</f>
        <v>Technology</v>
      </c>
      <c r="Y721" s="3" t="s">
        <v>87</v>
      </c>
      <c r="Z721" s="6" t="str">
        <f>PROPER(TRIM(SUBSTITUTE(Y721,"  "," ")))</f>
        <v>Accessories</v>
      </c>
      <c r="AA721" s="3" t="s">
        <v>2044</v>
      </c>
      <c r="AB721" s="3" t="s">
        <v>33</v>
      </c>
      <c r="AC721" s="6" t="str">
        <f>PROPER(TRIM(SUBSTITUTE(AB721,"  "," ")))</f>
        <v>Second Class</v>
      </c>
      <c r="AD721" s="3">
        <v>8</v>
      </c>
      <c r="AE721" s="3">
        <v>1918.23</v>
      </c>
      <c r="AF721" s="3">
        <v>0</v>
      </c>
      <c r="AG721" s="17">
        <v>0</v>
      </c>
      <c r="AH721" s="6" t="str">
        <f t="shared" si="91"/>
        <v>Valid</v>
      </c>
      <c r="AI721" s="3">
        <v>15345.84</v>
      </c>
      <c r="AJ721" s="3">
        <v>10735.33</v>
      </c>
      <c r="AK721" s="3">
        <v>4610.51</v>
      </c>
      <c r="AL721" s="3" t="s">
        <v>137</v>
      </c>
      <c r="AM721" s="6" t="str">
        <f>PROPER(TRIM(SUBSTITUTE(AL721,".","")))</f>
        <v>Pending</v>
      </c>
      <c r="AN721" s="3" t="s">
        <v>78</v>
      </c>
      <c r="AO721" s="8" t="str">
        <f>PROPER(TRIM(SUBSTITUTE(AN721,".","")))</f>
        <v>Cancelled</v>
      </c>
      <c r="AP721" t="str">
        <f>IF(COUNTIF($A$2:$A$933, A721) &gt; 1, "Duplicate ID", "Unique")</f>
        <v>Unique</v>
      </c>
      <c r="AR721">
        <f t="shared" si="92"/>
        <v>15345.84</v>
      </c>
      <c r="AS721">
        <f t="shared" si="93"/>
        <v>4610.51</v>
      </c>
      <c r="AT721" s="15">
        <f t="shared" si="94"/>
        <v>0.30044037993358463</v>
      </c>
      <c r="AU721" t="str">
        <f t="shared" si="95"/>
        <v>Clean</v>
      </c>
      <c r="AV721" s="8" t="str">
        <f t="shared" si="96"/>
        <v>Cancelled</v>
      </c>
    </row>
    <row r="722" spans="1:48">
      <c r="A722" s="3" t="s">
        <v>2635</v>
      </c>
      <c r="B722" s="3" t="s">
        <v>2636</v>
      </c>
      <c r="C722" s="9">
        <f>IFERROR(DATEVALUE(TEXT(B722,"DD/MM/YYYY")), IF(ISNUMBER(B722), B722, ""))</f>
        <v>45883</v>
      </c>
      <c r="D722" s="9" t="str">
        <f>IF(B722="","Missing", IF(AND(ISNUMBER(B722)=FALSE, C722=""),"Invalid - Could Not Parse", IF(AND(ISNUMBER(B722)=FALSE, C722&lt;&gt;""),"Text - Converted to Date", IF(ISNUMBER(B722),"Valid","Check"))))</f>
        <v>Text - Converted to Date</v>
      </c>
      <c r="E722" s="5">
        <f t="shared" si="89"/>
        <v>8</v>
      </c>
      <c r="F722" s="5">
        <f t="shared" si="90"/>
        <v>2025</v>
      </c>
      <c r="G722" s="3" t="s">
        <v>1491</v>
      </c>
      <c r="H722" s="9">
        <f>IFERROR(DATEVALUE(TEXT(G722,"DD/MM/YYYY")), IF(ISNUMBER(G722), G722, ""))</f>
        <v>45891</v>
      </c>
      <c r="I722" s="9" t="str">
        <f>IF(G722="","Missing", IF(AND(ISNUMBER(G722)=FALSE, H722=""),"Invalid - Could Not Parse", IF(AND(ISNUMBER(G722)=FALSE, H722&lt;&gt;""),"Text - Converted to Date", IF(ISNUMBER(G722),"Valid","Check"))))</f>
        <v>Text - Converted to Date</v>
      </c>
      <c r="J722" s="9" t="str">
        <f>IF(OR(C722="", H722=""), "Cannot Check - Date Missing", IF(H722&lt;C722, "Invalid - Ship Before Order", "Valid"))</f>
        <v>Valid</v>
      </c>
      <c r="K722" s="5">
        <f>IF(OR(C722="", H722=""), "", IF(H722&lt;C722, "", H722-C722))</f>
        <v>8</v>
      </c>
      <c r="L722" s="3" t="s">
        <v>2637</v>
      </c>
      <c r="M722" s="3" t="s">
        <v>61</v>
      </c>
      <c r="N722" s="4" t="str">
        <f>TRIM(SUBSTITUTE(M722,"_"," "))</f>
        <v>Arjun Bose</v>
      </c>
      <c r="O722" s="3" t="s">
        <v>108</v>
      </c>
      <c r="P722" s="6" t="str">
        <f>PROPER(TRIM(SUBSTITUTE(O722,".","")))</f>
        <v>Corporate</v>
      </c>
      <c r="Q722" s="3" t="s">
        <v>73</v>
      </c>
      <c r="R722" s="7" t="str">
        <f>PROPER(TRIM(SUBSTITUTE(Q722,"  "," ")))</f>
        <v>West</v>
      </c>
      <c r="S722" s="3" t="s">
        <v>235</v>
      </c>
      <c r="T722" s="6" t="str">
        <f>PROPER(TRIM(SUBSTITUTE(S722,"  "," ")))</f>
        <v>Gujarat</v>
      </c>
      <c r="U722" s="3" t="s">
        <v>236</v>
      </c>
      <c r="V722" s="6" t="str">
        <f>PROPER(TRIM(SUBSTITUTE(U722,"  "," ")))</f>
        <v>Ahmedabad</v>
      </c>
      <c r="W722" s="3" t="s">
        <v>2638</v>
      </c>
      <c r="X722" s="6" t="str">
        <f>PROPER(TRIM(SUBSTITUTE(W722,"  "," ")))</f>
        <v>Office Supplies</v>
      </c>
      <c r="Y722" s="3" t="s">
        <v>31</v>
      </c>
      <c r="Z722" s="6" t="str">
        <f>PROPER(TRIM(SUBSTITUTE(Y722,"  "," ")))</f>
        <v>Paper</v>
      </c>
      <c r="AA722" s="3" t="s">
        <v>2639</v>
      </c>
      <c r="AB722" s="3" t="s">
        <v>56</v>
      </c>
      <c r="AC722" s="6" t="str">
        <f>PROPER(TRIM(SUBSTITUTE(AB722,"  "," ")))</f>
        <v>First Class</v>
      </c>
      <c r="AD722" s="3">
        <v>5</v>
      </c>
      <c r="AE722" s="3">
        <v>2567.37</v>
      </c>
      <c r="AF722" s="3">
        <v>0.15</v>
      </c>
      <c r="AG722" s="17">
        <v>0.15</v>
      </c>
      <c r="AH722" s="6" t="str">
        <f t="shared" si="91"/>
        <v>Valid</v>
      </c>
      <c r="AI722" s="3">
        <v>10911.32</v>
      </c>
      <c r="AJ722" s="3">
        <v>6966.44</v>
      </c>
      <c r="AK722" s="3">
        <v>4395.17</v>
      </c>
      <c r="AL722" s="3" t="s">
        <v>34</v>
      </c>
      <c r="AM722" s="6" t="str">
        <f>PROPER(TRIM(SUBSTITUTE(AL722,".","")))</f>
        <v>Paid</v>
      </c>
      <c r="AN722" s="3" t="s">
        <v>35</v>
      </c>
      <c r="AO722" s="8" t="str">
        <f>PROPER(TRIM(SUBSTITUTE(AN722,".","")))</f>
        <v>Completed</v>
      </c>
      <c r="AP722" t="str">
        <f>IF(COUNTIF($A$2:$A$933, A722) &gt; 1, "Duplicate ID", "Unique")</f>
        <v>Unique</v>
      </c>
      <c r="AR722">
        <f t="shared" si="92"/>
        <v>10911.322499999998</v>
      </c>
      <c r="AS722">
        <f t="shared" si="93"/>
        <v>3944.8824999999988</v>
      </c>
      <c r="AT722" s="15">
        <f t="shared" si="94"/>
        <v>0.36154027158486052</v>
      </c>
      <c r="AU722" t="str">
        <f t="shared" si="95"/>
        <v>Clean</v>
      </c>
      <c r="AV722" s="8" t="str">
        <f t="shared" si="96"/>
        <v>Active</v>
      </c>
    </row>
    <row r="723" spans="1:48">
      <c r="A723" s="3" t="s">
        <v>1468</v>
      </c>
      <c r="B723" s="3" t="s">
        <v>1469</v>
      </c>
      <c r="C723" s="9">
        <f>IFERROR(DATEVALUE(TEXT(B723,"DD/MM/YYYY")), IF(ISNUMBER(B723), B723, ""))</f>
        <v>45884</v>
      </c>
      <c r="D723" s="9" t="str">
        <f>IF(B723="","Missing", IF(AND(ISNUMBER(B723)=FALSE, C723=""),"Invalid - Could Not Parse", IF(AND(ISNUMBER(B723)=FALSE, C723&lt;&gt;""),"Text - Converted to Date", IF(ISNUMBER(B723),"Valid","Check"))))</f>
        <v>Text - Converted to Date</v>
      </c>
      <c r="E723" s="5">
        <f t="shared" si="89"/>
        <v>8</v>
      </c>
      <c r="F723" s="5">
        <f t="shared" si="90"/>
        <v>2025</v>
      </c>
      <c r="G723" s="3" t="s">
        <v>1470</v>
      </c>
      <c r="H723" s="9">
        <f>IFERROR(DATEVALUE(TEXT(G723,"DD/MM/YYYY")), IF(ISNUMBER(G723), G723, ""))</f>
        <v>45889</v>
      </c>
      <c r="I723" s="9" t="str">
        <f>IF(G723="","Missing", IF(AND(ISNUMBER(G723)=FALSE, H723=""),"Invalid - Could Not Parse", IF(AND(ISNUMBER(G723)=FALSE, H723&lt;&gt;""),"Text - Converted to Date", IF(ISNUMBER(G723),"Valid","Check"))))</f>
        <v>Text - Converted to Date</v>
      </c>
      <c r="J723" s="9" t="str">
        <f>IF(OR(C723="", H723=""), "Cannot Check - Date Missing", IF(H723&lt;C723, "Invalid - Ship Before Order", "Valid"))</f>
        <v>Valid</v>
      </c>
      <c r="K723" s="5">
        <f>IF(OR(C723="", H723=""), "", IF(H723&lt;C723, "", H723-C723))</f>
        <v>5</v>
      </c>
      <c r="L723" s="3" t="s">
        <v>1471</v>
      </c>
      <c r="M723" s="3" t="s">
        <v>93</v>
      </c>
      <c r="N723" s="4" t="str">
        <f>TRIM(SUBSTITUTE(M723,"_"," "))</f>
        <v>Neha Gupta</v>
      </c>
      <c r="O723" s="3" t="s">
        <v>115</v>
      </c>
      <c r="P723" s="6" t="str">
        <f>PROPER(TRIM(SUBSTITUTE(O723,".","")))</f>
        <v>Home Office</v>
      </c>
      <c r="Q723" s="3" t="s">
        <v>27</v>
      </c>
      <c r="R723" s="7" t="str">
        <f>PROPER(TRIM(SUBSTITUTE(Q723,"  "," ")))</f>
        <v>North</v>
      </c>
      <c r="S723" s="3" t="s">
        <v>28</v>
      </c>
      <c r="T723" s="6" t="str">
        <f>PROPER(TRIM(SUBSTITUTE(S723,"  "," ")))</f>
        <v>Rajasthan</v>
      </c>
      <c r="U723" s="3" t="s">
        <v>29</v>
      </c>
      <c r="V723" s="6" t="str">
        <f>PROPER(TRIM(SUBSTITUTE(U723,"  "," ")))</f>
        <v>Jaipur</v>
      </c>
      <c r="W723" s="3" t="s">
        <v>30</v>
      </c>
      <c r="X723" s="6" t="str">
        <f>PROPER(TRIM(SUBSTITUTE(W723,"  "," ")))</f>
        <v>Office Supplies</v>
      </c>
      <c r="Y723" s="3" t="s">
        <v>156</v>
      </c>
      <c r="Z723" s="6" t="str">
        <f>PROPER(TRIM(SUBSTITUTE(Y723,"  "," ")))</f>
        <v>Storage</v>
      </c>
      <c r="AA723" s="3" t="s">
        <v>1472</v>
      </c>
      <c r="AB723" s="3" t="s">
        <v>67</v>
      </c>
      <c r="AC723" s="6" t="str">
        <f>PROPER(TRIM(SUBSTITUTE(AB723,"  "," ")))</f>
        <v>Standard Class</v>
      </c>
      <c r="AD723" s="3">
        <v>9</v>
      </c>
      <c r="AE723" s="3">
        <v>4081.77</v>
      </c>
      <c r="AF723" s="3">
        <v>0</v>
      </c>
      <c r="AG723" s="17">
        <v>0</v>
      </c>
      <c r="AH723" s="6" t="str">
        <f t="shared" si="91"/>
        <v>Valid</v>
      </c>
      <c r="AI723" s="3">
        <v>36735.93</v>
      </c>
      <c r="AJ723" s="3">
        <v>30820.84</v>
      </c>
      <c r="AK723" s="3">
        <v>5915.09</v>
      </c>
      <c r="AL723" s="3" t="s">
        <v>34</v>
      </c>
      <c r="AM723" s="6" t="str">
        <f>PROPER(TRIM(SUBSTITUTE(AL723,".","")))</f>
        <v>Paid</v>
      </c>
      <c r="AN723" s="3" t="s">
        <v>35</v>
      </c>
      <c r="AO723" s="8" t="str">
        <f>PROPER(TRIM(SUBSTITUTE(AN723,".","")))</f>
        <v>Completed</v>
      </c>
      <c r="AP723" t="str">
        <f>IF(COUNTIF($A$2:$A$933, A723) &gt; 1, "Duplicate ID", "Unique")</f>
        <v>Unique</v>
      </c>
      <c r="AR723">
        <f t="shared" si="92"/>
        <v>36735.93</v>
      </c>
      <c r="AS723">
        <f t="shared" si="93"/>
        <v>5915.09</v>
      </c>
      <c r="AT723" s="15">
        <f t="shared" si="94"/>
        <v>0.16101647624001897</v>
      </c>
      <c r="AU723" t="str">
        <f t="shared" si="95"/>
        <v>Clean</v>
      </c>
      <c r="AV723" s="8" t="str">
        <f t="shared" si="96"/>
        <v>Active</v>
      </c>
    </row>
    <row r="724" spans="1:48">
      <c r="A724" s="3" t="s">
        <v>1770</v>
      </c>
      <c r="B724" s="3" t="s">
        <v>1771</v>
      </c>
      <c r="C724" s="9">
        <f>IFERROR(DATEVALUE(TEXT(B724,"DD/MM/YYYY")), IF(ISNUMBER(B724), B724, ""))</f>
        <v>45884</v>
      </c>
      <c r="D724" s="9" t="str">
        <f>IF(B724="","Missing", IF(AND(ISNUMBER(B724)=FALSE, C724=""),"Invalid - Could Not Parse", IF(AND(ISNUMBER(B724)=FALSE, C724&lt;&gt;""),"Text - Converted to Date", IF(ISNUMBER(B724),"Valid","Check"))))</f>
        <v>Text - Converted to Date</v>
      </c>
      <c r="E724" s="5">
        <f t="shared" si="89"/>
        <v>8</v>
      </c>
      <c r="F724" s="5">
        <f t="shared" si="90"/>
        <v>2025</v>
      </c>
      <c r="G724" s="3" t="s">
        <v>1393</v>
      </c>
      <c r="H724" s="9">
        <f>IFERROR(DATEVALUE(MID(G724,4,2) &amp; "/" &amp; LEFT(G724,2) &amp; "/" &amp; RIGHT(G724,4)), IF(ISNUMBER(G724), G724, IFERROR(DATEVALUE(G724), "")))</f>
        <v>45886</v>
      </c>
      <c r="I724" s="9" t="str">
        <f>IF(G724="","Missing", IF(AND(ISNUMBER(G724)=FALSE, H724=""),"Invalid - Could Not Parse", IF(AND(ISNUMBER(G724)=FALSE, H724&lt;&gt;""),"Text - Converted to Date", IF(ISNUMBER(G724),"Valid","Check"))))</f>
        <v>Text - Converted to Date</v>
      </c>
      <c r="J724" s="9" t="str">
        <f>IF(OR(C724="", H724=""), "Cannot Check - Date Missing", IF(H724&lt;C724, "Invalid - Ship Before Order", "Valid"))</f>
        <v>Valid</v>
      </c>
      <c r="K724" s="5">
        <f>IF(OR(C724="", H724=""), "", IF(H724&lt;C724, "", H724-C724))</f>
        <v>2</v>
      </c>
      <c r="L724" s="3" t="s">
        <v>1772</v>
      </c>
      <c r="M724" s="3" t="s">
        <v>210</v>
      </c>
      <c r="N724" s="4" t="str">
        <f>TRIM(SUBSTITUTE(M724,"_"," "))</f>
        <v>Diya Patel</v>
      </c>
      <c r="O724" s="3" t="s">
        <v>41</v>
      </c>
      <c r="P724" s="6" t="str">
        <f>PROPER(TRIM(SUBSTITUTE(O724,".","")))</f>
        <v>Small Business</v>
      </c>
      <c r="Q724" s="3" t="s">
        <v>42</v>
      </c>
      <c r="R724" s="7" t="str">
        <f>PROPER(TRIM(SUBSTITUTE(Q724,"  "," ")))</f>
        <v>East</v>
      </c>
      <c r="S724" s="3" t="s">
        <v>216</v>
      </c>
      <c r="T724" s="6" t="str">
        <f>PROPER(TRIM(SUBSTITUTE(S724,"  "," ")))</f>
        <v>Assam</v>
      </c>
      <c r="U724" s="3" t="s">
        <v>217</v>
      </c>
      <c r="V724" s="6" t="str">
        <f>PROPER(TRIM(SUBSTITUTE(U724,"  "," ")))</f>
        <v>Guwahati</v>
      </c>
      <c r="W724" s="3" t="s">
        <v>86</v>
      </c>
      <c r="X724" s="6" t="str">
        <f>PROPER(TRIM(SUBSTITUTE(W724,"  "," ")))</f>
        <v>Technology</v>
      </c>
      <c r="Y724" s="3" t="s">
        <v>94</v>
      </c>
      <c r="Z724" s="6" t="str">
        <f>PROPER(TRIM(SUBSTITUTE(Y724,"  "," ")))</f>
        <v>Copiers</v>
      </c>
      <c r="AA724" s="3" t="s">
        <v>1773</v>
      </c>
      <c r="AB724" s="3" t="s">
        <v>56</v>
      </c>
      <c r="AC724" s="6" t="str">
        <f>PROPER(TRIM(SUBSTITUTE(AB724,"  "," ")))</f>
        <v>First Class</v>
      </c>
      <c r="AD724" s="3">
        <v>5</v>
      </c>
      <c r="AE724" s="3">
        <v>2862.6</v>
      </c>
      <c r="AF724" s="3">
        <v>0.25</v>
      </c>
      <c r="AG724" s="17">
        <v>0.25</v>
      </c>
      <c r="AH724" s="6" t="str">
        <f t="shared" si="91"/>
        <v>Valid</v>
      </c>
      <c r="AI724" s="3">
        <v>10734.75</v>
      </c>
      <c r="AJ724" s="3">
        <v>6475.73</v>
      </c>
      <c r="AK724" s="3">
        <v>4259.0200000000004</v>
      </c>
      <c r="AL724" s="3" t="s">
        <v>34</v>
      </c>
      <c r="AM724" s="6" t="str">
        <f>PROPER(TRIM(SUBSTITUTE(AL724,".","")))</f>
        <v>Paid</v>
      </c>
      <c r="AN724" s="3" t="s">
        <v>35</v>
      </c>
      <c r="AO724" s="8" t="str">
        <f>PROPER(TRIM(SUBSTITUTE(AN724,".","")))</f>
        <v>Completed</v>
      </c>
      <c r="AP724" t="str">
        <f>IF(COUNTIF($A$2:$A$933, A724) &gt; 1, "Duplicate ID", "Unique")</f>
        <v>Unique</v>
      </c>
      <c r="AR724">
        <f t="shared" si="92"/>
        <v>10734.75</v>
      </c>
      <c r="AS724">
        <f t="shared" si="93"/>
        <v>4259.0200000000004</v>
      </c>
      <c r="AT724" s="15">
        <f t="shared" si="94"/>
        <v>0.39675073942103917</v>
      </c>
      <c r="AU724" t="str">
        <f t="shared" si="95"/>
        <v>Clean</v>
      </c>
      <c r="AV724" s="8" t="str">
        <f t="shared" si="96"/>
        <v>Active</v>
      </c>
    </row>
    <row r="725" spans="1:48">
      <c r="A725" s="3" t="s">
        <v>1858</v>
      </c>
      <c r="B725" s="3" t="s">
        <v>1859</v>
      </c>
      <c r="C725" s="9">
        <f>IFERROR(DATEVALUE(TEXT(B725,"DD/MM/YYYY")), IF(ISNUMBER(B725), B725, ""))</f>
        <v>45885</v>
      </c>
      <c r="D725" s="9" t="str">
        <f>IF(B725="","Missing", IF(AND(ISNUMBER(B725)=FALSE, C725=""),"Invalid - Could Not Parse", IF(AND(ISNUMBER(B725)=FALSE, C725&lt;&gt;""),"Text - Converted to Date", IF(ISNUMBER(B725),"Valid","Check"))))</f>
        <v>Text - Converted to Date</v>
      </c>
      <c r="E725" s="5">
        <f t="shared" si="89"/>
        <v>8</v>
      </c>
      <c r="F725" s="5">
        <f t="shared" si="90"/>
        <v>2025</v>
      </c>
      <c r="G725" s="3" t="s">
        <v>921</v>
      </c>
      <c r="H725" s="9">
        <f>IFERROR(DATEVALUE(TEXT(G725,"DD/MM/YYYY")), IF(ISNUMBER(G725), G725, ""))</f>
        <v>45887</v>
      </c>
      <c r="I725" s="9" t="str">
        <f>IF(G725="","Missing", IF(AND(ISNUMBER(G725)=FALSE, H725=""),"Invalid - Could Not Parse", IF(AND(ISNUMBER(G725)=FALSE, H725&lt;&gt;""),"Text - Converted to Date", IF(ISNUMBER(G725),"Valid","Check"))))</f>
        <v>Text - Converted to Date</v>
      </c>
      <c r="J725" s="9" t="str">
        <f>IF(OR(C725="", H725=""), "Cannot Check - Date Missing", IF(H725&lt;C725, "Invalid - Ship Before Order", "Valid"))</f>
        <v>Valid</v>
      </c>
      <c r="K725" s="5">
        <f>IF(OR(C725="", H725=""), "", IF(H725&lt;C725, "", H725-C725))</f>
        <v>2</v>
      </c>
      <c r="L725" s="3" t="s">
        <v>970</v>
      </c>
      <c r="M725" s="3" t="s">
        <v>366</v>
      </c>
      <c r="N725" s="4" t="str">
        <f>TRIM(SUBSTITUTE(M725,"_"," "))</f>
        <v>Kabir Singh</v>
      </c>
      <c r="O725" s="3" t="s">
        <v>26</v>
      </c>
      <c r="P725" s="6" t="str">
        <f>PROPER(TRIM(SUBSTITUTE(O725,".","")))</f>
        <v>Consumer</v>
      </c>
      <c r="Q725" s="3" t="s">
        <v>42</v>
      </c>
      <c r="R725" s="7" t="str">
        <f>PROPER(TRIM(SUBSTITUTE(Q725,"  "," ")))</f>
        <v>East</v>
      </c>
      <c r="S725" s="3" t="s">
        <v>311</v>
      </c>
      <c r="T725" s="6" t="str">
        <f>PROPER(TRIM(SUBSTITUTE(S725,"  "," ")))</f>
        <v>Jharkhand</v>
      </c>
      <c r="U725" s="3" t="s">
        <v>312</v>
      </c>
      <c r="V725" s="6" t="str">
        <f>PROPER(TRIM(SUBSTITUTE(U725,"  "," ")))</f>
        <v>Ranchi</v>
      </c>
      <c r="W725" s="3" t="s">
        <v>45</v>
      </c>
      <c r="X725" s="6" t="str">
        <f>PROPER(TRIM(SUBSTITUTE(W725,"  "," ")))</f>
        <v>Furniture</v>
      </c>
      <c r="Y725" s="3" t="s">
        <v>76</v>
      </c>
      <c r="Z725" s="6" t="str">
        <f>PROPER(TRIM(SUBSTITUTE(Y725,"  "," ")))</f>
        <v>Chairs</v>
      </c>
      <c r="AA725" s="3" t="s">
        <v>1860</v>
      </c>
      <c r="AB725" s="3" t="s">
        <v>48</v>
      </c>
      <c r="AC725" s="6" t="str">
        <f>PROPER(TRIM(SUBSTITUTE(AB725,"  "," ")))</f>
        <v>Same Day</v>
      </c>
      <c r="AD725" s="3">
        <v>5</v>
      </c>
      <c r="AE725" s="3">
        <v>1530.36</v>
      </c>
      <c r="AF725" s="3">
        <v>0</v>
      </c>
      <c r="AG725" s="17">
        <v>0</v>
      </c>
      <c r="AH725" s="6" t="str">
        <f t="shared" si="91"/>
        <v>Valid</v>
      </c>
      <c r="AI725" s="3">
        <v>7651.8</v>
      </c>
      <c r="AJ725" s="3">
        <v>5171.78</v>
      </c>
      <c r="AK725" s="3">
        <v>2480.02</v>
      </c>
      <c r="AL725" s="3" t="s">
        <v>34</v>
      </c>
      <c r="AM725" s="6" t="str">
        <f>PROPER(TRIM(SUBSTITUTE(AL725,".","")))</f>
        <v>Paid</v>
      </c>
      <c r="AN725" s="3" t="s">
        <v>35</v>
      </c>
      <c r="AO725" s="8" t="str">
        <f>PROPER(TRIM(SUBSTITUTE(AN725,".","")))</f>
        <v>Completed</v>
      </c>
      <c r="AP725" t="str">
        <f>IF(COUNTIF($A$2:$A$933, A725) &gt; 1, "Duplicate ID", "Unique")</f>
        <v>Unique</v>
      </c>
      <c r="AR725">
        <f t="shared" si="92"/>
        <v>7651.7999999999993</v>
      </c>
      <c r="AS725">
        <f t="shared" si="93"/>
        <v>2480.0199999999995</v>
      </c>
      <c r="AT725" s="15">
        <f t="shared" si="94"/>
        <v>0.32410935988917638</v>
      </c>
      <c r="AU725" t="str">
        <f t="shared" si="95"/>
        <v>Clean</v>
      </c>
      <c r="AV725" s="8" t="str">
        <f t="shared" si="96"/>
        <v>Active</v>
      </c>
    </row>
    <row r="726" spans="1:48">
      <c r="A726" s="3" t="s">
        <v>3198</v>
      </c>
      <c r="B726" s="3" t="s">
        <v>3199</v>
      </c>
      <c r="C726" s="9">
        <f>IFERROR(DATEVALUE(TEXT(B726,"DD/MM/YYYY")), IF(ISNUMBER(B726), B726, ""))</f>
        <v>45885</v>
      </c>
      <c r="D726" s="9" t="str">
        <f>IF(B726="","Missing", IF(AND(ISNUMBER(B726)=FALSE, C726=""),"Invalid - Could Not Parse", IF(AND(ISNUMBER(B726)=FALSE, C726&lt;&gt;""),"Text - Converted to Date", IF(ISNUMBER(B726),"Valid","Check"))))</f>
        <v>Text - Converted to Date</v>
      </c>
      <c r="E726" s="5">
        <f t="shared" si="89"/>
        <v>8</v>
      </c>
      <c r="F726" s="5">
        <f t="shared" si="90"/>
        <v>2025</v>
      </c>
      <c r="G726" s="3" t="s">
        <v>640</v>
      </c>
      <c r="H726" s="9">
        <f>IFERROR(DATEVALUE(TEXT(G726,"DD/MM/YYYY")), IF(ISNUMBER(G726), G726, ""))</f>
        <v>45892</v>
      </c>
      <c r="I726" s="9" t="str">
        <f>IF(G726="","Missing", IF(AND(ISNUMBER(G726)=FALSE, H726=""),"Invalid - Could Not Parse", IF(AND(ISNUMBER(G726)=FALSE, H726&lt;&gt;""),"Text - Converted to Date", IF(ISNUMBER(G726),"Valid","Check"))))</f>
        <v>Text - Converted to Date</v>
      </c>
      <c r="J726" s="9" t="str">
        <f>IF(OR(C726="", H726=""), "Cannot Check - Date Missing", IF(H726&lt;C726, "Invalid - Ship Before Order", "Valid"))</f>
        <v>Valid</v>
      </c>
      <c r="K726" s="5">
        <f>IF(OR(C726="", H726=""), "", IF(H726&lt;C726, "", H726-C726))</f>
        <v>7</v>
      </c>
      <c r="L726" s="3" t="s">
        <v>3200</v>
      </c>
      <c r="M726" s="3" t="s">
        <v>180</v>
      </c>
      <c r="N726" s="4" t="str">
        <f>TRIM(SUBSTITUTE(M726,"_"," "))</f>
        <v>Rohan Mehta</v>
      </c>
      <c r="O726" s="3" t="s">
        <v>108</v>
      </c>
      <c r="P726" s="6" t="str">
        <f>PROPER(TRIM(SUBSTITUTE(O726,".","")))</f>
        <v>Corporate</v>
      </c>
      <c r="Q726" s="3" t="s">
        <v>27</v>
      </c>
      <c r="R726" s="7" t="str">
        <f>PROPER(TRIM(SUBSTITUTE(Q726,"  "," ")))</f>
        <v>North</v>
      </c>
      <c r="S726" s="3" t="s">
        <v>154</v>
      </c>
      <c r="T726" s="6" t="str">
        <f>PROPER(TRIM(SUBSTITUTE(S726,"  "," ")))</f>
        <v>Punjab</v>
      </c>
      <c r="U726" s="3" t="s">
        <v>155</v>
      </c>
      <c r="V726" s="6" t="str">
        <f>PROPER(TRIM(SUBSTITUTE(U726,"  "," ")))</f>
        <v>Ludhiana</v>
      </c>
      <c r="W726" s="3" t="s">
        <v>86</v>
      </c>
      <c r="X726" s="6" t="str">
        <f>PROPER(TRIM(SUBSTITUTE(W726,"  "," ")))</f>
        <v>Technology</v>
      </c>
      <c r="Y726" s="3" t="s">
        <v>94</v>
      </c>
      <c r="Z726" s="6" t="str">
        <f>PROPER(TRIM(SUBSTITUTE(Y726,"  "," ")))</f>
        <v>Copiers</v>
      </c>
      <c r="AA726" s="3" t="s">
        <v>3201</v>
      </c>
      <c r="AB726" s="3" t="s">
        <v>48</v>
      </c>
      <c r="AC726" s="6" t="str">
        <f>PROPER(TRIM(SUBSTITUTE(AB726,"  "," ")))</f>
        <v>Same Day</v>
      </c>
      <c r="AD726" s="3">
        <v>4</v>
      </c>
      <c r="AE726" s="3">
        <v>1410.57</v>
      </c>
      <c r="AF726" s="3" t="s">
        <v>681</v>
      </c>
      <c r="AG726" s="17" t="s">
        <v>681</v>
      </c>
      <c r="AH726" s="6" t="str">
        <f t="shared" si="91"/>
        <v>Invalid - Above Range</v>
      </c>
      <c r="AI726" s="3">
        <v>5360.17</v>
      </c>
      <c r="AJ726" s="3">
        <v>3881.51</v>
      </c>
      <c r="AK726" s="3">
        <v>1478.66</v>
      </c>
      <c r="AL726" s="3" t="s">
        <v>124</v>
      </c>
      <c r="AM726" s="6" t="str">
        <f>PROPER(TRIM(SUBSTITUTE(AL726,".","")))</f>
        <v>Refunded</v>
      </c>
      <c r="AN726" s="3" t="s">
        <v>78</v>
      </c>
      <c r="AO726" s="8" t="str">
        <f>PROPER(TRIM(SUBSTITUTE(AN726,".","")))</f>
        <v>Cancelled</v>
      </c>
      <c r="AP726" t="str">
        <f>IF(COUNTIF($A$2:$A$933, A726) &gt; 1, "Duplicate ID", "Unique")</f>
        <v>Unique</v>
      </c>
      <c r="AR726">
        <f t="shared" si="92"/>
        <v>1692.6840000000002</v>
      </c>
      <c r="AS726">
        <f t="shared" si="93"/>
        <v>-2188.826</v>
      </c>
      <c r="AT726" s="15">
        <f t="shared" si="94"/>
        <v>-1.2931096412561351</v>
      </c>
      <c r="AU726" t="str">
        <f t="shared" si="95"/>
        <v>Invalid</v>
      </c>
      <c r="AV726" s="8" t="str">
        <f t="shared" si="96"/>
        <v>Refund</v>
      </c>
    </row>
    <row r="727" spans="1:48">
      <c r="A727" s="3" t="s">
        <v>3456</v>
      </c>
      <c r="B727" s="3" t="s">
        <v>3457</v>
      </c>
      <c r="C727" s="9">
        <f>IFERROR(DATEVALUE(TEXT(B727,"DD/MM/YYYY")), IF(ISNUMBER(B727), B727, ""))</f>
        <v>45886</v>
      </c>
      <c r="D727" s="9" t="str">
        <f>IF(B727="","Missing", IF(AND(ISNUMBER(B727)=FALSE, C727=""),"Invalid - Could Not Parse", IF(AND(ISNUMBER(B727)=FALSE, C727&lt;&gt;""),"Text - Converted to Date", IF(ISNUMBER(B727),"Valid","Check"))))</f>
        <v>Text - Converted to Date</v>
      </c>
      <c r="E727" s="5">
        <f t="shared" si="89"/>
        <v>8</v>
      </c>
      <c r="F727" s="5">
        <f t="shared" si="90"/>
        <v>2025</v>
      </c>
      <c r="G727" s="3" t="s">
        <v>1470</v>
      </c>
      <c r="H727" s="9">
        <f>IFERROR(DATEVALUE(TEXT(G727,"DD/MM/YYYY")), IF(ISNUMBER(G727), G727, ""))</f>
        <v>45889</v>
      </c>
      <c r="I727" s="9" t="str">
        <f>IF(G727="","Missing", IF(AND(ISNUMBER(G727)=FALSE, H727=""),"Invalid - Could Not Parse", IF(AND(ISNUMBER(G727)=FALSE, H727&lt;&gt;""),"Text - Converted to Date", IF(ISNUMBER(G727),"Valid","Check"))))</f>
        <v>Text - Converted to Date</v>
      </c>
      <c r="J727" s="9" t="str">
        <f>IF(OR(C727="", H727=""), "Cannot Check - Date Missing", IF(H727&lt;C727, "Invalid - Ship Before Order", "Valid"))</f>
        <v>Valid</v>
      </c>
      <c r="K727" s="5">
        <f>IF(OR(C727="", H727=""), "", IF(H727&lt;C727, "", H727-C727))</f>
        <v>3</v>
      </c>
      <c r="L727" s="3" t="s">
        <v>3458</v>
      </c>
      <c r="M727" s="3" t="s">
        <v>40</v>
      </c>
      <c r="N727" s="4" t="str">
        <f>TRIM(SUBSTITUTE(M727,"_"," "))</f>
        <v>Mira Das</v>
      </c>
      <c r="O727" s="3" t="s">
        <v>115</v>
      </c>
      <c r="P727" s="6" t="str">
        <f>PROPER(TRIM(SUBSTITUTE(O727,".","")))</f>
        <v>Home Office</v>
      </c>
      <c r="Q727" s="3" t="s">
        <v>27</v>
      </c>
      <c r="R727" s="7" t="str">
        <f>PROPER(TRIM(SUBSTITUTE(Q727,"  "," ")))</f>
        <v>North</v>
      </c>
      <c r="S727" s="3" t="s">
        <v>154</v>
      </c>
      <c r="T727" s="6" t="str">
        <f>PROPER(TRIM(SUBSTITUTE(S727,"  "," ")))</f>
        <v>Punjab</v>
      </c>
      <c r="U727" s="3" t="s">
        <v>155</v>
      </c>
      <c r="V727" s="6" t="str">
        <f>PROPER(TRIM(SUBSTITUTE(U727,"  "," ")))</f>
        <v>Ludhiana</v>
      </c>
      <c r="W727" s="3" t="s">
        <v>30</v>
      </c>
      <c r="X727" s="6" t="str">
        <f>PROPER(TRIM(SUBSTITUTE(W727,"  "," ")))</f>
        <v>Office Supplies</v>
      </c>
      <c r="Y727" s="3" t="s">
        <v>198</v>
      </c>
      <c r="Z727" s="6" t="str">
        <f>PROPER(TRIM(SUBSTITUTE(Y727,"  "," ")))</f>
        <v>Binders</v>
      </c>
      <c r="AA727" s="3" t="s">
        <v>3459</v>
      </c>
      <c r="AB727" s="3" t="s">
        <v>56</v>
      </c>
      <c r="AC727" s="6" t="str">
        <f>PROPER(TRIM(SUBSTITUTE(AB727,"  "," ")))</f>
        <v>First Class</v>
      </c>
      <c r="AD727" s="3">
        <v>5</v>
      </c>
      <c r="AE727" s="3">
        <v>2701.89</v>
      </c>
      <c r="AF727" s="3">
        <v>0.1</v>
      </c>
      <c r="AG727" s="17">
        <v>0.1</v>
      </c>
      <c r="AH727" s="6" t="str">
        <f t="shared" si="91"/>
        <v>Valid</v>
      </c>
      <c r="AI727" s="3">
        <v>12158.5</v>
      </c>
      <c r="AJ727" s="3">
        <v>10260.07</v>
      </c>
      <c r="AK727" s="3">
        <v>1898.43</v>
      </c>
      <c r="AL727" s="3" t="s">
        <v>34</v>
      </c>
      <c r="AM727" s="6" t="str">
        <f>PROPER(TRIM(SUBSTITUTE(AL727,".","")))</f>
        <v>Paid</v>
      </c>
      <c r="AN727" s="3" t="s">
        <v>78</v>
      </c>
      <c r="AO727" s="8" t="str">
        <f>PROPER(TRIM(SUBSTITUTE(AN727,".","")))</f>
        <v>Cancelled</v>
      </c>
      <c r="AP727" t="str">
        <f>IF(COUNTIF($A$2:$A$933, A727) &gt; 1, "Duplicate ID", "Unique")</f>
        <v>Unique</v>
      </c>
      <c r="AR727">
        <f t="shared" si="92"/>
        <v>12158.504999999999</v>
      </c>
      <c r="AS727">
        <f t="shared" si="93"/>
        <v>1898.4349999999995</v>
      </c>
      <c r="AT727" s="15">
        <f t="shared" si="94"/>
        <v>0.15614049589155901</v>
      </c>
      <c r="AU727" t="str">
        <f t="shared" si="95"/>
        <v>Clean</v>
      </c>
      <c r="AV727" s="8" t="str">
        <f t="shared" si="96"/>
        <v>Cancelled</v>
      </c>
    </row>
    <row r="728" spans="1:48">
      <c r="A728" s="3" t="s">
        <v>920</v>
      </c>
      <c r="B728" s="3" t="s">
        <v>921</v>
      </c>
      <c r="C728" s="9">
        <f>IFERROR(DATEVALUE(TEXT(B728,"DD/MM/YYYY")), IF(ISNUMBER(B728), B728, ""))</f>
        <v>45887</v>
      </c>
      <c r="D728" s="9" t="str">
        <f>IF(B728="","Missing", IF(AND(ISNUMBER(B728)=FALSE, C728=""),"Invalid - Could Not Parse", IF(AND(ISNUMBER(B728)=FALSE, C728&lt;&gt;""),"Text - Converted to Date", IF(ISNUMBER(B728),"Valid","Check"))))</f>
        <v>Text - Converted to Date</v>
      </c>
      <c r="E728" s="5">
        <f t="shared" si="89"/>
        <v>8</v>
      </c>
      <c r="F728" s="5">
        <f t="shared" si="90"/>
        <v>2025</v>
      </c>
      <c r="G728" s="3" t="s">
        <v>922</v>
      </c>
      <c r="H728" s="9">
        <f>IFERROR(DATEVALUE(MID(G728,4,2) &amp; "/" &amp; LEFT(G728,2) &amp; "/" &amp; RIGHT(G728,4)), IF(ISNUMBER(G728), G728, IFERROR(DATEVALUE(G728), "")))</f>
        <v>45887</v>
      </c>
      <c r="I728" s="9" t="str">
        <f>IF(G728="","Missing", IF(AND(ISNUMBER(G728)=FALSE, H728=""),"Invalid - Could Not Parse", IF(AND(ISNUMBER(G728)=FALSE, H728&lt;&gt;""),"Text - Converted to Date", IF(ISNUMBER(G728),"Valid","Check"))))</f>
        <v>Text - Converted to Date</v>
      </c>
      <c r="J728" s="9" t="str">
        <f>IF(OR(C728="", H728=""), "Cannot Check - Date Missing", IF(H728&lt;C728, "Invalid - Ship Before Order", "Valid"))</f>
        <v>Valid</v>
      </c>
      <c r="K728" s="5">
        <f>IF(OR(C728="", H728=""), "", IF(H728&lt;C728, "", H728-C728))</f>
        <v>0</v>
      </c>
      <c r="L728" s="3" t="s">
        <v>923</v>
      </c>
      <c r="M728" s="3" t="s">
        <v>61</v>
      </c>
      <c r="N728" s="4" t="str">
        <f>TRIM(SUBSTITUTE(M728,"_"," "))</f>
        <v>Arjun Bose</v>
      </c>
      <c r="O728" s="3" t="s">
        <v>115</v>
      </c>
      <c r="P728" s="6" t="str">
        <f>PROPER(TRIM(SUBSTITUTE(O728,".","")))</f>
        <v>Home Office</v>
      </c>
      <c r="Q728" s="3" t="s">
        <v>62</v>
      </c>
      <c r="R728" s="7" t="str">
        <f>PROPER(TRIM(SUBSTITUTE(Q728,"  "," ")))</f>
        <v>South</v>
      </c>
      <c r="S728" s="3" t="s">
        <v>229</v>
      </c>
      <c r="T728" s="6" t="str">
        <f>PROPER(TRIM(SUBSTITUTE(S728,"  "," ")))</f>
        <v>Karnataka</v>
      </c>
      <c r="U728" s="3" t="s">
        <v>230</v>
      </c>
      <c r="V728" s="6" t="str">
        <f>PROPER(TRIM(SUBSTITUTE(U728,"  "," ")))</f>
        <v>Bengaluru</v>
      </c>
      <c r="W728" s="3" t="s">
        <v>30</v>
      </c>
      <c r="X728" s="6" t="str">
        <f>PROPER(TRIM(SUBSTITUTE(W728,"  "," ")))</f>
        <v>Office Supplies</v>
      </c>
      <c r="Y728" s="3" t="s">
        <v>156</v>
      </c>
      <c r="Z728" s="6" t="str">
        <f>PROPER(TRIM(SUBSTITUTE(Y728,"  "," ")))</f>
        <v>Storage</v>
      </c>
      <c r="AA728" s="3" t="s">
        <v>924</v>
      </c>
      <c r="AB728" s="3" t="s">
        <v>56</v>
      </c>
      <c r="AC728" s="6" t="str">
        <f>PROPER(TRIM(SUBSTITUTE(AB728,"  "," ")))</f>
        <v>First Class</v>
      </c>
      <c r="AD728" s="3">
        <v>9</v>
      </c>
      <c r="AE728" s="3">
        <v>3030.93</v>
      </c>
      <c r="AF728" s="3">
        <v>0.15</v>
      </c>
      <c r="AG728" s="17">
        <v>0.15</v>
      </c>
      <c r="AH728" s="6" t="str">
        <f t="shared" si="91"/>
        <v>Valid</v>
      </c>
      <c r="AI728" s="3">
        <v>23186.61</v>
      </c>
      <c r="AJ728" s="3">
        <v>17906.54</v>
      </c>
      <c r="AK728" s="3">
        <v>5280.07</v>
      </c>
      <c r="AL728" s="3" t="s">
        <v>34</v>
      </c>
      <c r="AM728" s="6" t="str">
        <f>PROPER(TRIM(SUBSTITUTE(AL728,".","")))</f>
        <v>Paid</v>
      </c>
      <c r="AN728" s="3" t="s">
        <v>125</v>
      </c>
      <c r="AO728" s="8" t="str">
        <f>PROPER(TRIM(SUBSTITUTE(AN728,".","")))</f>
        <v>Returned</v>
      </c>
      <c r="AP728" t="str">
        <f>IF(COUNTIF($A$2:$A$933, A728) &gt; 1, "Duplicate ID", "Unique")</f>
        <v>Unique</v>
      </c>
      <c r="AR728">
        <f t="shared" si="92"/>
        <v>23186.6145</v>
      </c>
      <c r="AS728">
        <f t="shared" si="93"/>
        <v>5280.0744999999988</v>
      </c>
      <c r="AT728" s="15">
        <f t="shared" si="94"/>
        <v>0.22772080417345961</v>
      </c>
      <c r="AU728" t="str">
        <f t="shared" si="95"/>
        <v>Clean</v>
      </c>
      <c r="AV728" s="8" t="str">
        <f t="shared" si="96"/>
        <v>Active</v>
      </c>
    </row>
    <row r="729" spans="1:48">
      <c r="A729" s="3" t="s">
        <v>2736</v>
      </c>
      <c r="B729" s="3" t="s">
        <v>921</v>
      </c>
      <c r="C729" s="9">
        <f>IFERROR(DATEVALUE(TEXT(B729,"DD/MM/YYYY")), IF(ISNUMBER(B729), B729, ""))</f>
        <v>45887</v>
      </c>
      <c r="D729" s="9" t="str">
        <f>IF(B729="","Missing", IF(AND(ISNUMBER(B729)=FALSE, C729=""),"Invalid - Could Not Parse", IF(AND(ISNUMBER(B729)=FALSE, C729&lt;&gt;""),"Text - Converted to Date", IF(ISNUMBER(B729),"Valid","Check"))))</f>
        <v>Text - Converted to Date</v>
      </c>
      <c r="E729" s="5">
        <f t="shared" si="89"/>
        <v>8</v>
      </c>
      <c r="F729" s="5">
        <f t="shared" si="90"/>
        <v>2025</v>
      </c>
      <c r="G729" s="3" t="s">
        <v>698</v>
      </c>
      <c r="H729" s="9">
        <f>IFERROR(DATEVALUE(MID(G729,4,2) &amp; "/" &amp; LEFT(G729,2) &amp; "/" &amp; RIGHT(G729,4)), IF(ISNUMBER(G729), G729, IFERROR(DATEVALUE(G729), "")))</f>
        <v>45891</v>
      </c>
      <c r="I729" s="9" t="str">
        <f>IF(G729="","Missing", IF(AND(ISNUMBER(G729)=FALSE, H729=""),"Invalid - Could Not Parse", IF(AND(ISNUMBER(G729)=FALSE, H729&lt;&gt;""),"Text - Converted to Date", IF(ISNUMBER(G729),"Valid","Check"))))</f>
        <v>Text - Converted to Date</v>
      </c>
      <c r="J729" s="9" t="str">
        <f>IF(OR(C729="", H729=""), "Cannot Check - Date Missing", IF(H729&lt;C729, "Invalid - Ship Before Order", "Valid"))</f>
        <v>Valid</v>
      </c>
      <c r="K729" s="5">
        <f>IF(OR(C729="", H729=""), "", IF(H729&lt;C729, "", H729-C729))</f>
        <v>4</v>
      </c>
      <c r="L729" s="3" t="s">
        <v>2737</v>
      </c>
      <c r="M729" s="3" t="s">
        <v>61</v>
      </c>
      <c r="N729" s="4" t="str">
        <f>TRIM(SUBSTITUTE(M729,"_"," "))</f>
        <v>Arjun Bose</v>
      </c>
      <c r="O729" s="3" t="s">
        <v>26</v>
      </c>
      <c r="P729" s="6" t="str">
        <f>PROPER(TRIM(SUBSTITUTE(O729,".","")))</f>
        <v>Consumer</v>
      </c>
      <c r="Q729" s="3" t="s">
        <v>42</v>
      </c>
      <c r="R729" s="7" t="str">
        <f>PROPER(TRIM(SUBSTITUTE(Q729,"  "," ")))</f>
        <v>East</v>
      </c>
      <c r="S729" s="3" t="s">
        <v>311</v>
      </c>
      <c r="T729" s="6" t="str">
        <f>PROPER(TRIM(SUBSTITUTE(S729,"  "," ")))</f>
        <v>Jharkhand</v>
      </c>
      <c r="U729" s="3" t="s">
        <v>312</v>
      </c>
      <c r="V729" s="6" t="str">
        <f>PROPER(TRIM(SUBSTITUTE(U729,"  "," ")))</f>
        <v>Ranchi</v>
      </c>
      <c r="W729" s="3" t="s">
        <v>45</v>
      </c>
      <c r="X729" s="6" t="str">
        <f>PROPER(TRIM(SUBSTITUTE(W729,"  "," ")))</f>
        <v>Furniture</v>
      </c>
      <c r="Y729" s="3" t="s">
        <v>65</v>
      </c>
      <c r="Z729" s="6" t="str">
        <f>PROPER(TRIM(SUBSTITUTE(Y729,"  "," ")))</f>
        <v>Furnishings</v>
      </c>
      <c r="AA729" s="3" t="s">
        <v>2738</v>
      </c>
      <c r="AB729" s="3" t="s">
        <v>33</v>
      </c>
      <c r="AC729" s="6" t="str">
        <f>PROPER(TRIM(SUBSTITUTE(AB729,"  "," ")))</f>
        <v>Second Class</v>
      </c>
      <c r="AD729" s="3">
        <v>3</v>
      </c>
      <c r="AE729" s="3">
        <v>3946.44</v>
      </c>
      <c r="AF729" s="3">
        <v>0.25</v>
      </c>
      <c r="AG729" s="17">
        <v>0.25</v>
      </c>
      <c r="AH729" s="6" t="str">
        <f t="shared" si="91"/>
        <v>Valid</v>
      </c>
      <c r="AI729" s="3">
        <v>8879.49</v>
      </c>
      <c r="AJ729" s="3">
        <v>6344.57</v>
      </c>
      <c r="AK729" s="3">
        <v>2534.92</v>
      </c>
      <c r="AL729" s="3" t="s">
        <v>200</v>
      </c>
      <c r="AM729" s="6" t="str">
        <f>PROPER(TRIM(SUBSTITUTE(AL729,".","")))</f>
        <v>Failed</v>
      </c>
      <c r="AN729" s="3" t="s">
        <v>125</v>
      </c>
      <c r="AO729" s="8" t="str">
        <f>PROPER(TRIM(SUBSTITUTE(AN729,".","")))</f>
        <v>Returned</v>
      </c>
      <c r="AP729" t="str">
        <f>IF(COUNTIF($A$2:$A$933, A729) &gt; 1, "Duplicate ID", "Unique")</f>
        <v>Unique</v>
      </c>
      <c r="AR729">
        <f t="shared" si="92"/>
        <v>8879.49</v>
      </c>
      <c r="AS729">
        <f t="shared" si="93"/>
        <v>2534.92</v>
      </c>
      <c r="AT729" s="15">
        <f t="shared" si="94"/>
        <v>0.28548035979543873</v>
      </c>
      <c r="AU729" t="str">
        <f t="shared" si="95"/>
        <v>Clean</v>
      </c>
      <c r="AV729" s="8" t="str">
        <f t="shared" si="96"/>
        <v>Active</v>
      </c>
    </row>
    <row r="730" spans="1:48">
      <c r="A730" s="3" t="s">
        <v>453</v>
      </c>
      <c r="B730" s="3" t="s">
        <v>454</v>
      </c>
      <c r="C730" s="9">
        <f>IFERROR(DATEVALUE(TEXT(B730,"DD/MM/YYYY")), IF(ISNUMBER(B730), B730, ""))</f>
        <v>45891</v>
      </c>
      <c r="D730" s="9" t="str">
        <f>IF(B730="","Missing", IF(AND(ISNUMBER(B730)=FALSE, C730=""),"Invalid - Could Not Parse", IF(AND(ISNUMBER(B730)=FALSE, C730&lt;&gt;""),"Text - Converted to Date", IF(ISNUMBER(B730),"Valid","Check"))))</f>
        <v>Text - Converted to Date</v>
      </c>
      <c r="E730" s="5">
        <f t="shared" si="89"/>
        <v>8</v>
      </c>
      <c r="F730" s="5">
        <f t="shared" si="90"/>
        <v>2025</v>
      </c>
      <c r="G730" s="3" t="s">
        <v>455</v>
      </c>
      <c r="H730" s="9">
        <f>IFERROR(DATEVALUE(TEXT(G730,"DD/MM/YYYY")), IF(ISNUMBER(G730), G730, ""))</f>
        <v>45896</v>
      </c>
      <c r="I730" s="9" t="str">
        <f>IF(G730="","Missing", IF(AND(ISNUMBER(G730)=FALSE, H730=""),"Invalid - Could Not Parse", IF(AND(ISNUMBER(G730)=FALSE, H730&lt;&gt;""),"Text - Converted to Date", IF(ISNUMBER(G730),"Valid","Check"))))</f>
        <v>Text - Converted to Date</v>
      </c>
      <c r="J730" s="9" t="str">
        <f>IF(OR(C730="", H730=""), "Cannot Check - Date Missing", IF(H730&lt;C730, "Invalid - Ship Before Order", "Valid"))</f>
        <v>Valid</v>
      </c>
      <c r="K730" s="5">
        <f>IF(OR(C730="", H730=""), "", IF(H730&lt;C730, "", H730-C730))</f>
        <v>5</v>
      </c>
      <c r="L730" s="3" t="s">
        <v>456</v>
      </c>
      <c r="M730" s="3" t="s">
        <v>25</v>
      </c>
      <c r="N730" s="4" t="str">
        <f>TRIM(SUBSTITUTE(M730,"_"," "))</f>
        <v>Karan Malhotra</v>
      </c>
      <c r="O730" s="3" t="s">
        <v>108</v>
      </c>
      <c r="P730" s="6" t="str">
        <f>PROPER(TRIM(SUBSTITUTE(O730,".","")))</f>
        <v>Corporate</v>
      </c>
      <c r="Q730" s="3" t="s">
        <v>62</v>
      </c>
      <c r="R730" s="7" t="str">
        <f>PROPER(TRIM(SUBSTITUTE(Q730,"  "," ")))</f>
        <v>South</v>
      </c>
      <c r="S730" s="3" t="s">
        <v>100</v>
      </c>
      <c r="T730" s="6" t="str">
        <f>PROPER(TRIM(SUBSTITUTE(S730,"  "," ")))</f>
        <v>Andhra Pradesh</v>
      </c>
      <c r="U730" s="3" t="s">
        <v>101</v>
      </c>
      <c r="V730" s="6" t="str">
        <f>PROPER(TRIM(SUBSTITUTE(U730,"  "," ")))</f>
        <v>Vijayawada</v>
      </c>
      <c r="W730" s="3" t="s">
        <v>86</v>
      </c>
      <c r="X730" s="6" t="str">
        <f>PROPER(TRIM(SUBSTITUTE(W730,"  "," ")))</f>
        <v>Technology</v>
      </c>
      <c r="Y730" s="3" t="s">
        <v>223</v>
      </c>
      <c r="Z730" s="6" t="str">
        <f>PROPER(TRIM(SUBSTITUTE(Y730,"  "," ")))</f>
        <v>Phones</v>
      </c>
      <c r="AA730" s="3" t="s">
        <v>457</v>
      </c>
      <c r="AB730" s="3" t="s">
        <v>56</v>
      </c>
      <c r="AC730" s="6" t="str">
        <f>PROPER(TRIM(SUBSTITUTE(AB730,"  "," ")))</f>
        <v>First Class</v>
      </c>
      <c r="AD730" s="3">
        <v>2</v>
      </c>
      <c r="AE730" s="3">
        <v>905.87</v>
      </c>
      <c r="AF730" s="3">
        <v>0.15</v>
      </c>
      <c r="AG730" s="17">
        <v>0.15</v>
      </c>
      <c r="AH730" s="6" t="str">
        <f t="shared" si="91"/>
        <v>Valid</v>
      </c>
      <c r="AI730" s="3">
        <v>1539.98</v>
      </c>
      <c r="AJ730" s="3">
        <v>1070.2</v>
      </c>
      <c r="AK730" s="3">
        <v>469.78</v>
      </c>
      <c r="AL730" s="3" t="s">
        <v>34</v>
      </c>
      <c r="AM730" s="6" t="str">
        <f>PROPER(TRIM(SUBSTITUTE(AL730,".","")))</f>
        <v>Paid</v>
      </c>
      <c r="AN730" s="3" t="s">
        <v>35</v>
      </c>
      <c r="AO730" s="8" t="str">
        <f>PROPER(TRIM(SUBSTITUTE(AN730,".","")))</f>
        <v>Completed</v>
      </c>
      <c r="AP730" t="str">
        <f>IF(COUNTIF($A$2:$A$933, A730) &gt; 1, "Duplicate ID", "Unique")</f>
        <v>Unique</v>
      </c>
      <c r="AR730">
        <f t="shared" si="92"/>
        <v>1539.979</v>
      </c>
      <c r="AS730">
        <f t="shared" si="93"/>
        <v>469.779</v>
      </c>
      <c r="AT730" s="15">
        <f t="shared" si="94"/>
        <v>0.30505545854846072</v>
      </c>
      <c r="AU730" t="str">
        <f t="shared" si="95"/>
        <v>Clean</v>
      </c>
      <c r="AV730" s="8" t="str">
        <f t="shared" si="96"/>
        <v>Active</v>
      </c>
    </row>
    <row r="731" spans="1:48">
      <c r="A731" s="3" t="s">
        <v>477</v>
      </c>
      <c r="B731" s="3" t="s">
        <v>478</v>
      </c>
      <c r="C731" s="9">
        <f>IFERROR(DATEVALUE(TEXT(B731,"DD/MM/YYYY")), IF(ISNUMBER(B731), B731, ""))</f>
        <v>45891</v>
      </c>
      <c r="D731" s="9" t="str">
        <f>IF(B731="","Missing", IF(AND(ISNUMBER(B731)=FALSE, C731=""),"Invalid - Could Not Parse", IF(AND(ISNUMBER(B731)=FALSE, C731&lt;&gt;""),"Text - Converted to Date", IF(ISNUMBER(B731),"Valid","Check"))))</f>
        <v>Text - Converted to Date</v>
      </c>
      <c r="E731" s="5">
        <f t="shared" si="89"/>
        <v>8</v>
      </c>
      <c r="F731" s="5">
        <f t="shared" si="90"/>
        <v>2025</v>
      </c>
      <c r="G731" s="3" t="s">
        <v>479</v>
      </c>
      <c r="H731" s="9">
        <f>IFERROR(DATEVALUE(MID(G731,4,2) &amp; "/" &amp; LEFT(G731,2) &amp; "/" &amp; RIGHT(G731,4)), IF(ISNUMBER(G731), G731, IFERROR(DATEVALUE(G731), "")))</f>
        <v>45896</v>
      </c>
      <c r="I731" s="9" t="str">
        <f>IF(G731="","Missing", IF(AND(ISNUMBER(G731)=FALSE, H731=""),"Invalid - Could Not Parse", IF(AND(ISNUMBER(G731)=FALSE, H731&lt;&gt;""),"Text - Converted to Date", IF(ISNUMBER(G731),"Valid","Check"))))</f>
        <v>Text - Converted to Date</v>
      </c>
      <c r="J731" s="9" t="str">
        <f>IF(OR(C731="", H731=""), "Cannot Check - Date Missing", IF(H731&lt;C731, "Invalid - Ship Before Order", "Valid"))</f>
        <v>Valid</v>
      </c>
      <c r="K731" s="5">
        <f>IF(OR(C731="", H731=""), "", IF(H731&lt;C731, "", H731-C731))</f>
        <v>5</v>
      </c>
      <c r="L731" s="3" t="s">
        <v>480</v>
      </c>
      <c r="M731" s="3" t="s">
        <v>142</v>
      </c>
      <c r="N731" s="4" t="str">
        <f>TRIM(SUBSTITUTE(M731,"_"," "))</f>
        <v>Priya Menon</v>
      </c>
      <c r="O731" s="3" t="s">
        <v>41</v>
      </c>
      <c r="P731" s="6" t="str">
        <f>PROPER(TRIM(SUBSTITUTE(O731,".","")))</f>
        <v>Small Business</v>
      </c>
      <c r="Q731" s="3" t="s">
        <v>42</v>
      </c>
      <c r="R731" s="7" t="str">
        <f>PROPER(TRIM(SUBSTITUTE(Q731,"  "," ")))</f>
        <v>East</v>
      </c>
      <c r="S731" s="3" t="s">
        <v>43</v>
      </c>
      <c r="T731" s="6" t="str">
        <f>PROPER(TRIM(SUBSTITUTE(S731,"  "," ")))</f>
        <v>Odisha</v>
      </c>
      <c r="U731" s="3" t="s">
        <v>44</v>
      </c>
      <c r="V731" s="6" t="str">
        <f>PROPER(TRIM(SUBSTITUTE(U731,"  "," ")))</f>
        <v>Bhubaneswar</v>
      </c>
      <c r="W731" s="3" t="s">
        <v>30</v>
      </c>
      <c r="X731" s="6" t="str">
        <f>PROPER(TRIM(SUBSTITUTE(W731,"  "," ")))</f>
        <v>Office Supplies</v>
      </c>
      <c r="Y731" s="3" t="s">
        <v>109</v>
      </c>
      <c r="Z731" s="6" t="str">
        <f>PROPER(TRIM(SUBSTITUTE(Y731,"  "," ")))</f>
        <v>Labels</v>
      </c>
      <c r="AA731" s="3" t="s">
        <v>481</v>
      </c>
      <c r="AB731" s="3" t="s">
        <v>56</v>
      </c>
      <c r="AC731" s="6" t="str">
        <f>PROPER(TRIM(SUBSTITUTE(AB731,"  "," ")))</f>
        <v>First Class</v>
      </c>
      <c r="AD731" s="3">
        <v>3</v>
      </c>
      <c r="AE731" s="3">
        <v>3294.82</v>
      </c>
      <c r="AF731" s="3">
        <v>0.2</v>
      </c>
      <c r="AG731" s="17">
        <v>0.2</v>
      </c>
      <c r="AH731" s="6" t="str">
        <f t="shared" si="91"/>
        <v>Valid</v>
      </c>
      <c r="AI731" s="3">
        <v>7907.57</v>
      </c>
      <c r="AJ731" s="3">
        <v>5391.18</v>
      </c>
      <c r="AK731" s="3">
        <v>2516.39</v>
      </c>
      <c r="AL731" s="3" t="s">
        <v>34</v>
      </c>
      <c r="AM731" s="6" t="str">
        <f>PROPER(TRIM(SUBSTITUTE(AL731,".","")))</f>
        <v>Paid</v>
      </c>
      <c r="AN731" s="3" t="s">
        <v>35</v>
      </c>
      <c r="AO731" s="8" t="str">
        <f>PROPER(TRIM(SUBSTITUTE(AN731,".","")))</f>
        <v>Completed</v>
      </c>
      <c r="AP731" t="str">
        <f>IF(COUNTIF($A$2:$A$933, A731) &gt; 1, "Duplicate ID", "Unique")</f>
        <v>Unique</v>
      </c>
      <c r="AR731">
        <f t="shared" si="92"/>
        <v>7907.5680000000011</v>
      </c>
      <c r="AS731">
        <f t="shared" si="93"/>
        <v>2516.3880000000008</v>
      </c>
      <c r="AT731" s="15">
        <f t="shared" si="94"/>
        <v>0.31822527482533197</v>
      </c>
      <c r="AU731" t="str">
        <f t="shared" si="95"/>
        <v>Clean</v>
      </c>
      <c r="AV731" s="8" t="str">
        <f t="shared" si="96"/>
        <v>Active</v>
      </c>
    </row>
    <row r="732" spans="1:48">
      <c r="A732" s="3" t="s">
        <v>697</v>
      </c>
      <c r="B732" s="3" t="s">
        <v>698</v>
      </c>
      <c r="C732" s="9">
        <v>45891</v>
      </c>
      <c r="D732" s="9" t="str">
        <f>IF(B732="","Missing", IF(AND(ISNUMBER(B732)=FALSE, C732=""),"Invalid - Could Not Parse", IF(AND(ISNUMBER(B732)=FALSE, C732&lt;&gt;""),"Text - Converted to Date", IF(ISNUMBER(B732),"Valid","Check"))))</f>
        <v>Text - Converted to Date</v>
      </c>
      <c r="E732" s="5">
        <f t="shared" si="89"/>
        <v>8</v>
      </c>
      <c r="F732" s="5">
        <f t="shared" si="90"/>
        <v>2025</v>
      </c>
      <c r="G732" s="3" t="s">
        <v>699</v>
      </c>
      <c r="H732" s="9">
        <f>IFERROR(DATEVALUE(MID(G732,4,2) &amp; "/" &amp; LEFT(G732,2) &amp; "/" &amp; RIGHT(G732,4)), IF(ISNUMBER(G732), G732, IFERROR(DATEVALUE(G732), "")))</f>
        <v>45895</v>
      </c>
      <c r="I732" s="9" t="str">
        <f>IF(G732="","Missing", IF(AND(ISNUMBER(G732)=FALSE, H732=""),"Invalid - Could Not Parse", IF(AND(ISNUMBER(G732)=FALSE, H732&lt;&gt;""),"Text - Converted to Date", IF(ISNUMBER(G732),"Valid","Check"))))</f>
        <v>Text - Converted to Date</v>
      </c>
      <c r="J732" s="9" t="str">
        <f>IF(OR(C732="", H732=""), "Cannot Check - Date Missing", IF(H732&lt;C732, "Invalid - Ship Before Order", "Valid"))</f>
        <v>Valid</v>
      </c>
      <c r="K732" s="5">
        <f>IF(OR(C732="", H732=""), "", IF(H732&lt;C732, "", H732-C732))</f>
        <v>4</v>
      </c>
      <c r="L732" s="3" t="s">
        <v>700</v>
      </c>
      <c r="M732" s="3" t="s">
        <v>366</v>
      </c>
      <c r="N732" s="4" t="str">
        <f>TRIM(SUBSTITUTE(M732,"_"," "))</f>
        <v>Kabir Singh</v>
      </c>
      <c r="O732" s="3" t="s">
        <v>701</v>
      </c>
      <c r="P732" s="6" t="str">
        <f>PROPER(TRIM(SUBSTITUTE(O732,".","")))</f>
        <v>Small Business</v>
      </c>
      <c r="Q732" s="3" t="s">
        <v>62</v>
      </c>
      <c r="R732" s="7" t="str">
        <f>PROPER(TRIM(SUBSTITUTE(Q732,"  "," ")))</f>
        <v>South</v>
      </c>
      <c r="S732" s="3" t="s">
        <v>100</v>
      </c>
      <c r="T732" s="6" t="str">
        <f>PROPER(TRIM(SUBSTITUTE(S732,"  "," ")))</f>
        <v>Andhra Pradesh</v>
      </c>
      <c r="U732" s="3" t="s">
        <v>101</v>
      </c>
      <c r="V732" s="6" t="str">
        <f>PROPER(TRIM(SUBSTITUTE(U732,"  "," ")))</f>
        <v>Vijayawada</v>
      </c>
      <c r="W732" s="3" t="s">
        <v>86</v>
      </c>
      <c r="X732" s="6" t="str">
        <f>PROPER(TRIM(SUBSTITUTE(W732,"  "," ")))</f>
        <v>Technology</v>
      </c>
      <c r="Y732" s="3" t="s">
        <v>382</v>
      </c>
      <c r="Z732" s="6" t="str">
        <f>PROPER(TRIM(SUBSTITUTE(Y732,"  "," ")))</f>
        <v>Machines</v>
      </c>
      <c r="AA732" s="3" t="s">
        <v>702</v>
      </c>
      <c r="AB732" s="3" t="s">
        <v>33</v>
      </c>
      <c r="AC732" s="6" t="str">
        <f>PROPER(TRIM(SUBSTITUTE(AB732,"  "," ")))</f>
        <v>Second Class</v>
      </c>
      <c r="AD732" s="3">
        <v>5</v>
      </c>
      <c r="AE732" s="3">
        <v>3482.92</v>
      </c>
      <c r="AF732" s="3">
        <v>0</v>
      </c>
      <c r="AG732" s="17">
        <v>0</v>
      </c>
      <c r="AH732" s="6" t="str">
        <f t="shared" si="91"/>
        <v>Valid</v>
      </c>
      <c r="AI732" s="3">
        <v>17414.599999999999</v>
      </c>
      <c r="AJ732" s="3">
        <v>11760.91</v>
      </c>
      <c r="AK732" s="3">
        <v>5653.69</v>
      </c>
      <c r="AL732" s="3" t="s">
        <v>124</v>
      </c>
      <c r="AM732" s="6" t="str">
        <f>PROPER(TRIM(SUBSTITUTE(AL732,".","")))</f>
        <v>Refunded</v>
      </c>
      <c r="AN732" s="3" t="s">
        <v>78</v>
      </c>
      <c r="AO732" s="8" t="str">
        <f>PROPER(TRIM(SUBSTITUTE(AN732,".","")))</f>
        <v>Cancelled</v>
      </c>
      <c r="AP732" t="str">
        <f>IF(COUNTIF($A$2:$A$933, A732) &gt; 1, "Duplicate ID", "Unique")</f>
        <v>Unique</v>
      </c>
      <c r="AR732">
        <f t="shared" si="92"/>
        <v>17414.599999999999</v>
      </c>
      <c r="AS732">
        <f t="shared" si="93"/>
        <v>5653.6899999999987</v>
      </c>
      <c r="AT732" s="15">
        <f t="shared" si="94"/>
        <v>0.3246523032398102</v>
      </c>
      <c r="AU732" t="str">
        <f t="shared" si="95"/>
        <v>Clean</v>
      </c>
      <c r="AV732" s="8" t="str">
        <f t="shared" si="96"/>
        <v>Refund</v>
      </c>
    </row>
    <row r="733" spans="1:48">
      <c r="A733" s="3" t="s">
        <v>1490</v>
      </c>
      <c r="B733" s="3" t="s">
        <v>1491</v>
      </c>
      <c r="C733" s="9">
        <f>IFERROR(DATEVALUE(TEXT(B733,"DD/MM/YYYY")), IF(ISNUMBER(B733), B733, ""))</f>
        <v>45891</v>
      </c>
      <c r="D733" s="9" t="str">
        <f>IF(B733="","Missing", IF(AND(ISNUMBER(B733)=FALSE, C733=""),"Invalid - Could Not Parse", IF(AND(ISNUMBER(B733)=FALSE, C733&lt;&gt;""),"Text - Converted to Date", IF(ISNUMBER(B733),"Valid","Check"))))</f>
        <v>Text - Converted to Date</v>
      </c>
      <c r="E733" s="5">
        <f t="shared" si="89"/>
        <v>8</v>
      </c>
      <c r="F733" s="5">
        <f t="shared" si="90"/>
        <v>2025</v>
      </c>
      <c r="G733" s="3" t="s">
        <v>1492</v>
      </c>
      <c r="H733" s="9">
        <f>IFERROR(DATEVALUE(TEXT(G733,"DD/MM/YYYY")), IF(ISNUMBER(G733), G733, ""))</f>
        <v>45895</v>
      </c>
      <c r="I733" s="9" t="str">
        <f>IF(G733="","Missing", IF(AND(ISNUMBER(G733)=FALSE, H733=""),"Invalid - Could Not Parse", IF(AND(ISNUMBER(G733)=FALSE, H733&lt;&gt;""),"Text - Converted to Date", IF(ISNUMBER(G733),"Valid","Check"))))</f>
        <v>Text - Converted to Date</v>
      </c>
      <c r="J733" s="9" t="str">
        <f>IF(OR(C733="", H733=""), "Cannot Check - Date Missing", IF(H733&lt;C733, "Invalid - Ship Before Order", "Valid"))</f>
        <v>Valid</v>
      </c>
      <c r="K733" s="5">
        <f>IF(OR(C733="", H733=""), "", IF(H733&lt;C733, "", H733-C733))</f>
        <v>4</v>
      </c>
      <c r="L733" s="3" t="s">
        <v>1493</v>
      </c>
      <c r="M733" s="3" t="s">
        <v>210</v>
      </c>
      <c r="N733" s="4" t="str">
        <f>TRIM(SUBSTITUTE(M733,"_"," "))</f>
        <v>Diya Patel</v>
      </c>
      <c r="O733" s="3" t="s">
        <v>115</v>
      </c>
      <c r="P733" s="6" t="str">
        <f>PROPER(TRIM(SUBSTITUTE(O733,".","")))</f>
        <v>Home Office</v>
      </c>
      <c r="Q733" s="3" t="s">
        <v>42</v>
      </c>
      <c r="R733" s="7" t="str">
        <f>PROPER(TRIM(SUBSTITUTE(Q733,"  "," ")))</f>
        <v>East</v>
      </c>
      <c r="S733" s="3" t="s">
        <v>311</v>
      </c>
      <c r="T733" s="6" t="str">
        <f>PROPER(TRIM(SUBSTITUTE(S733,"  "," ")))</f>
        <v>Jharkhand</v>
      </c>
      <c r="U733" s="3" t="s">
        <v>312</v>
      </c>
      <c r="V733" s="6" t="str">
        <f>PROPER(TRIM(SUBSTITUTE(U733,"  "," ")))</f>
        <v>Ranchi</v>
      </c>
      <c r="W733" s="3" t="s">
        <v>45</v>
      </c>
      <c r="X733" s="6" t="str">
        <f>PROPER(TRIM(SUBSTITUTE(W733,"  "," ")))</f>
        <v>Furniture</v>
      </c>
      <c r="Y733" s="3" t="s">
        <v>46</v>
      </c>
      <c r="Z733" s="6" t="str">
        <f>PROPER(TRIM(SUBSTITUTE(Y733,"  "," ")))</f>
        <v>Tables</v>
      </c>
      <c r="AA733" s="3" t="s">
        <v>1494</v>
      </c>
      <c r="AB733" s="3" t="s">
        <v>67</v>
      </c>
      <c r="AC733" s="6" t="str">
        <f>PROPER(TRIM(SUBSTITUTE(AB733,"  "," ")))</f>
        <v>Standard Class</v>
      </c>
      <c r="AD733" s="3">
        <v>1</v>
      </c>
      <c r="AE733" s="3">
        <v>1842.63</v>
      </c>
      <c r="AF733" s="3">
        <v>0.1</v>
      </c>
      <c r="AG733" s="17">
        <v>0.1</v>
      </c>
      <c r="AH733" s="6" t="str">
        <f t="shared" si="91"/>
        <v>Valid</v>
      </c>
      <c r="AI733" s="3">
        <v>1658.37</v>
      </c>
      <c r="AJ733" s="3">
        <v>971.12</v>
      </c>
      <c r="AK733" s="3">
        <v>687.25</v>
      </c>
      <c r="AL733" s="3" t="s">
        <v>34</v>
      </c>
      <c r="AM733" s="6" t="str">
        <f>PROPER(TRIM(SUBSTITUTE(AL733,".","")))</f>
        <v>Paid</v>
      </c>
      <c r="AN733" s="3" t="s">
        <v>35</v>
      </c>
      <c r="AO733" s="8" t="str">
        <f>PROPER(TRIM(SUBSTITUTE(AN733,".","")))</f>
        <v>Completed</v>
      </c>
      <c r="AP733" t="str">
        <f>IF(COUNTIF($A$2:$A$933, A733) &gt; 1, "Duplicate ID", "Unique")</f>
        <v>Unique</v>
      </c>
      <c r="AR733">
        <f t="shared" si="92"/>
        <v>1658.3670000000002</v>
      </c>
      <c r="AS733">
        <f t="shared" si="93"/>
        <v>687.24700000000018</v>
      </c>
      <c r="AT733" s="15">
        <f t="shared" si="94"/>
        <v>0.41441188832146331</v>
      </c>
      <c r="AU733" t="str">
        <f t="shared" si="95"/>
        <v>Clean</v>
      </c>
      <c r="AV733" s="8" t="str">
        <f t="shared" si="96"/>
        <v>Active</v>
      </c>
    </row>
    <row r="734" spans="1:48">
      <c r="A734" s="3" t="s">
        <v>3340</v>
      </c>
      <c r="B734" s="3" t="s">
        <v>454</v>
      </c>
      <c r="C734" s="9">
        <f>IFERROR(DATEVALUE(TEXT(B734,"DD/MM/YYYY")), IF(ISNUMBER(B734), B734, ""))</f>
        <v>45891</v>
      </c>
      <c r="D734" s="9" t="str">
        <f>IF(B734="","Missing", IF(AND(ISNUMBER(B734)=FALSE, C734=""),"Invalid - Could Not Parse", IF(AND(ISNUMBER(B734)=FALSE, C734&lt;&gt;""),"Text - Converted to Date", IF(ISNUMBER(B734),"Valid","Check"))))</f>
        <v>Text - Converted to Date</v>
      </c>
      <c r="E734" s="5">
        <f t="shared" si="89"/>
        <v>8</v>
      </c>
      <c r="F734" s="5">
        <f t="shared" si="90"/>
        <v>2025</v>
      </c>
      <c r="G734" s="3" t="s">
        <v>455</v>
      </c>
      <c r="H734" s="9">
        <f>IFERROR(DATEVALUE(TEXT(G734,"DD/MM/YYYY")), IF(ISNUMBER(G734), G734, ""))</f>
        <v>45896</v>
      </c>
      <c r="I734" s="9" t="str">
        <f>IF(G734="","Missing", IF(AND(ISNUMBER(G734)=FALSE, H734=""),"Invalid - Could Not Parse", IF(AND(ISNUMBER(G734)=FALSE, H734&lt;&gt;""),"Text - Converted to Date", IF(ISNUMBER(G734),"Valid","Check"))))</f>
        <v>Text - Converted to Date</v>
      </c>
      <c r="J734" s="9" t="str">
        <f>IF(OR(C734="", H734=""), "Cannot Check - Date Missing", IF(H734&lt;C734, "Invalid - Ship Before Order", "Valid"))</f>
        <v>Valid</v>
      </c>
      <c r="K734" s="5">
        <f>IF(OR(C734="", H734=""), "", IF(H734&lt;C734, "", H734-C734))</f>
        <v>5</v>
      </c>
      <c r="L734" s="3" t="s">
        <v>3341</v>
      </c>
      <c r="M734" s="3" t="s">
        <v>142</v>
      </c>
      <c r="N734" s="4" t="str">
        <f>TRIM(SUBSTITUTE(M734,"_"," "))</f>
        <v>Priya Menon</v>
      </c>
      <c r="O734" s="3" t="s">
        <v>26</v>
      </c>
      <c r="P734" s="6" t="str">
        <f>PROPER(TRIM(SUBSTITUTE(O734,".","")))</f>
        <v>Consumer</v>
      </c>
      <c r="Q734" s="3" t="s">
        <v>27</v>
      </c>
      <c r="R734" s="7" t="str">
        <f>PROPER(TRIM(SUBSTITUTE(Q734,"  "," ")))</f>
        <v>North</v>
      </c>
      <c r="S734" s="3" t="s">
        <v>323</v>
      </c>
      <c r="T734" s="6" t="str">
        <f>PROPER(TRIM(SUBSTITUTE(S734,"  "," ")))</f>
        <v>Haryana</v>
      </c>
      <c r="U734" s="3" t="s">
        <v>324</v>
      </c>
      <c r="V734" s="6" t="str">
        <f>PROPER(TRIM(SUBSTITUTE(U734,"  "," ")))</f>
        <v>Gurugram</v>
      </c>
      <c r="W734" s="3" t="s">
        <v>45</v>
      </c>
      <c r="X734" s="6" t="str">
        <f>PROPER(TRIM(SUBSTITUTE(W734,"  "," ")))</f>
        <v>Furniture</v>
      </c>
      <c r="Y734" s="3" t="s">
        <v>76</v>
      </c>
      <c r="Z734" s="6" t="str">
        <f>PROPER(TRIM(SUBSTITUTE(Y734,"  "," ")))</f>
        <v>Chairs</v>
      </c>
      <c r="AA734" s="3" t="s">
        <v>3342</v>
      </c>
      <c r="AB734" s="3" t="s">
        <v>33</v>
      </c>
      <c r="AC734" s="6" t="str">
        <f>PROPER(TRIM(SUBSTITUTE(AB734,"  "," ")))</f>
        <v>Second Class</v>
      </c>
      <c r="AD734" s="3">
        <v>7</v>
      </c>
      <c r="AE734" s="3">
        <v>2843.09</v>
      </c>
      <c r="AF734" s="3">
        <v>0</v>
      </c>
      <c r="AG734" s="17">
        <v>0</v>
      </c>
      <c r="AH734" s="6" t="str">
        <f t="shared" si="91"/>
        <v>Valid</v>
      </c>
      <c r="AI734" s="3">
        <v>19901.63</v>
      </c>
      <c r="AJ734" s="3">
        <v>15492.03</v>
      </c>
      <c r="AK734" s="3">
        <v>4409.6000000000004</v>
      </c>
      <c r="AL734" s="3" t="s">
        <v>124</v>
      </c>
      <c r="AM734" s="6" t="str">
        <f>PROPER(TRIM(SUBSTITUTE(AL734,".","")))</f>
        <v>Refunded</v>
      </c>
      <c r="AN734" s="3" t="s">
        <v>78</v>
      </c>
      <c r="AO734" s="8" t="str">
        <f>PROPER(TRIM(SUBSTITUTE(AN734,".","")))</f>
        <v>Cancelled</v>
      </c>
      <c r="AP734" t="str">
        <f>IF(COUNTIF($A$2:$A$933, A734) &gt; 1, "Duplicate ID", "Unique")</f>
        <v>Unique</v>
      </c>
      <c r="AR734">
        <f t="shared" si="92"/>
        <v>19901.63</v>
      </c>
      <c r="AS734">
        <f t="shared" si="93"/>
        <v>4409.6000000000004</v>
      </c>
      <c r="AT734" s="15">
        <f t="shared" si="94"/>
        <v>0.22156979101711771</v>
      </c>
      <c r="AU734" t="str">
        <f t="shared" si="95"/>
        <v>Clean</v>
      </c>
      <c r="AV734" s="8" t="str">
        <f t="shared" si="96"/>
        <v>Refund</v>
      </c>
    </row>
    <row r="735" spans="1:48">
      <c r="A735" s="3" t="s">
        <v>639</v>
      </c>
      <c r="B735" s="3" t="s">
        <v>640</v>
      </c>
      <c r="C735" s="9">
        <f>IFERROR(DATEVALUE(TEXT(B735,"DD/MM/YYYY")), IF(ISNUMBER(B735), B735, ""))</f>
        <v>45892</v>
      </c>
      <c r="D735" s="9" t="str">
        <f>IF(B735="","Missing", IF(AND(ISNUMBER(B735)=FALSE, C735=""),"Invalid - Could Not Parse", IF(AND(ISNUMBER(B735)=FALSE, C735&lt;&gt;""),"Text - Converted to Date", IF(ISNUMBER(B735),"Valid","Check"))))</f>
        <v>Text - Converted to Date</v>
      </c>
      <c r="E735" s="5">
        <f t="shared" si="89"/>
        <v>8</v>
      </c>
      <c r="F735" s="5">
        <f t="shared" si="90"/>
        <v>2025</v>
      </c>
      <c r="G735" s="3" t="s">
        <v>479</v>
      </c>
      <c r="H735" s="9">
        <f>IFERROR(DATEVALUE(MID(G735,4,2) &amp; "/" &amp; LEFT(G735,2) &amp; "/" &amp; RIGHT(G735,4)), IF(ISNUMBER(G735), G735, IFERROR(DATEVALUE(G735), "")))</f>
        <v>45896</v>
      </c>
      <c r="I735" s="9" t="str">
        <f>IF(G735="","Missing", IF(AND(ISNUMBER(G735)=FALSE, H735=""),"Invalid - Could Not Parse", IF(AND(ISNUMBER(G735)=FALSE, H735&lt;&gt;""),"Text - Converted to Date", IF(ISNUMBER(G735),"Valid","Check"))))</f>
        <v>Text - Converted to Date</v>
      </c>
      <c r="J735" s="9" t="str">
        <f>IF(OR(C735="", H735=""), "Cannot Check - Date Missing", IF(H735&lt;C735, "Invalid - Ship Before Order", "Valid"))</f>
        <v>Valid</v>
      </c>
      <c r="K735" s="5">
        <f>IF(OR(C735="", H735=""), "", IF(H735&lt;C735, "", H735-C735))</f>
        <v>4</v>
      </c>
      <c r="L735" s="3" t="s">
        <v>641</v>
      </c>
      <c r="M735" s="3" t="s">
        <v>168</v>
      </c>
      <c r="N735" s="4" t="str">
        <f>TRIM(SUBSTITUTE(M735,"_"," "))</f>
        <v>Sneha Kapoor</v>
      </c>
      <c r="O735" s="3" t="s">
        <v>26</v>
      </c>
      <c r="P735" s="6" t="str">
        <f>PROPER(TRIM(SUBSTITUTE(O735,".","")))</f>
        <v>Consumer</v>
      </c>
      <c r="Q735" s="3" t="s">
        <v>27</v>
      </c>
      <c r="R735" s="7" t="str">
        <f>PROPER(TRIM(SUBSTITUTE(Q735,"  "," ")))</f>
        <v>North</v>
      </c>
      <c r="S735" s="3" t="s">
        <v>506</v>
      </c>
      <c r="T735" s="6" t="str">
        <f>PROPER(TRIM(SUBSTITUTE(S735,"  "," ")))</f>
        <v>Delhi</v>
      </c>
      <c r="U735" s="3" t="s">
        <v>507</v>
      </c>
      <c r="V735" s="6" t="str">
        <f>PROPER(TRIM(SUBSTITUTE(U735,"  "," ")))</f>
        <v>New Delhi</v>
      </c>
      <c r="W735" s="3" t="s">
        <v>30</v>
      </c>
      <c r="X735" s="6" t="str">
        <f>PROPER(TRIM(SUBSTITUTE(W735,"  "," ")))</f>
        <v>Office Supplies</v>
      </c>
      <c r="Y735" s="3" t="s">
        <v>198</v>
      </c>
      <c r="Z735" s="6" t="str">
        <f>PROPER(TRIM(SUBSTITUTE(Y735,"  "," ")))</f>
        <v>Binders</v>
      </c>
      <c r="AA735" s="3" t="s">
        <v>642</v>
      </c>
      <c r="AB735" s="3" t="s">
        <v>33</v>
      </c>
      <c r="AC735" s="6" t="str">
        <f>PROPER(TRIM(SUBSTITUTE(AB735,"  "," ")))</f>
        <v>Second Class</v>
      </c>
      <c r="AD735" s="3">
        <v>1</v>
      </c>
      <c r="AE735" s="3">
        <v>2788.62</v>
      </c>
      <c r="AF735" s="3">
        <v>0.25</v>
      </c>
      <c r="AG735" s="17">
        <v>0.25</v>
      </c>
      <c r="AH735" s="6" t="str">
        <f t="shared" si="91"/>
        <v>Valid</v>
      </c>
      <c r="AI735" s="3">
        <v>2091.4699999999998</v>
      </c>
      <c r="AJ735" s="3">
        <v>1317.22</v>
      </c>
      <c r="AK735" s="3">
        <v>774.25</v>
      </c>
      <c r="AL735" s="3" t="s">
        <v>34</v>
      </c>
      <c r="AM735" s="6" t="str">
        <f>PROPER(TRIM(SUBSTITUTE(AL735,".","")))</f>
        <v>Paid</v>
      </c>
      <c r="AN735" s="3" t="s">
        <v>35</v>
      </c>
      <c r="AO735" s="8" t="str">
        <f>PROPER(TRIM(SUBSTITUTE(AN735,".","")))</f>
        <v>Completed</v>
      </c>
      <c r="AP735" t="str">
        <f>IF(COUNTIF($A$2:$A$933, A735) &gt; 1, "Duplicate ID", "Unique")</f>
        <v>Unique</v>
      </c>
      <c r="AR735">
        <f t="shared" si="92"/>
        <v>2091.4650000000001</v>
      </c>
      <c r="AS735">
        <f t="shared" si="93"/>
        <v>774.24500000000012</v>
      </c>
      <c r="AT735" s="15">
        <f t="shared" si="94"/>
        <v>0.37019266399389905</v>
      </c>
      <c r="AU735" t="str">
        <f t="shared" si="95"/>
        <v>Clean</v>
      </c>
      <c r="AV735" s="8" t="str">
        <f t="shared" si="96"/>
        <v>Active</v>
      </c>
    </row>
    <row r="736" spans="1:48">
      <c r="A736" s="3" t="s">
        <v>2032</v>
      </c>
      <c r="B736" s="3" t="s">
        <v>2033</v>
      </c>
      <c r="C736" s="9">
        <f>IFERROR(DATEVALUE(TEXT(B736,"DD/MM/YYYY")), IF(ISNUMBER(B736), B736, ""))</f>
        <v>45892</v>
      </c>
      <c r="D736" s="9" t="str">
        <f>IF(B736="","Missing", IF(AND(ISNUMBER(B736)=FALSE, C736=""),"Invalid - Could Not Parse", IF(AND(ISNUMBER(B736)=FALSE, C736&lt;&gt;""),"Text - Converted to Date", IF(ISNUMBER(B736),"Valid","Check"))))</f>
        <v>Text - Converted to Date</v>
      </c>
      <c r="E736" s="5">
        <f t="shared" si="89"/>
        <v>8</v>
      </c>
      <c r="F736" s="5">
        <f t="shared" si="90"/>
        <v>2025</v>
      </c>
      <c r="G736" s="3" t="s">
        <v>2034</v>
      </c>
      <c r="H736" s="9">
        <f>IFERROR(DATEVALUE(TEXT(G736,"DD/MM/YYYY")), IF(ISNUMBER(G736), G736, ""))</f>
        <v>45897</v>
      </c>
      <c r="I736" s="9" t="str">
        <f>IF(G736="","Missing", IF(AND(ISNUMBER(G736)=FALSE, H736=""),"Invalid - Could Not Parse", IF(AND(ISNUMBER(G736)=FALSE, H736&lt;&gt;""),"Text - Converted to Date", IF(ISNUMBER(G736),"Valid","Check"))))</f>
        <v>Text - Converted to Date</v>
      </c>
      <c r="J736" s="9" t="str">
        <f>IF(OR(C736="", H736=""), "Cannot Check - Date Missing", IF(H736&lt;C736, "Invalid - Ship Before Order", "Valid"))</f>
        <v>Valid</v>
      </c>
      <c r="K736" s="5">
        <f>IF(OR(C736="", H736=""), "", IF(H736&lt;C736, "", H736-C736))</f>
        <v>5</v>
      </c>
      <c r="L736" s="3" t="s">
        <v>2035</v>
      </c>
      <c r="M736" s="3" t="s">
        <v>61</v>
      </c>
      <c r="N736" s="4" t="str">
        <f>TRIM(SUBSTITUTE(M736,"_"," "))</f>
        <v>Arjun Bose</v>
      </c>
      <c r="O736" s="3" t="s">
        <v>115</v>
      </c>
      <c r="P736" s="6" t="str">
        <f>PROPER(TRIM(SUBSTITUTE(O736,".","")))</f>
        <v>Home Office</v>
      </c>
      <c r="Q736" s="3" t="s">
        <v>73</v>
      </c>
      <c r="R736" s="7" t="str">
        <f>PROPER(TRIM(SUBSTITUTE(Q736,"  "," ")))</f>
        <v>West</v>
      </c>
      <c r="S736" s="3" t="s">
        <v>28</v>
      </c>
      <c r="T736" s="6" t="str">
        <f>PROPER(TRIM(SUBSTITUTE(S736,"  "," ")))</f>
        <v>Rajasthan</v>
      </c>
      <c r="U736" s="3" t="s">
        <v>135</v>
      </c>
      <c r="V736" s="6" t="str">
        <f>PROPER(TRIM(SUBSTITUTE(U736,"  "," ")))</f>
        <v>Udaipur</v>
      </c>
      <c r="W736" s="3" t="s">
        <v>45</v>
      </c>
      <c r="X736" s="6" t="str">
        <f>PROPER(TRIM(SUBSTITUTE(W736,"  "," ")))</f>
        <v>Furniture</v>
      </c>
      <c r="Y736" s="3" t="s">
        <v>46</v>
      </c>
      <c r="Z736" s="6" t="str">
        <f>PROPER(TRIM(SUBSTITUTE(Y736,"  "," ")))</f>
        <v>Tables</v>
      </c>
      <c r="AA736" s="3" t="s">
        <v>2036</v>
      </c>
      <c r="AB736" s="3" t="s">
        <v>56</v>
      </c>
      <c r="AC736" s="6" t="str">
        <f>PROPER(TRIM(SUBSTITUTE(AB736,"  "," ")))</f>
        <v>First Class</v>
      </c>
      <c r="AD736" s="3">
        <v>1</v>
      </c>
      <c r="AE736" s="3">
        <v>4167.8100000000004</v>
      </c>
      <c r="AF736" s="3">
        <v>0.2</v>
      </c>
      <c r="AG736" s="17">
        <v>0.2</v>
      </c>
      <c r="AH736" s="6" t="str">
        <f t="shared" si="91"/>
        <v>Valid</v>
      </c>
      <c r="AI736" s="3">
        <v>3334.25</v>
      </c>
      <c r="AJ736" s="3">
        <v>2768.77</v>
      </c>
      <c r="AK736" s="3">
        <v>565.48</v>
      </c>
      <c r="AL736" s="3" t="s">
        <v>200</v>
      </c>
      <c r="AM736" s="6" t="str">
        <f>PROPER(TRIM(SUBSTITUTE(AL736,".","")))</f>
        <v>Failed</v>
      </c>
      <c r="AN736" s="3" t="s">
        <v>125</v>
      </c>
      <c r="AO736" s="8" t="str">
        <f>PROPER(TRIM(SUBSTITUTE(AN736,".","")))</f>
        <v>Returned</v>
      </c>
      <c r="AP736" t="str">
        <f>IF(COUNTIF($A$2:$A$933, A736) &gt; 1, "Duplicate ID", "Unique")</f>
        <v>Unique</v>
      </c>
      <c r="AR736">
        <f t="shared" si="92"/>
        <v>3334.2480000000005</v>
      </c>
      <c r="AS736">
        <f t="shared" si="93"/>
        <v>565.47800000000052</v>
      </c>
      <c r="AT736" s="15">
        <f t="shared" si="94"/>
        <v>0.16959686262089696</v>
      </c>
      <c r="AU736" t="str">
        <f t="shared" si="95"/>
        <v>Clean</v>
      </c>
      <c r="AV736" s="8" t="str">
        <f t="shared" si="96"/>
        <v>Active</v>
      </c>
    </row>
    <row r="737" spans="1:48">
      <c r="A737" s="3" t="s">
        <v>3535</v>
      </c>
      <c r="B737" s="3" t="s">
        <v>3536</v>
      </c>
      <c r="C737" s="9">
        <f>IFERROR(DATEVALUE(TEXT(B737,"DD/MM/YYYY")), IF(ISNUMBER(B737), B737, ""))</f>
        <v>45892</v>
      </c>
      <c r="D737" s="9" t="str">
        <f>IF(B737="","Missing", IF(AND(ISNUMBER(B737)=FALSE, C737=""),"Invalid - Could Not Parse", IF(AND(ISNUMBER(B737)=FALSE, C737&lt;&gt;""),"Text - Converted to Date", IF(ISNUMBER(B737),"Valid","Check"))))</f>
        <v>Text - Converted to Date</v>
      </c>
      <c r="E737" s="5">
        <f t="shared" si="89"/>
        <v>8</v>
      </c>
      <c r="F737" s="5">
        <f t="shared" si="90"/>
        <v>2025</v>
      </c>
      <c r="G737" s="3" t="s">
        <v>3537</v>
      </c>
      <c r="H737" s="9">
        <f>IFERROR(DATEVALUE(TEXT(G737,"DD/MM/YYYY")), IF(ISNUMBER(G737), G737, ""))</f>
        <v>45894</v>
      </c>
      <c r="I737" s="9" t="str">
        <f>IF(G737="","Missing", IF(AND(ISNUMBER(G737)=FALSE, H737=""),"Invalid - Could Not Parse", IF(AND(ISNUMBER(G737)=FALSE, H737&lt;&gt;""),"Text - Converted to Date", IF(ISNUMBER(G737),"Valid","Check"))))</f>
        <v>Text - Converted to Date</v>
      </c>
      <c r="J737" s="9" t="str">
        <f>IF(OR(C737="", H737=""), "Cannot Check - Date Missing", IF(H737&lt;C737, "Invalid - Ship Before Order", "Valid"))</f>
        <v>Valid</v>
      </c>
      <c r="K737" s="5">
        <f>IF(OR(C737="", H737=""), "", IF(H737&lt;C737, "", H737-C737))</f>
        <v>2</v>
      </c>
      <c r="L737" s="3" t="s">
        <v>3538</v>
      </c>
      <c r="M737" s="3" t="s">
        <v>210</v>
      </c>
      <c r="N737" s="4" t="str">
        <f>TRIM(SUBSTITUTE(M737,"_"," "))</f>
        <v>Diya Patel</v>
      </c>
      <c r="O737" s="3" t="s">
        <v>26</v>
      </c>
      <c r="P737" s="6" t="str">
        <f>PROPER(TRIM(SUBSTITUTE(O737,".","")))</f>
        <v>Consumer</v>
      </c>
      <c r="Q737" s="3" t="s">
        <v>27</v>
      </c>
      <c r="R737" s="7" t="str">
        <f>PROPER(TRIM(SUBSTITUTE(Q737,"  "," ")))</f>
        <v>North</v>
      </c>
      <c r="S737" s="3" t="s">
        <v>28</v>
      </c>
      <c r="T737" s="6" t="str">
        <f>PROPER(TRIM(SUBSTITUTE(S737,"  "," ")))</f>
        <v>Rajasthan</v>
      </c>
      <c r="U737" s="3" t="s">
        <v>29</v>
      </c>
      <c r="V737" s="6" t="str">
        <f>PROPER(TRIM(SUBSTITUTE(U737,"  "," ")))</f>
        <v>Jaipur</v>
      </c>
      <c r="W737" s="3" t="s">
        <v>45</v>
      </c>
      <c r="X737" s="6" t="str">
        <f>PROPER(TRIM(SUBSTITUTE(W737,"  "," ")))</f>
        <v>Furniture</v>
      </c>
      <c r="Y737" s="3" t="s">
        <v>65</v>
      </c>
      <c r="Z737" s="6" t="str">
        <f>PROPER(TRIM(SUBSTITUTE(Y737,"  "," ")))</f>
        <v>Furnishings</v>
      </c>
      <c r="AA737" s="3" t="s">
        <v>3539</v>
      </c>
      <c r="AB737" s="3" t="s">
        <v>48</v>
      </c>
      <c r="AC737" s="6" t="str">
        <f>PROPER(TRIM(SUBSTITUTE(AB737,"  "," ")))</f>
        <v>Same Day</v>
      </c>
      <c r="AD737" s="3">
        <v>6</v>
      </c>
      <c r="AE737" s="3">
        <v>2742.48</v>
      </c>
      <c r="AF737" s="3">
        <v>0</v>
      </c>
      <c r="AG737" s="17">
        <v>0</v>
      </c>
      <c r="AH737" s="6" t="str">
        <f t="shared" si="91"/>
        <v>Valid</v>
      </c>
      <c r="AI737" s="3">
        <v>16454.88</v>
      </c>
      <c r="AJ737" s="3">
        <v>12081.54</v>
      </c>
      <c r="AK737" s="3">
        <v>4373.34</v>
      </c>
      <c r="AL737" s="3" t="s">
        <v>34</v>
      </c>
      <c r="AM737" s="6" t="str">
        <f>PROPER(TRIM(SUBSTITUTE(AL737,".","")))</f>
        <v>Paid</v>
      </c>
      <c r="AN737" s="3" t="s">
        <v>35</v>
      </c>
      <c r="AO737" s="8" t="str">
        <f>PROPER(TRIM(SUBSTITUTE(AN737,".","")))</f>
        <v>Completed</v>
      </c>
      <c r="AP737" t="str">
        <f>IF(COUNTIF($A$2:$A$933, A737) &gt; 1, "Duplicate ID", "Unique")</f>
        <v>Unique</v>
      </c>
      <c r="AR737">
        <f t="shared" si="92"/>
        <v>16454.88</v>
      </c>
      <c r="AS737">
        <f t="shared" si="93"/>
        <v>4373.34</v>
      </c>
      <c r="AT737" s="15">
        <f t="shared" si="94"/>
        <v>0.26577769026574488</v>
      </c>
      <c r="AU737" t="str">
        <f t="shared" si="95"/>
        <v>Clean</v>
      </c>
      <c r="AV737" s="8" t="str">
        <f t="shared" si="96"/>
        <v>Active</v>
      </c>
    </row>
    <row r="738" spans="1:48">
      <c r="A738" s="3" t="s">
        <v>765</v>
      </c>
      <c r="B738" s="3" t="s">
        <v>766</v>
      </c>
      <c r="C738" s="9">
        <f>IFERROR(DATEVALUE(TEXT(B738,"DD/MM/YYYY")), IF(ISNUMBER(B738), B738, ""))</f>
        <v>45893</v>
      </c>
      <c r="D738" s="9" t="str">
        <f>IF(B738="","Missing", IF(AND(ISNUMBER(B738)=FALSE, C738=""),"Invalid - Could Not Parse", IF(AND(ISNUMBER(B738)=FALSE, C738&lt;&gt;""),"Text - Converted to Date", IF(ISNUMBER(B738),"Valid","Check"))))</f>
        <v>Text - Converted to Date</v>
      </c>
      <c r="E738" s="5">
        <f t="shared" si="89"/>
        <v>8</v>
      </c>
      <c r="F738" s="5">
        <f t="shared" si="90"/>
        <v>2025</v>
      </c>
      <c r="G738" s="3" t="s">
        <v>766</v>
      </c>
      <c r="H738" s="9">
        <f>IFERROR(DATEVALUE(TEXT(G738,"DD/MM/YYYY")), IF(ISNUMBER(G738), G738, ""))</f>
        <v>45893</v>
      </c>
      <c r="I738" s="9" t="str">
        <f>IF(G738="","Missing", IF(AND(ISNUMBER(G738)=FALSE, H738=""),"Invalid - Could Not Parse", IF(AND(ISNUMBER(G738)=FALSE, H738&lt;&gt;""),"Text - Converted to Date", IF(ISNUMBER(G738),"Valid","Check"))))</f>
        <v>Text - Converted to Date</v>
      </c>
      <c r="J738" s="9" t="str">
        <f>IF(OR(C738="", H738=""), "Cannot Check - Date Missing", IF(H738&lt;C738, "Invalid - Ship Before Order", "Valid"))</f>
        <v>Valid</v>
      </c>
      <c r="K738" s="5">
        <f>IF(OR(C738="", H738=""), "", IF(H738&lt;C738, "", H738-C738))</f>
        <v>0</v>
      </c>
      <c r="L738" s="3" t="s">
        <v>767</v>
      </c>
      <c r="M738" s="3" t="s">
        <v>210</v>
      </c>
      <c r="N738" s="4" t="str">
        <f>TRIM(SUBSTITUTE(M738,"_"," "))</f>
        <v>Diya Patel</v>
      </c>
      <c r="O738" s="3" t="s">
        <v>41</v>
      </c>
      <c r="P738" s="6" t="str">
        <f>PROPER(TRIM(SUBSTITUTE(O738,".","")))</f>
        <v>Small Business</v>
      </c>
      <c r="Q738" s="3" t="s">
        <v>62</v>
      </c>
      <c r="R738" s="7" t="str">
        <f>PROPER(TRIM(SUBSTITUTE(Q738,"  "," ")))</f>
        <v>South</v>
      </c>
      <c r="S738" s="3" t="s">
        <v>242</v>
      </c>
      <c r="T738" s="6" t="str">
        <f>PROPER(TRIM(SUBSTITUTE(S738,"  "," ")))</f>
        <v>Kerala</v>
      </c>
      <c r="U738" s="3" t="s">
        <v>243</v>
      </c>
      <c r="V738" s="6" t="str">
        <f>PROPER(TRIM(SUBSTITUTE(U738,"  "," ")))</f>
        <v>Kochi</v>
      </c>
      <c r="W738" s="3" t="s">
        <v>45</v>
      </c>
      <c r="X738" s="6" t="str">
        <f>PROPER(TRIM(SUBSTITUTE(W738,"  "," ")))</f>
        <v>Furniture</v>
      </c>
      <c r="Y738" s="3" t="s">
        <v>204</v>
      </c>
      <c r="Z738" s="6" t="str">
        <f>PROPER(TRIM(SUBSTITUTE(Y738,"  "," ")))</f>
        <v>Bookcases</v>
      </c>
      <c r="AA738" s="3" t="s">
        <v>768</v>
      </c>
      <c r="AB738" s="3" t="s">
        <v>67</v>
      </c>
      <c r="AC738" s="6" t="str">
        <f>PROPER(TRIM(SUBSTITUTE(AB738,"  "," ")))</f>
        <v>Standard Class</v>
      </c>
      <c r="AD738" s="3">
        <v>1</v>
      </c>
      <c r="AE738" s="3">
        <v>3424.78</v>
      </c>
      <c r="AF738" s="3">
        <v>0</v>
      </c>
      <c r="AG738" s="17">
        <v>0</v>
      </c>
      <c r="AH738" s="6" t="str">
        <f t="shared" si="91"/>
        <v>Valid</v>
      </c>
      <c r="AI738" s="3">
        <v>3424.78</v>
      </c>
      <c r="AJ738" s="3">
        <v>1951.45</v>
      </c>
      <c r="AK738" s="3">
        <v>1473.33</v>
      </c>
      <c r="AL738" s="3" t="s">
        <v>34</v>
      </c>
      <c r="AM738" s="6" t="str">
        <f>PROPER(TRIM(SUBSTITUTE(AL738,".","")))</f>
        <v>Paid</v>
      </c>
      <c r="AN738" s="3" t="s">
        <v>35</v>
      </c>
      <c r="AO738" s="8" t="str">
        <f>PROPER(TRIM(SUBSTITUTE(AN738,".","")))</f>
        <v>Completed</v>
      </c>
      <c r="AP738" t="str">
        <f>IF(COUNTIF($A$2:$A$933, A738) &gt; 1, "Duplicate ID", "Unique")</f>
        <v>Unique</v>
      </c>
      <c r="AR738">
        <f t="shared" si="92"/>
        <v>3424.78</v>
      </c>
      <c r="AS738">
        <f t="shared" si="93"/>
        <v>1473.3300000000002</v>
      </c>
      <c r="AT738" s="15">
        <f t="shared" si="94"/>
        <v>0.43019697615613267</v>
      </c>
      <c r="AU738" t="str">
        <f t="shared" si="95"/>
        <v>Clean</v>
      </c>
      <c r="AV738" s="8" t="str">
        <f t="shared" si="96"/>
        <v>Active</v>
      </c>
    </row>
    <row r="739" spans="1:48">
      <c r="A739" s="3" t="s">
        <v>3343</v>
      </c>
      <c r="B739" s="3" t="s">
        <v>3344</v>
      </c>
      <c r="C739" s="9">
        <f>IFERROR(DATEVALUE(TEXT(B739,"DD/MM/YYYY")), IF(ISNUMBER(B739), B739, ""))</f>
        <v>45895</v>
      </c>
      <c r="D739" s="9" t="str">
        <f>IF(B739="","Missing", IF(AND(ISNUMBER(B739)=FALSE, C739=""),"Invalid - Could Not Parse", IF(AND(ISNUMBER(B739)=FALSE, C739&lt;&gt;""),"Text - Converted to Date", IF(ISNUMBER(B739),"Valid","Check"))))</f>
        <v>Text - Converted to Date</v>
      </c>
      <c r="E739" s="5">
        <f t="shared" si="89"/>
        <v>8</v>
      </c>
      <c r="F739" s="5">
        <f t="shared" si="90"/>
        <v>2025</v>
      </c>
      <c r="G739" s="3" t="s">
        <v>202</v>
      </c>
      <c r="H739" s="9">
        <f>IFERROR(DATEVALUE(TEXT(G739,"DD/MM/YYYY")), IF(ISNUMBER(G739), G739, ""))</f>
        <v>45900</v>
      </c>
      <c r="I739" s="9" t="str">
        <f>IF(G739="","Missing", IF(AND(ISNUMBER(G739)=FALSE, H739=""),"Invalid - Could Not Parse", IF(AND(ISNUMBER(G739)=FALSE, H739&lt;&gt;""),"Text - Converted to Date", IF(ISNUMBER(G739),"Valid","Check"))))</f>
        <v>Text - Converted to Date</v>
      </c>
      <c r="J739" s="9" t="str">
        <f>IF(OR(C739="", H739=""), "Cannot Check - Date Missing", IF(H739&lt;C739, "Invalid - Ship Before Order", "Valid"))</f>
        <v>Valid</v>
      </c>
      <c r="K739" s="5">
        <f>IF(OR(C739="", H739=""), "", IF(H739&lt;C739, "", H739-C739))</f>
        <v>5</v>
      </c>
      <c r="L739" s="3" t="s">
        <v>3345</v>
      </c>
      <c r="M739" s="3" t="s">
        <v>210</v>
      </c>
      <c r="N739" s="4" t="str">
        <f>TRIM(SUBSTITUTE(M739,"_"," "))</f>
        <v>Diya Patel</v>
      </c>
      <c r="O739" s="3" t="s">
        <v>41</v>
      </c>
      <c r="P739" s="6" t="str">
        <f>PROPER(TRIM(SUBSTITUTE(O739,".","")))</f>
        <v>Small Business</v>
      </c>
      <c r="Q739" s="3" t="s">
        <v>27</v>
      </c>
      <c r="R739" s="7" t="str">
        <f>PROPER(TRIM(SUBSTITUTE(Q739,"  "," ")))</f>
        <v>North</v>
      </c>
      <c r="S739" s="3" t="s">
        <v>323</v>
      </c>
      <c r="T739" s="6" t="str">
        <f>PROPER(TRIM(SUBSTITUTE(S739,"  "," ")))</f>
        <v>Haryana</v>
      </c>
      <c r="U739" s="3" t="s">
        <v>324</v>
      </c>
      <c r="V739" s="6" t="str">
        <f>PROPER(TRIM(SUBSTITUTE(U739,"  "," ")))</f>
        <v>Gurugram</v>
      </c>
      <c r="W739" s="3" t="s">
        <v>86</v>
      </c>
      <c r="X739" s="6" t="str">
        <f>PROPER(TRIM(SUBSTITUTE(W739,"  "," ")))</f>
        <v>Technology</v>
      </c>
      <c r="Y739" s="3" t="s">
        <v>223</v>
      </c>
      <c r="Z739" s="6" t="str">
        <f>PROPER(TRIM(SUBSTITUTE(Y739,"  "," ")))</f>
        <v>Phones</v>
      </c>
      <c r="AA739" s="3" t="s">
        <v>3346</v>
      </c>
      <c r="AB739" s="3" t="s">
        <v>56</v>
      </c>
      <c r="AC739" s="6" t="str">
        <f>PROPER(TRIM(SUBSTITUTE(AB739,"  "," ")))</f>
        <v>First Class</v>
      </c>
      <c r="AD739" s="3">
        <v>1</v>
      </c>
      <c r="AE739" s="3">
        <v>3388.02</v>
      </c>
      <c r="AF739" s="3">
        <v>0.15</v>
      </c>
      <c r="AG739" s="17">
        <v>0.15</v>
      </c>
      <c r="AH739" s="6" t="str">
        <f t="shared" si="91"/>
        <v>Valid</v>
      </c>
      <c r="AI739" s="3">
        <v>2879.82</v>
      </c>
      <c r="AJ739" s="3">
        <v>1824.88</v>
      </c>
      <c r="AK739" s="3">
        <v>1054.94</v>
      </c>
      <c r="AL739" s="3" t="s">
        <v>34</v>
      </c>
      <c r="AM739" s="6" t="str">
        <f>PROPER(TRIM(SUBSTITUTE(AL739,".","")))</f>
        <v>Paid</v>
      </c>
      <c r="AN739" s="3" t="s">
        <v>35</v>
      </c>
      <c r="AO739" s="8" t="str">
        <f>PROPER(TRIM(SUBSTITUTE(AN739,".","")))</f>
        <v>Completed</v>
      </c>
      <c r="AP739" t="str">
        <f>IF(COUNTIF($A$2:$A$933, A739) &gt; 1, "Duplicate ID", "Unique")</f>
        <v>Unique</v>
      </c>
      <c r="AR739">
        <f t="shared" si="92"/>
        <v>2879.817</v>
      </c>
      <c r="AS739">
        <f t="shared" si="93"/>
        <v>1054.9369999999999</v>
      </c>
      <c r="AT739" s="15">
        <f t="shared" si="94"/>
        <v>0.3663208460815392</v>
      </c>
      <c r="AU739" t="str">
        <f t="shared" si="95"/>
        <v>Clean</v>
      </c>
      <c r="AV739" s="8" t="str">
        <f t="shared" si="96"/>
        <v>Active</v>
      </c>
    </row>
    <row r="740" spans="1:48">
      <c r="A740" s="3" t="s">
        <v>3998</v>
      </c>
      <c r="B740" s="3" t="s">
        <v>3999</v>
      </c>
      <c r="C740" s="9">
        <f>IFERROR(DATEVALUE(TEXT(B740,"DD/MM/YYYY")), IF(ISNUMBER(B740), B740, ""))</f>
        <v>45895</v>
      </c>
      <c r="D740" s="9" t="str">
        <f>IF(B740="","Missing", IF(AND(ISNUMBER(B740)=FALSE, C740=""),"Invalid - Could Not Parse", IF(AND(ISNUMBER(B740)=FALSE, C740&lt;&gt;""),"Text - Converted to Date", IF(ISNUMBER(B740),"Valid","Check"))))</f>
        <v>Text - Converted to Date</v>
      </c>
      <c r="E740" s="5">
        <f t="shared" si="89"/>
        <v>8</v>
      </c>
      <c r="F740" s="5">
        <f t="shared" si="90"/>
        <v>2025</v>
      </c>
      <c r="G740" s="3" t="s">
        <v>2767</v>
      </c>
      <c r="H740" s="9">
        <f>IFERROR(DATEVALUE(TEXT(G740,"DD/MM/YYYY")), IF(ISNUMBER(G740), G740, ""))</f>
        <v>45903</v>
      </c>
      <c r="I740" s="9" t="str">
        <f>IF(G740="","Missing", IF(AND(ISNUMBER(G740)=FALSE, H740=""),"Invalid - Could Not Parse", IF(AND(ISNUMBER(G740)=FALSE, H740&lt;&gt;""),"Text - Converted to Date", IF(ISNUMBER(G740),"Valid","Check"))))</f>
        <v>Text - Converted to Date</v>
      </c>
      <c r="J740" s="9" t="str">
        <f>IF(OR(C740="", H740=""), "Cannot Check - Date Missing", IF(H740&lt;C740, "Invalid - Ship Before Order", "Valid"))</f>
        <v>Valid</v>
      </c>
      <c r="K740" s="5">
        <f>IF(OR(C740="", H740=""), "", IF(H740&lt;C740, "", H740-C740))</f>
        <v>8</v>
      </c>
      <c r="L740" s="3" t="s">
        <v>4000</v>
      </c>
      <c r="M740" s="3" t="s">
        <v>162</v>
      </c>
      <c r="N740" s="4" t="str">
        <f>TRIM(SUBSTITUTE(M740,"_"," "))</f>
        <v>Aarav Sharma</v>
      </c>
      <c r="O740" s="3" t="s">
        <v>26</v>
      </c>
      <c r="P740" s="6" t="str">
        <f>PROPER(TRIM(SUBSTITUTE(O740,".","")))</f>
        <v>Consumer</v>
      </c>
      <c r="Q740" s="3" t="s">
        <v>73</v>
      </c>
      <c r="R740" s="7" t="str">
        <f>PROPER(TRIM(SUBSTITUTE(Q740,"  "," ")))</f>
        <v>West</v>
      </c>
      <c r="S740" s="3" t="s">
        <v>28</v>
      </c>
      <c r="T740" s="6" t="str">
        <f>PROPER(TRIM(SUBSTITUTE(S740,"  "," ")))</f>
        <v>Rajasthan</v>
      </c>
      <c r="U740" s="3" t="s">
        <v>135</v>
      </c>
      <c r="V740" s="6" t="str">
        <f>PROPER(TRIM(SUBSTITUTE(U740,"  "," ")))</f>
        <v>Udaipur</v>
      </c>
      <c r="W740" s="3" t="s">
        <v>30</v>
      </c>
      <c r="X740" s="6" t="str">
        <f>PROPER(TRIM(SUBSTITUTE(W740,"  "," ")))</f>
        <v>Office Supplies</v>
      </c>
      <c r="Y740" s="3" t="s">
        <v>156</v>
      </c>
      <c r="Z740" s="6" t="str">
        <f>PROPER(TRIM(SUBSTITUTE(Y740,"  "," ")))</f>
        <v>Storage</v>
      </c>
      <c r="AA740" s="3" t="s">
        <v>4001</v>
      </c>
      <c r="AB740" s="3" t="s">
        <v>33</v>
      </c>
      <c r="AC740" s="6" t="str">
        <f>PROPER(TRIM(SUBSTITUTE(AB740,"  "," ")))</f>
        <v>Second Class</v>
      </c>
      <c r="AD740" s="3">
        <v>6</v>
      </c>
      <c r="AE740" s="3">
        <v>674.36</v>
      </c>
      <c r="AF740" s="3">
        <v>0.1</v>
      </c>
      <c r="AG740" s="17">
        <v>0.1</v>
      </c>
      <c r="AH740" s="6" t="str">
        <f t="shared" si="91"/>
        <v>Valid</v>
      </c>
      <c r="AI740" s="3">
        <v>3641.54</v>
      </c>
      <c r="AJ740" s="3">
        <v>2690.37</v>
      </c>
      <c r="AK740" s="3">
        <v>951.17</v>
      </c>
      <c r="AL740" s="3" t="s">
        <v>34</v>
      </c>
      <c r="AM740" s="6" t="str">
        <f>PROPER(TRIM(SUBSTITUTE(AL740,".","")))</f>
        <v>Paid</v>
      </c>
      <c r="AN740" s="3" t="s">
        <v>35</v>
      </c>
      <c r="AO740" s="8" t="str">
        <f>PROPER(TRIM(SUBSTITUTE(AN740,".","")))</f>
        <v>Completed</v>
      </c>
      <c r="AP740" t="str">
        <f>IF(COUNTIF($A$2:$A$933, A740) &gt; 1, "Duplicate ID", "Unique")</f>
        <v>Unique</v>
      </c>
      <c r="AR740">
        <f t="shared" si="92"/>
        <v>3641.5439999999999</v>
      </c>
      <c r="AS740">
        <f t="shared" si="93"/>
        <v>951.17399999999998</v>
      </c>
      <c r="AT740" s="15">
        <f t="shared" si="94"/>
        <v>0.26120074342092253</v>
      </c>
      <c r="AU740" t="str">
        <f t="shared" si="95"/>
        <v>Clean</v>
      </c>
      <c r="AV740" s="8" t="str">
        <f t="shared" si="96"/>
        <v>Active</v>
      </c>
    </row>
    <row r="741" spans="1:48">
      <c r="A741" s="3" t="s">
        <v>3526</v>
      </c>
      <c r="B741" s="3" t="s">
        <v>455</v>
      </c>
      <c r="C741" s="9">
        <f>IFERROR(DATEVALUE(TEXT(B741,"DD/MM/YYYY")), IF(ISNUMBER(B741), B741, ""))</f>
        <v>45896</v>
      </c>
      <c r="D741" s="9" t="str">
        <f>IF(B741="","Missing", IF(AND(ISNUMBER(B741)=FALSE, C741=""),"Invalid - Could Not Parse", IF(AND(ISNUMBER(B741)=FALSE, C741&lt;&gt;""),"Text - Converted to Date", IF(ISNUMBER(B741),"Valid","Check"))))</f>
        <v>Text - Converted to Date</v>
      </c>
      <c r="E741" s="5">
        <f t="shared" si="89"/>
        <v>8</v>
      </c>
      <c r="F741" s="5">
        <f t="shared" si="90"/>
        <v>2025</v>
      </c>
      <c r="G741" s="3" t="s">
        <v>3527</v>
      </c>
      <c r="H741" s="9">
        <f>IFERROR(DATEVALUE(MID(G741,4,2) &amp; "/" &amp; LEFT(G741,2) &amp; "/" &amp; RIGHT(G741,4)), IF(ISNUMBER(G741), G741, IFERROR(DATEVALUE(G741), "")))</f>
        <v>45900</v>
      </c>
      <c r="I741" s="9" t="str">
        <f>IF(G741="","Missing", IF(AND(ISNUMBER(G741)=FALSE, H741=""),"Invalid - Could Not Parse", IF(AND(ISNUMBER(G741)=FALSE, H741&lt;&gt;""),"Text - Converted to Date", IF(ISNUMBER(G741),"Valid","Check"))))</f>
        <v>Text - Converted to Date</v>
      </c>
      <c r="J741" s="9" t="str">
        <f>IF(OR(C741="", H741=""), "Cannot Check - Date Missing", IF(H741&lt;C741, "Invalid - Ship Before Order", "Valid"))</f>
        <v>Valid</v>
      </c>
      <c r="K741" s="5">
        <f>IF(OR(C741="", H741=""), "", IF(H741&lt;C741, "", H741-C741))</f>
        <v>4</v>
      </c>
      <c r="L741" s="3" t="s">
        <v>3528</v>
      </c>
      <c r="M741" s="3" t="s">
        <v>53</v>
      </c>
      <c r="N741" s="4" t="str">
        <f>TRIM(SUBSTITUTE(M741,"_"," "))</f>
        <v>Isha Nair</v>
      </c>
      <c r="O741" s="3" t="s">
        <v>26</v>
      </c>
      <c r="P741" s="6" t="str">
        <f>PROPER(TRIM(SUBSTITUTE(O741,".","")))</f>
        <v>Consumer</v>
      </c>
      <c r="Q741" s="3" t="s">
        <v>62</v>
      </c>
      <c r="R741" s="7" t="str">
        <f>PROPER(TRIM(SUBSTITUTE(Q741,"  "," ")))</f>
        <v>South</v>
      </c>
      <c r="S741" s="3" t="s">
        <v>229</v>
      </c>
      <c r="T741" s="6" t="str">
        <f>PROPER(TRIM(SUBSTITUTE(S741,"  "," ")))</f>
        <v>Karnataka</v>
      </c>
      <c r="U741" s="3" t="s">
        <v>230</v>
      </c>
      <c r="V741" s="6" t="str">
        <f>PROPER(TRIM(SUBSTITUTE(U741,"  "," ")))</f>
        <v>Bengaluru</v>
      </c>
      <c r="W741" s="3" t="s">
        <v>86</v>
      </c>
      <c r="X741" s="6" t="str">
        <f>PROPER(TRIM(SUBSTITUTE(W741,"  "," ")))</f>
        <v>Technology</v>
      </c>
      <c r="Y741" s="3" t="s">
        <v>382</v>
      </c>
      <c r="Z741" s="6" t="str">
        <f>PROPER(TRIM(SUBSTITUTE(Y741,"  "," ")))</f>
        <v>Machines</v>
      </c>
      <c r="AA741" s="3" t="s">
        <v>3529</v>
      </c>
      <c r="AB741" s="3" t="s">
        <v>56</v>
      </c>
      <c r="AC741" s="6" t="str">
        <f>PROPER(TRIM(SUBSTITUTE(AB741,"  "," ")))</f>
        <v>First Class</v>
      </c>
      <c r="AD741" s="3">
        <v>3</v>
      </c>
      <c r="AE741" s="3">
        <v>2489.12</v>
      </c>
      <c r="AF741" s="3">
        <v>0</v>
      </c>
      <c r="AG741" s="17">
        <v>0</v>
      </c>
      <c r="AH741" s="6" t="str">
        <f t="shared" si="91"/>
        <v>Valid</v>
      </c>
      <c r="AI741" s="3">
        <v>7467.36</v>
      </c>
      <c r="AJ741" s="3">
        <v>5010.6099999999997</v>
      </c>
      <c r="AK741" s="3">
        <v>2456.75</v>
      </c>
      <c r="AL741" s="3" t="s">
        <v>34</v>
      </c>
      <c r="AM741" s="6" t="str">
        <f>PROPER(TRIM(SUBSTITUTE(AL741,".","")))</f>
        <v>Paid</v>
      </c>
      <c r="AN741" s="3" t="s">
        <v>35</v>
      </c>
      <c r="AO741" s="8" t="str">
        <f>PROPER(TRIM(SUBSTITUTE(AN741,".","")))</f>
        <v>Completed</v>
      </c>
      <c r="AP741" t="str">
        <f>IF(COUNTIF($A$2:$A$933, A741) &gt; 1, "Duplicate ID", "Unique")</f>
        <v>Unique</v>
      </c>
      <c r="AR741">
        <f t="shared" si="92"/>
        <v>7467.36</v>
      </c>
      <c r="AS741">
        <f t="shared" si="93"/>
        <v>2456.75</v>
      </c>
      <c r="AT741" s="15">
        <f t="shared" si="94"/>
        <v>0.32899846799940008</v>
      </c>
      <c r="AU741" t="str">
        <f t="shared" si="95"/>
        <v>Clean</v>
      </c>
      <c r="AV741" s="8" t="str">
        <f t="shared" si="96"/>
        <v>Active</v>
      </c>
    </row>
    <row r="742" spans="1:48">
      <c r="A742" s="3" t="s">
        <v>4005</v>
      </c>
      <c r="B742" s="3" t="s">
        <v>4006</v>
      </c>
      <c r="C742" s="9">
        <f>IFERROR(DATEVALUE(TEXT(B742,"DD/MM/YYYY")), IF(ISNUMBER(B742), B742, ""))</f>
        <v>45896</v>
      </c>
      <c r="D742" s="9" t="str">
        <f>IF(B742="","Missing", IF(AND(ISNUMBER(B742)=FALSE, C742=""),"Invalid - Could Not Parse", IF(AND(ISNUMBER(B742)=FALSE, C742&lt;&gt;""),"Text - Converted to Date", IF(ISNUMBER(B742),"Valid","Check"))))</f>
        <v>Text - Converted to Date</v>
      </c>
      <c r="E742" s="5">
        <f t="shared" si="89"/>
        <v>8</v>
      </c>
      <c r="F742" s="5">
        <f t="shared" si="90"/>
        <v>2025</v>
      </c>
      <c r="G742" s="3" t="s">
        <v>435</v>
      </c>
      <c r="H742" s="9">
        <f>IFERROR(DATEVALUE(MID(G742,4,2) &amp; "/" &amp; LEFT(G742,2) &amp; "/" &amp; RIGHT(G742,4)), IF(ISNUMBER(G742), G742, IFERROR(DATEVALUE(G742), "")))</f>
        <v>45897</v>
      </c>
      <c r="I742" s="9" t="str">
        <f>IF(G742="","Missing", IF(AND(ISNUMBER(G742)=FALSE, H742=""),"Invalid - Could Not Parse", IF(AND(ISNUMBER(G742)=FALSE, H742&lt;&gt;""),"Text - Converted to Date", IF(ISNUMBER(G742),"Valid","Check"))))</f>
        <v>Text - Converted to Date</v>
      </c>
      <c r="J742" s="9" t="str">
        <f>IF(OR(C742="", H742=""), "Cannot Check - Date Missing", IF(H742&lt;C742, "Invalid - Ship Before Order", "Valid"))</f>
        <v>Valid</v>
      </c>
      <c r="K742" s="5">
        <f>IF(OR(C742="", H742=""), "", IF(H742&lt;C742, "", H742-C742))</f>
        <v>1</v>
      </c>
      <c r="L742" s="3" t="s">
        <v>4007</v>
      </c>
      <c r="M742" s="3" t="s">
        <v>72</v>
      </c>
      <c r="N742" s="4" t="str">
        <f>TRIM(SUBSTITUTE(M742,"_"," "))</f>
        <v>Ananya Rao</v>
      </c>
      <c r="O742" s="3" t="s">
        <v>115</v>
      </c>
      <c r="P742" s="6" t="str">
        <f>PROPER(TRIM(SUBSTITUTE(O742,".","")))</f>
        <v>Home Office</v>
      </c>
      <c r="Q742" s="3" t="s">
        <v>27</v>
      </c>
      <c r="R742" s="7" t="str">
        <f>PROPER(TRIM(SUBSTITUTE(Q742,"  "," ")))</f>
        <v>North</v>
      </c>
      <c r="S742" s="3" t="s">
        <v>174</v>
      </c>
      <c r="T742" s="6" t="str">
        <f>PROPER(TRIM(SUBSTITUTE(S742,"  "," ")))</f>
        <v>Uttar Pradesh</v>
      </c>
      <c r="U742" s="3" t="s">
        <v>175</v>
      </c>
      <c r="V742" s="6" t="str">
        <f>PROPER(TRIM(SUBSTITUTE(U742,"  "," ")))</f>
        <v>Noida</v>
      </c>
      <c r="W742" s="3" t="s">
        <v>30</v>
      </c>
      <c r="X742" s="6" t="str">
        <f>PROPER(TRIM(SUBSTITUTE(W742,"  "," ")))</f>
        <v>Office Supplies</v>
      </c>
      <c r="Y742" s="3" t="s">
        <v>54</v>
      </c>
      <c r="Z742" s="6" t="str">
        <f>PROPER(TRIM(SUBSTITUTE(Y742,"  "," ")))</f>
        <v>Art</v>
      </c>
      <c r="AA742" s="3" t="s">
        <v>4008</v>
      </c>
      <c r="AB742" s="3" t="s">
        <v>67</v>
      </c>
      <c r="AC742" s="6" t="str">
        <f>PROPER(TRIM(SUBSTITUTE(AB742,"  "," ")))</f>
        <v>Standard Class</v>
      </c>
      <c r="AD742" s="3">
        <v>6</v>
      </c>
      <c r="AE742" s="3">
        <v>1182.03</v>
      </c>
      <c r="AF742" s="3">
        <v>0.15</v>
      </c>
      <c r="AG742" s="17">
        <v>0.15</v>
      </c>
      <c r="AH742" s="6" t="str">
        <f t="shared" si="91"/>
        <v>Valid</v>
      </c>
      <c r="AI742" s="3">
        <v>6028.35</v>
      </c>
      <c r="AJ742" s="3">
        <v>4433.63</v>
      </c>
      <c r="AK742" s="3">
        <v>1594.72</v>
      </c>
      <c r="AL742" s="3" t="s">
        <v>34</v>
      </c>
      <c r="AM742" s="6" t="str">
        <f>PROPER(TRIM(SUBSTITUTE(AL742,".","")))</f>
        <v>Paid</v>
      </c>
      <c r="AN742" s="3" t="s">
        <v>35</v>
      </c>
      <c r="AO742" s="8" t="str">
        <f>PROPER(TRIM(SUBSTITUTE(AN742,".","")))</f>
        <v>Completed</v>
      </c>
      <c r="AP742" t="str">
        <f>IF(COUNTIF($A$2:$A$933, A742) &gt; 1, "Duplicate ID", "Unique")</f>
        <v>Unique</v>
      </c>
      <c r="AR742">
        <f t="shared" si="92"/>
        <v>6028.3530000000001</v>
      </c>
      <c r="AS742">
        <f t="shared" si="93"/>
        <v>1594.723</v>
      </c>
      <c r="AT742" s="15">
        <f t="shared" si="94"/>
        <v>0.26453709661660491</v>
      </c>
      <c r="AU742" t="str">
        <f t="shared" si="95"/>
        <v>Clean</v>
      </c>
      <c r="AV742" s="8" t="str">
        <f t="shared" si="96"/>
        <v>Active</v>
      </c>
    </row>
    <row r="743" spans="1:48">
      <c r="A743" s="3" t="s">
        <v>434</v>
      </c>
      <c r="B743" s="3" t="s">
        <v>435</v>
      </c>
      <c r="C743" s="9">
        <v>45897</v>
      </c>
      <c r="D743" s="9" t="str">
        <f>IF(B743="","Missing", IF(AND(ISNUMBER(B743)=FALSE, C743=""),"Invalid - Could Not Parse", IF(AND(ISNUMBER(B743)=FALSE, C743&lt;&gt;""),"Text - Converted to Date", IF(ISNUMBER(B743),"Valid","Check"))))</f>
        <v>Text - Converted to Date</v>
      </c>
      <c r="E743" s="5">
        <f t="shared" si="89"/>
        <v>8</v>
      </c>
      <c r="F743" s="5">
        <f t="shared" si="90"/>
        <v>2025</v>
      </c>
      <c r="G743" s="3" t="s">
        <v>436</v>
      </c>
      <c r="H743" s="9">
        <f>IFERROR(DATEVALUE(TEXT(G743,"DD/MM/YYYY")), IF(ISNUMBER(G743), G743, ""))</f>
        <v>45901</v>
      </c>
      <c r="I743" s="9" t="str">
        <f>IF(G743="","Missing", IF(AND(ISNUMBER(G743)=FALSE, H743=""),"Invalid - Could Not Parse", IF(AND(ISNUMBER(G743)=FALSE, H743&lt;&gt;""),"Text - Converted to Date", IF(ISNUMBER(G743),"Valid","Check"))))</f>
        <v>Text - Converted to Date</v>
      </c>
      <c r="J743" s="9" t="str">
        <f>IF(OR(C743="", H743=""), "Cannot Check - Date Missing", IF(H743&lt;C743, "Invalid - Ship Before Order", "Valid"))</f>
        <v>Valid</v>
      </c>
      <c r="K743" s="5">
        <f>IF(OR(C743="", H743=""), "", IF(H743&lt;C743, "", H743-C743))</f>
        <v>4</v>
      </c>
      <c r="L743" s="3" t="s">
        <v>437</v>
      </c>
      <c r="M743" s="3" t="s">
        <v>25</v>
      </c>
      <c r="N743" s="4" t="str">
        <f>TRIM(SUBSTITUTE(M743,"_"," "))</f>
        <v>Karan Malhotra</v>
      </c>
      <c r="O743" s="3" t="s">
        <v>41</v>
      </c>
      <c r="P743" s="6" t="str">
        <f>PROPER(TRIM(SUBSTITUTE(O743,".","")))</f>
        <v>Small Business</v>
      </c>
      <c r="Q743" s="3" t="s">
        <v>62</v>
      </c>
      <c r="R743" s="7" t="str">
        <f>PROPER(TRIM(SUBSTITUTE(Q743,"  "," ")))</f>
        <v>South</v>
      </c>
      <c r="S743" s="3" t="s">
        <v>339</v>
      </c>
      <c r="T743" s="6" t="str">
        <f>PROPER(TRIM(SUBSTITUTE(S743,"  "," ")))</f>
        <v>Tamil Nadu</v>
      </c>
      <c r="U743" s="3" t="s">
        <v>340</v>
      </c>
      <c r="V743" s="6" t="str">
        <f>PROPER(TRIM(SUBSTITUTE(U743,"  "," ")))</f>
        <v>Chennai</v>
      </c>
      <c r="W743" s="3" t="s">
        <v>86</v>
      </c>
      <c r="X743" s="6" t="str">
        <f>PROPER(TRIM(SUBSTITUTE(W743,"  "," ")))</f>
        <v>Technology</v>
      </c>
      <c r="Y743" s="3" t="s">
        <v>87</v>
      </c>
      <c r="Z743" s="6" t="str">
        <f>PROPER(TRIM(SUBSTITUTE(Y743,"  "," ")))</f>
        <v>Accessories</v>
      </c>
      <c r="AA743" s="3" t="s">
        <v>438</v>
      </c>
      <c r="AB743" s="3" t="s">
        <v>48</v>
      </c>
      <c r="AC743" s="6" t="str">
        <f>PROPER(TRIM(SUBSTITUTE(AB743,"  "," ")))</f>
        <v>Same Day</v>
      </c>
      <c r="AD743" s="3">
        <v>7</v>
      </c>
      <c r="AE743" s="3">
        <v>1057.46</v>
      </c>
      <c r="AF743" s="3">
        <v>0.05</v>
      </c>
      <c r="AG743" s="17">
        <v>0.05</v>
      </c>
      <c r="AH743" s="6" t="str">
        <f t="shared" si="91"/>
        <v>Valid</v>
      </c>
      <c r="AI743" s="3">
        <v>7032.11</v>
      </c>
      <c r="AJ743" s="3">
        <v>4610.34</v>
      </c>
      <c r="AK743" s="3">
        <v>2421.77</v>
      </c>
      <c r="AL743" s="3" t="s">
        <v>34</v>
      </c>
      <c r="AM743" s="6" t="str">
        <f>PROPER(TRIM(SUBSTITUTE(AL743,".","")))</f>
        <v>Paid</v>
      </c>
      <c r="AN743" s="3" t="s">
        <v>35</v>
      </c>
      <c r="AO743" s="8" t="str">
        <f>PROPER(TRIM(SUBSTITUTE(AN743,".","")))</f>
        <v>Completed</v>
      </c>
      <c r="AP743" t="str">
        <f>IF(COUNTIF($A$2:$A$933, A743) &gt; 1, "Duplicate ID", "Unique")</f>
        <v>Unique</v>
      </c>
      <c r="AR743">
        <f t="shared" si="92"/>
        <v>7032.1089999999995</v>
      </c>
      <c r="AS743">
        <f t="shared" si="93"/>
        <v>2421.7689999999993</v>
      </c>
      <c r="AT743" s="15">
        <f t="shared" si="94"/>
        <v>0.34438729547565311</v>
      </c>
      <c r="AU743" t="str">
        <f t="shared" si="95"/>
        <v>Clean</v>
      </c>
      <c r="AV743" s="8" t="str">
        <f t="shared" si="96"/>
        <v>Active</v>
      </c>
    </row>
    <row r="744" spans="1:48">
      <c r="A744" s="3" t="s">
        <v>68</v>
      </c>
      <c r="B744" s="3" t="s">
        <v>69</v>
      </c>
      <c r="C744" s="9">
        <f>IFERROR(DATEVALUE(TEXT(B744,"DD/MM/YYYY")), IF(ISNUMBER(B744), B744, ""))</f>
        <v>45898</v>
      </c>
      <c r="D744" s="9" t="str">
        <f>IF(B744="","Missing", IF(AND(ISNUMBER(B744)=FALSE, C744=""),"Invalid - Could Not Parse", IF(AND(ISNUMBER(B744)=FALSE, C744&lt;&gt;""),"Text - Converted to Date", IF(ISNUMBER(B744),"Valid","Check"))))</f>
        <v>Text - Converted to Date</v>
      </c>
      <c r="E744" s="5">
        <f t="shared" si="89"/>
        <v>8</v>
      </c>
      <c r="F744" s="5">
        <f t="shared" si="90"/>
        <v>2025</v>
      </c>
      <c r="G744" s="3" t="s">
        <v>70</v>
      </c>
      <c r="H744" s="9">
        <f>IFERROR(DATEVALUE(TEXT(G744,"DD/MM/YYYY")), IF(ISNUMBER(G744), G744, ""))</f>
        <v>45901</v>
      </c>
      <c r="I744" s="9" t="str">
        <f>IF(G744="","Missing", IF(AND(ISNUMBER(G744)=FALSE, H744=""),"Invalid - Could Not Parse", IF(AND(ISNUMBER(G744)=FALSE, H744&lt;&gt;""),"Text - Converted to Date", IF(ISNUMBER(G744),"Valid","Check"))))</f>
        <v>Text - Converted to Date</v>
      </c>
      <c r="J744" s="9" t="str">
        <f>IF(OR(C744="", H744=""), "Cannot Check - Date Missing", IF(H744&lt;C744, "Invalid - Ship Before Order", "Valid"))</f>
        <v>Valid</v>
      </c>
      <c r="K744" s="5">
        <f>IF(OR(C744="", H744=""), "", IF(H744&lt;C744, "", H744-C744))</f>
        <v>3</v>
      </c>
      <c r="L744" s="3" t="s">
        <v>71</v>
      </c>
      <c r="M744" s="3" t="s">
        <v>72</v>
      </c>
      <c r="N744" s="4" t="str">
        <f>TRIM(SUBSTITUTE(M744,"_"," "))</f>
        <v>Ananya Rao</v>
      </c>
      <c r="O744" s="3" t="s">
        <v>41</v>
      </c>
      <c r="P744" s="6" t="str">
        <f>PROPER(TRIM(SUBSTITUTE(O744,".","")))</f>
        <v>Small Business</v>
      </c>
      <c r="Q744" s="3" t="s">
        <v>73</v>
      </c>
      <c r="R744" s="7" t="str">
        <f>PROPER(TRIM(SUBSTITUTE(Q744,"  "," ")))</f>
        <v>West</v>
      </c>
      <c r="S744" s="3" t="s">
        <v>74</v>
      </c>
      <c r="T744" s="6" t="str">
        <f>PROPER(TRIM(SUBSTITUTE(S744,"  "," ")))</f>
        <v>Maharashtra</v>
      </c>
      <c r="U744" s="3" t="s">
        <v>75</v>
      </c>
      <c r="V744" s="6" t="str">
        <f>PROPER(TRIM(SUBSTITUTE(U744,"  "," ")))</f>
        <v>Mumbai</v>
      </c>
      <c r="W744" s="3" t="s">
        <v>45</v>
      </c>
      <c r="X744" s="6" t="str">
        <f>PROPER(TRIM(SUBSTITUTE(W744,"  "," ")))</f>
        <v>Furniture</v>
      </c>
      <c r="Y744" s="3" t="s">
        <v>76</v>
      </c>
      <c r="Z744" s="6" t="str">
        <f>PROPER(TRIM(SUBSTITUTE(Y744,"  "," ")))</f>
        <v>Chairs</v>
      </c>
      <c r="AA744" s="3" t="s">
        <v>77</v>
      </c>
      <c r="AB744" s="3" t="s">
        <v>56</v>
      </c>
      <c r="AC744" s="6" t="str">
        <f>PROPER(TRIM(SUBSTITUTE(AB744,"  "," ")))</f>
        <v>First Class</v>
      </c>
      <c r="AD744" s="3">
        <v>7</v>
      </c>
      <c r="AE744" s="3">
        <v>2973.76</v>
      </c>
      <c r="AF744" s="3">
        <v>0</v>
      </c>
      <c r="AG744" s="17">
        <v>0</v>
      </c>
      <c r="AH744" s="6" t="str">
        <f t="shared" si="91"/>
        <v>Valid</v>
      </c>
      <c r="AI744" s="3">
        <v>20816.32</v>
      </c>
      <c r="AJ744" s="3">
        <v>17705.37</v>
      </c>
      <c r="AK744" s="3">
        <v>3110.95</v>
      </c>
      <c r="AL744" s="3" t="s">
        <v>34</v>
      </c>
      <c r="AM744" s="6" t="str">
        <f>PROPER(TRIM(SUBSTITUTE(AL744,".","")))</f>
        <v>Paid</v>
      </c>
      <c r="AN744" s="3" t="s">
        <v>78</v>
      </c>
      <c r="AO744" s="8" t="str">
        <f>PROPER(TRIM(SUBSTITUTE(AN744,".","")))</f>
        <v>Cancelled</v>
      </c>
      <c r="AP744" t="str">
        <f>IF(COUNTIF($A$2:$A$933, A744) &gt; 1, "Duplicate ID", "Unique")</f>
        <v>Unique</v>
      </c>
      <c r="AR744">
        <f t="shared" si="92"/>
        <v>20816.32</v>
      </c>
      <c r="AS744">
        <f t="shared" si="93"/>
        <v>3110.9500000000007</v>
      </c>
      <c r="AT744" s="15">
        <f t="shared" si="94"/>
        <v>0.14944764492475138</v>
      </c>
      <c r="AU744" t="str">
        <f t="shared" si="95"/>
        <v>Clean</v>
      </c>
      <c r="AV744" s="8" t="str">
        <f t="shared" si="96"/>
        <v>Cancelled</v>
      </c>
    </row>
    <row r="745" spans="1:48">
      <c r="A745" s="3" t="s">
        <v>201</v>
      </c>
      <c r="B745" s="3" t="s">
        <v>69</v>
      </c>
      <c r="C745" s="9">
        <f>IFERROR(DATEVALUE(TEXT(B745,"DD/MM/YYYY")), IF(ISNUMBER(B745), B745, ""))</f>
        <v>45898</v>
      </c>
      <c r="D745" s="9" t="str">
        <f>IF(B745="","Missing", IF(AND(ISNUMBER(B745)=FALSE, C745=""),"Invalid - Could Not Parse", IF(AND(ISNUMBER(B745)=FALSE, C745&lt;&gt;""),"Text - Converted to Date", IF(ISNUMBER(B745),"Valid","Check"))))</f>
        <v>Text - Converted to Date</v>
      </c>
      <c r="E745" s="5">
        <f t="shared" si="89"/>
        <v>8</v>
      </c>
      <c r="F745" s="5">
        <f t="shared" si="90"/>
        <v>2025</v>
      </c>
      <c r="G745" s="3" t="s">
        <v>202</v>
      </c>
      <c r="H745" s="9">
        <f>IFERROR(DATEVALUE(TEXT(G745,"DD/MM/YYYY")), IF(ISNUMBER(G745), G745, ""))</f>
        <v>45900</v>
      </c>
      <c r="I745" s="9" t="str">
        <f>IF(G745="","Missing", IF(AND(ISNUMBER(G745)=FALSE, H745=""),"Invalid - Could Not Parse", IF(AND(ISNUMBER(G745)=FALSE, H745&lt;&gt;""),"Text - Converted to Date", IF(ISNUMBER(G745),"Valid","Check"))))</f>
        <v>Text - Converted to Date</v>
      </c>
      <c r="J745" s="9" t="str">
        <f>IF(OR(C745="", H745=""), "Cannot Check - Date Missing", IF(H745&lt;C745, "Invalid - Ship Before Order", "Valid"))</f>
        <v>Valid</v>
      </c>
      <c r="K745" s="5">
        <f>IF(OR(C745="", H745=""), "", IF(H745&lt;C745, "", H745-C745))</f>
        <v>2</v>
      </c>
      <c r="L745" s="3" t="s">
        <v>203</v>
      </c>
      <c r="M745" s="3" t="s">
        <v>148</v>
      </c>
      <c r="N745" s="4" t="str">
        <f>TRIM(SUBSTITUTE(M745,"_"," "))</f>
        <v>Rahul Verma</v>
      </c>
      <c r="O745" s="3" t="s">
        <v>115</v>
      </c>
      <c r="P745" s="6" t="str">
        <f>PROPER(TRIM(SUBSTITUTE(O745,".","")))</f>
        <v>Home Office</v>
      </c>
      <c r="Q745" s="3" t="s">
        <v>42</v>
      </c>
      <c r="R745" s="7" t="str">
        <f>PROPER(TRIM(SUBSTITUTE(Q745,"  "," ")))</f>
        <v>East</v>
      </c>
      <c r="S745" s="3" t="s">
        <v>186</v>
      </c>
      <c r="T745" s="6" t="str">
        <f>PROPER(TRIM(SUBSTITUTE(S745,"  "," ")))</f>
        <v>Bihar</v>
      </c>
      <c r="U745" s="3" t="s">
        <v>187</v>
      </c>
      <c r="V745" s="6" t="str">
        <f>PROPER(TRIM(SUBSTITUTE(U745,"  "," ")))</f>
        <v>Patna</v>
      </c>
      <c r="W745" s="3" t="s">
        <v>45</v>
      </c>
      <c r="X745" s="6" t="str">
        <f>PROPER(TRIM(SUBSTITUTE(W745,"  "," ")))</f>
        <v>Furniture</v>
      </c>
      <c r="Y745" s="3" t="s">
        <v>204</v>
      </c>
      <c r="Z745" s="6" t="str">
        <f>PROPER(TRIM(SUBSTITUTE(Y745,"  "," ")))</f>
        <v>Bookcases</v>
      </c>
      <c r="AA745" s="3" t="s">
        <v>205</v>
      </c>
      <c r="AB745" s="3" t="s">
        <v>56</v>
      </c>
      <c r="AC745" s="6" t="str">
        <f>PROPER(TRIM(SUBSTITUTE(AB745,"  "," ")))</f>
        <v>First Class</v>
      </c>
      <c r="AD745" s="3">
        <v>4</v>
      </c>
      <c r="AE745" s="3">
        <v>1958.01</v>
      </c>
      <c r="AF745" s="3">
        <v>0.2</v>
      </c>
      <c r="AG745" s="17">
        <v>0.2</v>
      </c>
      <c r="AH745" s="6" t="str">
        <f t="shared" si="91"/>
        <v>Valid</v>
      </c>
      <c r="AI745" s="3">
        <v>6265.63</v>
      </c>
      <c r="AJ745" s="3">
        <v>4321.8599999999997</v>
      </c>
      <c r="AK745" s="3">
        <v>1943.77</v>
      </c>
      <c r="AL745" s="3" t="s">
        <v>34</v>
      </c>
      <c r="AM745" s="6" t="str">
        <f>PROPER(TRIM(SUBSTITUTE(AL745,".","")))</f>
        <v>Paid</v>
      </c>
      <c r="AN745" s="3" t="s">
        <v>35</v>
      </c>
      <c r="AO745" s="8" t="str">
        <f>PROPER(TRIM(SUBSTITUTE(AN745,".","")))</f>
        <v>Completed</v>
      </c>
      <c r="AP745" t="str">
        <f>IF(COUNTIF($A$2:$A$933, A745) &gt; 1, "Duplicate ID", "Unique")</f>
        <v>Unique</v>
      </c>
      <c r="AR745">
        <f t="shared" si="92"/>
        <v>6265.6320000000005</v>
      </c>
      <c r="AS745">
        <f t="shared" si="93"/>
        <v>1943.7720000000008</v>
      </c>
      <c r="AT745" s="15">
        <f t="shared" si="94"/>
        <v>0.31022760353624351</v>
      </c>
      <c r="AU745" t="str">
        <f t="shared" si="95"/>
        <v>Clean</v>
      </c>
      <c r="AV745" s="8" t="str">
        <f t="shared" si="96"/>
        <v>Active</v>
      </c>
    </row>
    <row r="746" spans="1:48">
      <c r="A746" s="3" t="s">
        <v>1615</v>
      </c>
      <c r="B746" s="3" t="s">
        <v>1616</v>
      </c>
      <c r="C746" s="9">
        <f>IFERROR(DATEVALUE(TEXT(B746,"DD/MM/YYYY")), IF(ISNUMBER(B746), B746, ""))</f>
        <v>45898</v>
      </c>
      <c r="D746" s="9" t="str">
        <f>IF(B746="","Missing", IF(AND(ISNUMBER(B746)=FALSE, C746=""),"Invalid - Could Not Parse", IF(AND(ISNUMBER(B746)=FALSE, C746&lt;&gt;""),"Text - Converted to Date", IF(ISNUMBER(B746),"Valid","Check"))))</f>
        <v>Text - Converted to Date</v>
      </c>
      <c r="E746" s="5">
        <f t="shared" si="89"/>
        <v>8</v>
      </c>
      <c r="F746" s="5">
        <f t="shared" si="90"/>
        <v>2025</v>
      </c>
      <c r="G746" s="3" t="s">
        <v>1617</v>
      </c>
      <c r="H746" s="9">
        <f>IFERROR(DATEVALUE(TEXT(G746,"DD/MM/YYYY")), IF(ISNUMBER(G746), G746, ""))</f>
        <v>45904</v>
      </c>
      <c r="I746" s="9" t="str">
        <f>IF(G746="","Missing", IF(AND(ISNUMBER(G746)=FALSE, H746=""),"Invalid - Could Not Parse", IF(AND(ISNUMBER(G746)=FALSE, H746&lt;&gt;""),"Text - Converted to Date", IF(ISNUMBER(G746),"Valid","Check"))))</f>
        <v>Text - Converted to Date</v>
      </c>
      <c r="J746" s="9" t="str">
        <f>IF(OR(C746="", H746=""), "Cannot Check - Date Missing", IF(H746&lt;C746, "Invalid - Ship Before Order", "Valid"))</f>
        <v>Valid</v>
      </c>
      <c r="K746" s="5">
        <f>IF(OR(C746="", H746=""), "", IF(H746&lt;C746, "", H746-C746))</f>
        <v>6</v>
      </c>
      <c r="L746" s="3" t="s">
        <v>1618</v>
      </c>
      <c r="M746" s="3" t="s">
        <v>93</v>
      </c>
      <c r="N746" s="4" t="str">
        <f>TRIM(SUBSTITUTE(M746,"_"," "))</f>
        <v>Neha Gupta</v>
      </c>
      <c r="O746" s="3" t="s">
        <v>108</v>
      </c>
      <c r="P746" s="6" t="str">
        <f>PROPER(TRIM(SUBSTITUTE(O746,".","")))</f>
        <v>Corporate</v>
      </c>
      <c r="Q746" s="3" t="s">
        <v>62</v>
      </c>
      <c r="R746" s="7" t="str">
        <f>PROPER(TRIM(SUBSTITUTE(Q746,"  "," ")))</f>
        <v>South</v>
      </c>
      <c r="S746" s="3" t="s">
        <v>242</v>
      </c>
      <c r="T746" s="6" t="str">
        <f>PROPER(TRIM(SUBSTITUTE(S746,"  "," ")))</f>
        <v>Kerala</v>
      </c>
      <c r="U746" s="3" t="s">
        <v>243</v>
      </c>
      <c r="V746" s="6" t="str">
        <f>PROPER(TRIM(SUBSTITUTE(U746,"  "," ")))</f>
        <v>Kochi</v>
      </c>
      <c r="W746" s="3" t="s">
        <v>45</v>
      </c>
      <c r="X746" s="6" t="str">
        <f>PROPER(TRIM(SUBSTITUTE(W746,"  "," ")))</f>
        <v>Furniture</v>
      </c>
      <c r="Y746" s="3" t="s">
        <v>46</v>
      </c>
      <c r="Z746" s="6" t="str">
        <f>PROPER(TRIM(SUBSTITUTE(Y746,"  "," ")))</f>
        <v>Tables</v>
      </c>
      <c r="AA746" s="3" t="s">
        <v>1619</v>
      </c>
      <c r="AB746" s="3" t="s">
        <v>56</v>
      </c>
      <c r="AC746" s="6" t="str">
        <f>PROPER(TRIM(SUBSTITUTE(AB746,"  "," ")))</f>
        <v>First Class</v>
      </c>
      <c r="AD746" s="3">
        <v>9</v>
      </c>
      <c r="AE746" s="3">
        <v>2996.97</v>
      </c>
      <c r="AF746" s="3">
        <v>0.15</v>
      </c>
      <c r="AG746" s="17">
        <v>0.15</v>
      </c>
      <c r="AH746" s="6" t="str">
        <f t="shared" si="91"/>
        <v>Valid</v>
      </c>
      <c r="AI746" s="3">
        <v>22926.82</v>
      </c>
      <c r="AJ746" s="3">
        <v>14621.59</v>
      </c>
      <c r="AK746" s="3">
        <v>8305.23</v>
      </c>
      <c r="AL746" s="3" t="s">
        <v>34</v>
      </c>
      <c r="AM746" s="6" t="str">
        <f>PROPER(TRIM(SUBSTITUTE(AL746,".","")))</f>
        <v>Paid</v>
      </c>
      <c r="AN746" s="3" t="s">
        <v>35</v>
      </c>
      <c r="AO746" s="8" t="str">
        <f>PROPER(TRIM(SUBSTITUTE(AN746,".","")))</f>
        <v>Completed</v>
      </c>
      <c r="AP746" t="str">
        <f>IF(COUNTIF($A$2:$A$933, A746) &gt; 1, "Duplicate ID", "Unique")</f>
        <v>Unique</v>
      </c>
      <c r="AR746">
        <f t="shared" si="92"/>
        <v>22926.820499999998</v>
      </c>
      <c r="AS746">
        <f t="shared" si="93"/>
        <v>8305.2304999999978</v>
      </c>
      <c r="AT746" s="15">
        <f t="shared" si="94"/>
        <v>0.36224955396671765</v>
      </c>
      <c r="AU746" t="str">
        <f t="shared" si="95"/>
        <v>Clean</v>
      </c>
      <c r="AV746" s="8" t="str">
        <f t="shared" si="96"/>
        <v>Active</v>
      </c>
    </row>
    <row r="747" spans="1:48">
      <c r="A747" s="3" t="s">
        <v>3715</v>
      </c>
      <c r="B747" s="3" t="s">
        <v>3716</v>
      </c>
      <c r="C747" s="9">
        <f>IFERROR(DATEVALUE(TEXT(B747,"DD/MM/YYYY")), IF(ISNUMBER(B747), B747, ""))</f>
        <v>45900</v>
      </c>
      <c r="D747" s="9" t="str">
        <f>IF(B747="","Missing", IF(AND(ISNUMBER(B747)=FALSE, C747=""),"Invalid - Could Not Parse", IF(AND(ISNUMBER(B747)=FALSE, C747&lt;&gt;""),"Text - Converted to Date", IF(ISNUMBER(B747),"Valid","Check"))))</f>
        <v>Text - Converted to Date</v>
      </c>
      <c r="E747" s="5">
        <f t="shared" si="89"/>
        <v>8</v>
      </c>
      <c r="F747" s="5">
        <f t="shared" si="90"/>
        <v>2025</v>
      </c>
      <c r="G747" s="3" t="s">
        <v>2034</v>
      </c>
      <c r="H747" s="9">
        <f>IFERROR(DATEVALUE(TEXT(G747,"DD/MM/YYYY")), IF(ISNUMBER(G747), G747, ""))</f>
        <v>45897</v>
      </c>
      <c r="I747" s="9" t="str">
        <f>IF(G747="","Missing", IF(AND(ISNUMBER(G747)=FALSE, H747=""),"Invalid - Could Not Parse", IF(AND(ISNUMBER(G747)=FALSE, H747&lt;&gt;""),"Text - Converted to Date", IF(ISNUMBER(G747),"Valid","Check"))))</f>
        <v>Text - Converted to Date</v>
      </c>
      <c r="J747" s="9" t="str">
        <f>IF(OR(C747="", H747=""), "Cannot Check - Date Missing", IF(H747&lt;C747, "Invalid - Ship Before Order", "Valid"))</f>
        <v>Invalid - Ship Before Order</v>
      </c>
      <c r="K747" s="5" t="str">
        <f>IF(OR(C747="", H747=""), "", IF(H747&lt;C747, "", H747-C747))</f>
        <v/>
      </c>
      <c r="L747" s="3" t="s">
        <v>3717</v>
      </c>
      <c r="M747" s="3" t="s">
        <v>162</v>
      </c>
      <c r="N747" s="4" t="str">
        <f>TRIM(SUBSTITUTE(M747,"_"," "))</f>
        <v>Aarav Sharma</v>
      </c>
      <c r="O747" s="3" t="s">
        <v>41</v>
      </c>
      <c r="P747" s="6" t="str">
        <f>PROPER(TRIM(SUBSTITUTE(O747,".","")))</f>
        <v>Small Business</v>
      </c>
      <c r="Q747" s="3" t="s">
        <v>62</v>
      </c>
      <c r="R747" s="7" t="str">
        <f>PROPER(TRIM(SUBSTITUTE(Q747,"  "," ")))</f>
        <v>South</v>
      </c>
      <c r="S747" s="3" t="s">
        <v>339</v>
      </c>
      <c r="T747" s="6" t="str">
        <f>PROPER(TRIM(SUBSTITUTE(S747,"  "," ")))</f>
        <v>Tamil Nadu</v>
      </c>
      <c r="U747" s="3" t="s">
        <v>340</v>
      </c>
      <c r="V747" s="6" t="str">
        <f>PROPER(TRIM(SUBSTITUTE(U747,"  "," ")))</f>
        <v>Chennai</v>
      </c>
      <c r="W747" s="3" t="s">
        <v>45</v>
      </c>
      <c r="X747" s="6" t="str">
        <f>PROPER(TRIM(SUBSTITUTE(W747,"  "," ")))</f>
        <v>Furniture</v>
      </c>
      <c r="Y747" s="3" t="s">
        <v>65</v>
      </c>
      <c r="Z747" s="6" t="str">
        <f>PROPER(TRIM(SUBSTITUTE(Y747,"  "," ")))</f>
        <v>Furnishings</v>
      </c>
      <c r="AA747" s="3" t="s">
        <v>3718</v>
      </c>
      <c r="AB747" s="3" t="s">
        <v>56</v>
      </c>
      <c r="AC747" s="6" t="str">
        <f>PROPER(TRIM(SUBSTITUTE(AB747,"  "," ")))</f>
        <v>First Class</v>
      </c>
      <c r="AD747" s="3">
        <v>7</v>
      </c>
      <c r="AE747" s="3">
        <v>977.28</v>
      </c>
      <c r="AF747" s="3">
        <v>0.2</v>
      </c>
      <c r="AG747" s="17">
        <v>0.2</v>
      </c>
      <c r="AH747" s="6" t="str">
        <f t="shared" si="91"/>
        <v>Valid</v>
      </c>
      <c r="AI747" s="3">
        <v>5472.77</v>
      </c>
      <c r="AJ747" s="3">
        <v>4477.33</v>
      </c>
      <c r="AK747" s="3">
        <v>995.44</v>
      </c>
      <c r="AL747" s="3" t="s">
        <v>34</v>
      </c>
      <c r="AM747" s="6" t="str">
        <f>PROPER(TRIM(SUBSTITUTE(AL747,".","")))</f>
        <v>Paid</v>
      </c>
      <c r="AN747" s="3" t="s">
        <v>35</v>
      </c>
      <c r="AO747" s="8" t="str">
        <f>PROPER(TRIM(SUBSTITUTE(AN747,".","")))</f>
        <v>Completed</v>
      </c>
      <c r="AP747" t="str">
        <f>IF(COUNTIF($A$2:$A$933, A747) &gt; 1, "Duplicate ID", "Unique")</f>
        <v>Unique</v>
      </c>
      <c r="AR747">
        <f t="shared" si="92"/>
        <v>5472.768</v>
      </c>
      <c r="AS747">
        <f t="shared" si="93"/>
        <v>995.4380000000001</v>
      </c>
      <c r="AT747" s="15">
        <f t="shared" si="94"/>
        <v>0.18188931085695575</v>
      </c>
      <c r="AU747" t="str">
        <f t="shared" si="95"/>
        <v>Invalid</v>
      </c>
      <c r="AV747" s="8" t="str">
        <f t="shared" si="96"/>
        <v>Active</v>
      </c>
    </row>
    <row r="748" spans="1:48">
      <c r="A748" s="3" t="s">
        <v>775</v>
      </c>
      <c r="B748" s="3" t="s">
        <v>776</v>
      </c>
      <c r="C748" s="9">
        <f>IFERROR(DATEVALUE(TEXT(B748,"DD/MM/YYYY")), IF(ISNUMBER(B748), B748, ""))</f>
        <v>45901</v>
      </c>
      <c r="D748" s="9" t="str">
        <f>IF(B748="","Missing", IF(AND(ISNUMBER(B748)=FALSE, C748=""),"Invalid - Could Not Parse", IF(AND(ISNUMBER(B748)=FALSE, C748&lt;&gt;""),"Text - Converted to Date", IF(ISNUMBER(B748),"Valid","Check"))))</f>
        <v>Text - Converted to Date</v>
      </c>
      <c r="E748" s="5">
        <f t="shared" si="89"/>
        <v>9</v>
      </c>
      <c r="F748" s="5">
        <f t="shared" si="90"/>
        <v>2025</v>
      </c>
      <c r="G748" s="3" t="s">
        <v>777</v>
      </c>
      <c r="H748" s="9">
        <f>IFERROR(DATEVALUE(TEXT(G748,"DD/MM/YYYY")), IF(ISNUMBER(G748), G748, ""))</f>
        <v>45666</v>
      </c>
      <c r="I748" s="9" t="str">
        <f>IF(G748="","Missing", IF(AND(ISNUMBER(G748)=FALSE, H748=""),"Invalid - Could Not Parse", IF(AND(ISNUMBER(G748)=FALSE, H748&lt;&gt;""),"Text - Converted to Date", IF(ISNUMBER(G748),"Valid","Check"))))</f>
        <v>Text - Converted to Date</v>
      </c>
      <c r="J748" s="9" t="str">
        <f>IF(OR(C748="", H748=""), "Cannot Check - Date Missing", IF(H748&lt;C748, "Invalid - Ship Before Order", "Valid"))</f>
        <v>Invalid - Ship Before Order</v>
      </c>
      <c r="K748" s="5" t="str">
        <f>IF(OR(C748="", H748=""), "", IF(H748&lt;C748, "", H748-C748))</f>
        <v/>
      </c>
      <c r="L748" s="3" t="s">
        <v>778</v>
      </c>
      <c r="M748" s="3" t="s">
        <v>168</v>
      </c>
      <c r="N748" s="4" t="str">
        <f>TRIM(SUBSTITUTE(M748,"_"," "))</f>
        <v>Sneha Kapoor</v>
      </c>
      <c r="O748" s="3" t="s">
        <v>41</v>
      </c>
      <c r="P748" s="6" t="str">
        <f>PROPER(TRIM(SUBSTITUTE(O748,".","")))</f>
        <v>Small Business</v>
      </c>
      <c r="Q748" s="3" t="s">
        <v>27</v>
      </c>
      <c r="R748" s="7" t="str">
        <f>PROPER(TRIM(SUBSTITUTE(Q748,"  "," ")))</f>
        <v>North</v>
      </c>
      <c r="S748" s="3" t="s">
        <v>28</v>
      </c>
      <c r="T748" s="6" t="str">
        <f>PROPER(TRIM(SUBSTITUTE(S748,"  "," ")))</f>
        <v>Rajasthan</v>
      </c>
      <c r="U748" s="3" t="s">
        <v>29</v>
      </c>
      <c r="V748" s="6" t="str">
        <f>PROPER(TRIM(SUBSTITUTE(U748,"  "," ")))</f>
        <v>Jaipur</v>
      </c>
      <c r="W748" s="3" t="s">
        <v>45</v>
      </c>
      <c r="X748" s="6" t="str">
        <f>PROPER(TRIM(SUBSTITUTE(W748,"  "," ")))</f>
        <v>Furniture</v>
      </c>
      <c r="Y748" s="3" t="s">
        <v>76</v>
      </c>
      <c r="Z748" s="6" t="str">
        <f>PROPER(TRIM(SUBSTITUTE(Y748,"  "," ")))</f>
        <v>Chairs</v>
      </c>
      <c r="AA748" s="3" t="s">
        <v>779</v>
      </c>
      <c r="AB748" s="3" t="s">
        <v>48</v>
      </c>
      <c r="AC748" s="6" t="str">
        <f>PROPER(TRIM(SUBSTITUTE(AB748,"  "," ")))</f>
        <v>Same Day</v>
      </c>
      <c r="AD748" s="3">
        <v>8</v>
      </c>
      <c r="AE748" s="3">
        <v>2667.07</v>
      </c>
      <c r="AF748" s="3">
        <v>0.1</v>
      </c>
      <c r="AG748" s="17">
        <v>0.1</v>
      </c>
      <c r="AH748" s="6" t="str">
        <f t="shared" si="91"/>
        <v>Valid</v>
      </c>
      <c r="AI748" s="3">
        <v>19202.900000000001</v>
      </c>
      <c r="AJ748" s="3">
        <v>15526.62</v>
      </c>
      <c r="AK748" s="3">
        <v>3676.28</v>
      </c>
      <c r="AL748" s="3" t="s">
        <v>34</v>
      </c>
      <c r="AM748" s="6" t="str">
        <f>PROPER(TRIM(SUBSTITUTE(AL748,".","")))</f>
        <v>Paid</v>
      </c>
      <c r="AN748" s="3" t="s">
        <v>35</v>
      </c>
      <c r="AO748" s="8" t="str">
        <f>PROPER(TRIM(SUBSTITUTE(AN748,".","")))</f>
        <v>Completed</v>
      </c>
      <c r="AP748" t="str">
        <f>IF(COUNTIF($A$2:$A$933, A748) &gt; 1, "Duplicate ID", "Unique")</f>
        <v>Unique</v>
      </c>
      <c r="AR748">
        <f t="shared" si="92"/>
        <v>19202.904000000002</v>
      </c>
      <c r="AS748">
        <f t="shared" si="93"/>
        <v>3676.2840000000015</v>
      </c>
      <c r="AT748" s="15">
        <f t="shared" si="94"/>
        <v>0.19144416906942829</v>
      </c>
      <c r="AU748" t="str">
        <f t="shared" si="95"/>
        <v>Invalid</v>
      </c>
      <c r="AV748" s="8" t="str">
        <f t="shared" si="96"/>
        <v>Active</v>
      </c>
    </row>
    <row r="749" spans="1:48">
      <c r="A749" s="3" t="s">
        <v>3948</v>
      </c>
      <c r="B749" s="3" t="s">
        <v>3949</v>
      </c>
      <c r="C749" s="9">
        <f>IFERROR(DATEVALUE(TEXT(B749,"DD/MM/YYYY")), IF(ISNUMBER(B749), B749, ""))</f>
        <v>45902</v>
      </c>
      <c r="D749" s="9" t="str">
        <f>IF(B749="","Missing", IF(AND(ISNUMBER(B749)=FALSE, C749=""),"Invalid - Could Not Parse", IF(AND(ISNUMBER(B749)=FALSE, C749&lt;&gt;""),"Text - Converted to Date", IF(ISNUMBER(B749),"Valid","Check"))))</f>
        <v>Text - Converted to Date</v>
      </c>
      <c r="E749" s="5">
        <f t="shared" si="89"/>
        <v>9</v>
      </c>
      <c r="F749" s="5">
        <f t="shared" si="90"/>
        <v>2025</v>
      </c>
      <c r="G749" s="3" t="s">
        <v>572</v>
      </c>
      <c r="H749" s="9">
        <f>IFERROR(DATEVALUE(TEXT(G749,"DD/MM/YYYY")), IF(ISNUMBER(G749), G749, ""))</f>
        <v>45905</v>
      </c>
      <c r="I749" s="9" t="str">
        <f>IF(G749="","Missing", IF(AND(ISNUMBER(G749)=FALSE, H749=""),"Invalid - Could Not Parse", IF(AND(ISNUMBER(G749)=FALSE, H749&lt;&gt;""),"Text - Converted to Date", IF(ISNUMBER(G749),"Valid","Check"))))</f>
        <v>Text - Converted to Date</v>
      </c>
      <c r="J749" s="9" t="str">
        <f>IF(OR(C749="", H749=""), "Cannot Check - Date Missing", IF(H749&lt;C749, "Invalid - Ship Before Order", "Valid"))</f>
        <v>Valid</v>
      </c>
      <c r="K749" s="5">
        <f>IF(OR(C749="", H749=""), "", IF(H749&lt;C749, "", H749-C749))</f>
        <v>3</v>
      </c>
      <c r="L749" s="3" t="s">
        <v>3950</v>
      </c>
      <c r="M749" s="3" t="s">
        <v>83</v>
      </c>
      <c r="N749" s="4" t="str">
        <f>TRIM(SUBSTITUTE(M749,"_"," "))</f>
        <v>Vikram Iyer</v>
      </c>
      <c r="O749" s="3" t="s">
        <v>26</v>
      </c>
      <c r="P749" s="6" t="str">
        <f>PROPER(TRIM(SUBSTITUTE(O749,".","")))</f>
        <v>Consumer</v>
      </c>
      <c r="Q749" s="3" t="s">
        <v>62</v>
      </c>
      <c r="R749" s="7" t="str">
        <f>PROPER(TRIM(SUBSTITUTE(Q749,"  "," ")))</f>
        <v>South</v>
      </c>
      <c r="S749" s="3" t="s">
        <v>339</v>
      </c>
      <c r="T749" s="6" t="str">
        <f>PROPER(TRIM(SUBSTITUTE(S749,"  "," ")))</f>
        <v>Tamil Nadu</v>
      </c>
      <c r="U749" s="3" t="s">
        <v>340</v>
      </c>
      <c r="V749" s="6" t="str">
        <f>PROPER(TRIM(SUBSTITUTE(U749,"  "," ")))</f>
        <v>Chennai</v>
      </c>
      <c r="W749" s="3" t="s">
        <v>86</v>
      </c>
      <c r="X749" s="6" t="str">
        <f>PROPER(TRIM(SUBSTITUTE(W749,"  "," ")))</f>
        <v>Technology</v>
      </c>
      <c r="Y749" s="3" t="s">
        <v>223</v>
      </c>
      <c r="Z749" s="6" t="str">
        <f>PROPER(TRIM(SUBSTITUTE(Y749,"  "," ")))</f>
        <v>Phones</v>
      </c>
      <c r="AA749" s="3" t="s">
        <v>3951</v>
      </c>
      <c r="AB749" s="3" t="s">
        <v>56</v>
      </c>
      <c r="AC749" s="6" t="str">
        <f>PROPER(TRIM(SUBSTITUTE(AB749,"  "," ")))</f>
        <v>First Class</v>
      </c>
      <c r="AD749" s="3">
        <v>5</v>
      </c>
      <c r="AE749" s="3">
        <v>3406.87</v>
      </c>
      <c r="AF749" s="3">
        <v>0</v>
      </c>
      <c r="AG749" s="17">
        <v>0</v>
      </c>
      <c r="AH749" s="6" t="str">
        <f t="shared" si="91"/>
        <v>Valid</v>
      </c>
      <c r="AI749" s="3">
        <v>17034.349999999999</v>
      </c>
      <c r="AJ749" s="3">
        <v>14631.36</v>
      </c>
      <c r="AK749" s="3">
        <v>2402.9899999999998</v>
      </c>
      <c r="AL749" s="3" t="s">
        <v>34</v>
      </c>
      <c r="AM749" s="6" t="str">
        <f>PROPER(TRIM(SUBSTITUTE(AL749,".","")))</f>
        <v>Paid</v>
      </c>
      <c r="AN749" s="3" t="s">
        <v>35</v>
      </c>
      <c r="AO749" s="8" t="str">
        <f>PROPER(TRIM(SUBSTITUTE(AN749,".","")))</f>
        <v>Completed</v>
      </c>
      <c r="AP749" t="str">
        <f>IF(COUNTIF($A$2:$A$933, A749) &gt; 1, "Duplicate ID", "Unique")</f>
        <v>Unique</v>
      </c>
      <c r="AR749">
        <f t="shared" si="92"/>
        <v>17034.349999999999</v>
      </c>
      <c r="AS749">
        <f t="shared" si="93"/>
        <v>2402.989999999998</v>
      </c>
      <c r="AT749" s="15">
        <f t="shared" si="94"/>
        <v>0.14106731398615141</v>
      </c>
      <c r="AU749" t="str">
        <f t="shared" si="95"/>
        <v>Clean</v>
      </c>
      <c r="AV749" s="8" t="str">
        <f t="shared" si="96"/>
        <v>Active</v>
      </c>
    </row>
    <row r="750" spans="1:48">
      <c r="A750" s="3" t="s">
        <v>2686</v>
      </c>
      <c r="B750" s="3" t="s">
        <v>2687</v>
      </c>
      <c r="C750" s="9">
        <f>IFERROR(DATEVALUE(TEXT(B750,"DD/MM/YYYY")), IF(ISNUMBER(B750), B750, ""))</f>
        <v>45904</v>
      </c>
      <c r="D750" s="9" t="str">
        <f>IF(B750="","Missing", IF(AND(ISNUMBER(B750)=FALSE, C750=""),"Invalid - Could Not Parse", IF(AND(ISNUMBER(B750)=FALSE, C750&lt;&gt;""),"Text - Converted to Date", IF(ISNUMBER(B750),"Valid","Check"))))</f>
        <v>Text - Converted to Date</v>
      </c>
      <c r="E750" s="5">
        <f t="shared" si="89"/>
        <v>9</v>
      </c>
      <c r="F750" s="5">
        <f t="shared" si="90"/>
        <v>2025</v>
      </c>
      <c r="G750" s="3" t="s">
        <v>2688</v>
      </c>
      <c r="H750" s="9">
        <f>IFERROR(DATEVALUE(TEXT(G750,"DD/MM/YYYY")), IF(ISNUMBER(G750), G750, ""))</f>
        <v>45756</v>
      </c>
      <c r="I750" s="9" t="str">
        <f>IF(G750="","Missing", IF(AND(ISNUMBER(G750)=FALSE, H750=""),"Invalid - Could Not Parse", IF(AND(ISNUMBER(G750)=FALSE, H750&lt;&gt;""),"Text - Converted to Date", IF(ISNUMBER(G750),"Valid","Check"))))</f>
        <v>Text - Converted to Date</v>
      </c>
      <c r="J750" s="9" t="str">
        <f>IF(OR(C750="", H750=""), "Cannot Check - Date Missing", IF(H750&lt;C750, "Invalid - Ship Before Order", "Valid"))</f>
        <v>Invalid - Ship Before Order</v>
      </c>
      <c r="K750" s="5" t="str">
        <f>IF(OR(C750="", H750=""), "", IF(H750&lt;C750, "", H750-C750))</f>
        <v/>
      </c>
      <c r="L750" s="3" t="s">
        <v>2689</v>
      </c>
      <c r="M750" s="3" t="s">
        <v>107</v>
      </c>
      <c r="N750" s="4" t="str">
        <f>TRIM(SUBSTITUTE(M750,"_"," "))</f>
        <v>Aditi Sen</v>
      </c>
      <c r="O750" s="3" t="s">
        <v>108</v>
      </c>
      <c r="P750" s="6" t="str">
        <f>PROPER(TRIM(SUBSTITUTE(O750,".","")))</f>
        <v>Corporate</v>
      </c>
      <c r="Q750" s="3" t="s">
        <v>27</v>
      </c>
      <c r="R750" s="7" t="str">
        <f>PROPER(TRIM(SUBSTITUTE(Q750,"  "," ")))</f>
        <v>North</v>
      </c>
      <c r="S750" s="3" t="s">
        <v>154</v>
      </c>
      <c r="T750" s="6" t="str">
        <f>PROPER(TRIM(SUBSTITUTE(S750,"  "," ")))</f>
        <v>Punjab</v>
      </c>
      <c r="U750" s="3" t="s">
        <v>155</v>
      </c>
      <c r="V750" s="6" t="str">
        <f>PROPER(TRIM(SUBSTITUTE(U750,"  "," ")))</f>
        <v>Ludhiana</v>
      </c>
      <c r="W750" s="3" t="s">
        <v>86</v>
      </c>
      <c r="X750" s="6" t="str">
        <f>PROPER(TRIM(SUBSTITUTE(W750,"  "," ")))</f>
        <v>Technology</v>
      </c>
      <c r="Y750" s="3" t="s">
        <v>382</v>
      </c>
      <c r="Z750" s="6" t="str">
        <f>PROPER(TRIM(SUBSTITUTE(Y750,"  "," ")))</f>
        <v>Machines</v>
      </c>
      <c r="AA750" s="3" t="s">
        <v>2690</v>
      </c>
      <c r="AB750" s="3" t="s">
        <v>56</v>
      </c>
      <c r="AC750" s="6" t="str">
        <f>PROPER(TRIM(SUBSTITUTE(AB750,"  "," ")))</f>
        <v>First Class</v>
      </c>
      <c r="AD750" s="3">
        <v>8</v>
      </c>
      <c r="AE750" s="3">
        <v>3079.95</v>
      </c>
      <c r="AF750" s="3">
        <v>0.2</v>
      </c>
      <c r="AG750" s="17">
        <v>0.2</v>
      </c>
      <c r="AH750" s="6" t="str">
        <f t="shared" si="91"/>
        <v>Valid</v>
      </c>
      <c r="AI750" s="3">
        <v>19711.68</v>
      </c>
      <c r="AJ750" s="3">
        <v>14461.8</v>
      </c>
      <c r="AK750" s="3">
        <v>5249.88</v>
      </c>
      <c r="AL750" s="3" t="s">
        <v>34</v>
      </c>
      <c r="AM750" s="6" t="str">
        <f>PROPER(TRIM(SUBSTITUTE(AL750,".","")))</f>
        <v>Paid</v>
      </c>
      <c r="AN750" s="3" t="s">
        <v>35</v>
      </c>
      <c r="AO750" s="8" t="str">
        <f>PROPER(TRIM(SUBSTITUTE(AN750,".","")))</f>
        <v>Completed</v>
      </c>
      <c r="AP750" t="str">
        <f>IF(COUNTIF($A$2:$A$933, A750) &gt; 1, "Duplicate ID", "Unique")</f>
        <v>Unique</v>
      </c>
      <c r="AR750">
        <f t="shared" si="92"/>
        <v>19711.68</v>
      </c>
      <c r="AS750">
        <f t="shared" si="93"/>
        <v>5249.880000000001</v>
      </c>
      <c r="AT750" s="15">
        <f t="shared" si="94"/>
        <v>0.26633346320557155</v>
      </c>
      <c r="AU750" t="str">
        <f t="shared" si="95"/>
        <v>Invalid</v>
      </c>
      <c r="AV750" s="8" t="str">
        <f t="shared" si="96"/>
        <v>Active</v>
      </c>
    </row>
    <row r="751" spans="1:48">
      <c r="A751" s="3" t="s">
        <v>571</v>
      </c>
      <c r="B751" s="3" t="s">
        <v>572</v>
      </c>
      <c r="C751" s="9">
        <f>IFERROR(DATEVALUE(TEXT(B751,"DD/MM/YYYY")), IF(ISNUMBER(B751), B751, ""))</f>
        <v>45905</v>
      </c>
      <c r="D751" s="9" t="str">
        <f>IF(B751="","Missing", IF(AND(ISNUMBER(B751)=FALSE, C751=""),"Invalid - Could Not Parse", IF(AND(ISNUMBER(B751)=FALSE, C751&lt;&gt;""),"Text - Converted to Date", IF(ISNUMBER(B751),"Valid","Check"))))</f>
        <v>Text - Converted to Date</v>
      </c>
      <c r="E751" s="5">
        <f t="shared" si="89"/>
        <v>9</v>
      </c>
      <c r="F751" s="5">
        <f t="shared" si="90"/>
        <v>2025</v>
      </c>
      <c r="G751" s="3" t="s">
        <v>573</v>
      </c>
      <c r="H751" s="9">
        <f>IFERROR(DATEVALUE(TEXT(G751,"DD/MM/YYYY")), IF(ISNUMBER(G751), G751, ""))</f>
        <v>45939</v>
      </c>
      <c r="I751" s="9" t="str">
        <f>IF(G751="","Missing", IF(AND(ISNUMBER(G751)=FALSE, H751=""),"Invalid - Could Not Parse", IF(AND(ISNUMBER(G751)=FALSE, H751&lt;&gt;""),"Text - Converted to Date", IF(ISNUMBER(G751),"Valid","Check"))))</f>
        <v>Text - Converted to Date</v>
      </c>
      <c r="J751" s="9" t="str">
        <f>IF(OR(C751="", H751=""), "Cannot Check - Date Missing", IF(H751&lt;C751, "Invalid - Ship Before Order", "Valid"))</f>
        <v>Valid</v>
      </c>
      <c r="K751" s="5">
        <f>IF(OR(C751="", H751=""), "", IF(H751&lt;C751, "", H751-C751))</f>
        <v>34</v>
      </c>
      <c r="L751" s="3" t="s">
        <v>574</v>
      </c>
      <c r="M751" s="3" t="s">
        <v>168</v>
      </c>
      <c r="N751" s="4" t="str">
        <f>TRIM(SUBSTITUTE(M751,"_"," "))</f>
        <v>Sneha Kapoor</v>
      </c>
      <c r="O751" s="3" t="s">
        <v>108</v>
      </c>
      <c r="P751" s="6" t="str">
        <f>PROPER(TRIM(SUBSTITUTE(O751,".","")))</f>
        <v>Corporate</v>
      </c>
      <c r="Q751" s="3" t="s">
        <v>73</v>
      </c>
      <c r="R751" s="7" t="str">
        <f>PROPER(TRIM(SUBSTITUTE(Q751,"  "," ")))</f>
        <v>West</v>
      </c>
      <c r="S751" s="3" t="s">
        <v>249</v>
      </c>
      <c r="T751" s="6" t="str">
        <f>PROPER(TRIM(SUBSTITUTE(S751,"  "," ")))</f>
        <v>Goa</v>
      </c>
      <c r="U751" s="3" t="s">
        <v>250</v>
      </c>
      <c r="V751" s="6" t="str">
        <f>PROPER(TRIM(SUBSTITUTE(U751,"  "," ")))</f>
        <v>Panaji</v>
      </c>
      <c r="W751" s="3" t="s">
        <v>45</v>
      </c>
      <c r="X751" s="6" t="str">
        <f>PROPER(TRIM(SUBSTITUTE(W751,"  "," ")))</f>
        <v>Furniture</v>
      </c>
      <c r="Y751" s="3" t="s">
        <v>204</v>
      </c>
      <c r="Z751" s="6" t="str">
        <f>PROPER(TRIM(SUBSTITUTE(Y751,"  "," ")))</f>
        <v>Bookcases</v>
      </c>
      <c r="AA751" s="3" t="s">
        <v>575</v>
      </c>
      <c r="AB751" s="3" t="s">
        <v>48</v>
      </c>
      <c r="AC751" s="6" t="str">
        <f>PROPER(TRIM(SUBSTITUTE(AB751,"  "," ")))</f>
        <v>Same Day</v>
      </c>
      <c r="AD751" s="3">
        <v>6</v>
      </c>
      <c r="AE751" s="3">
        <v>1754.13</v>
      </c>
      <c r="AF751" s="3">
        <v>0</v>
      </c>
      <c r="AG751" s="17">
        <v>0</v>
      </c>
      <c r="AH751" s="6" t="str">
        <f t="shared" si="91"/>
        <v>Valid</v>
      </c>
      <c r="AI751" s="3">
        <v>10524.78</v>
      </c>
      <c r="AJ751" s="3">
        <v>8841.0499999999993</v>
      </c>
      <c r="AK751" s="3">
        <v>1683.73</v>
      </c>
      <c r="AL751" s="3" t="s">
        <v>34</v>
      </c>
      <c r="AM751" s="6" t="str">
        <f>PROPER(TRIM(SUBSTITUTE(AL751,".","")))</f>
        <v>Paid</v>
      </c>
      <c r="AN751" s="3" t="s">
        <v>35</v>
      </c>
      <c r="AO751" s="8" t="str">
        <f>PROPER(TRIM(SUBSTITUTE(AN751,".","")))</f>
        <v>Completed</v>
      </c>
      <c r="AP751" t="str">
        <f>IF(COUNTIF($A$2:$A$933, A751) &gt; 1, "Duplicate ID", "Unique")</f>
        <v>Unique</v>
      </c>
      <c r="AR751">
        <f t="shared" si="92"/>
        <v>10524.78</v>
      </c>
      <c r="AS751">
        <f t="shared" si="93"/>
        <v>1683.7300000000014</v>
      </c>
      <c r="AT751" s="15">
        <f t="shared" si="94"/>
        <v>0.15997769074507984</v>
      </c>
      <c r="AU751" t="str">
        <f t="shared" si="95"/>
        <v>Clean</v>
      </c>
      <c r="AV751" s="8" t="str">
        <f t="shared" si="96"/>
        <v>Active</v>
      </c>
    </row>
    <row r="752" spans="1:48">
      <c r="A752" s="3" t="s">
        <v>111</v>
      </c>
      <c r="B752" s="3" t="s">
        <v>112</v>
      </c>
      <c r="C752" s="9">
        <f>IFERROR(DATEVALUE(TEXT(B752,"DD/MM/YYYY")), IF(ISNUMBER(B752), B752, ""))</f>
        <v>45907</v>
      </c>
      <c r="D752" s="9" t="str">
        <f>IF(B752="","Missing", IF(AND(ISNUMBER(B752)=FALSE, C752=""),"Invalid - Could Not Parse", IF(AND(ISNUMBER(B752)=FALSE, C752&lt;&gt;""),"Text - Converted to Date", IF(ISNUMBER(B752),"Valid","Check"))))</f>
        <v>Text - Converted to Date</v>
      </c>
      <c r="E752" s="5">
        <f t="shared" si="89"/>
        <v>9</v>
      </c>
      <c r="F752" s="5">
        <f t="shared" si="90"/>
        <v>2025</v>
      </c>
      <c r="G752" s="3" t="s">
        <v>113</v>
      </c>
      <c r="H752" s="9">
        <f>IFERROR(DATEVALUE(TEXT(G752,"DD/MM/YYYY")), IF(ISNUMBER(G752), G752, ""))</f>
        <v>46000</v>
      </c>
      <c r="I752" s="9" t="str">
        <f>IF(G752="","Missing", IF(AND(ISNUMBER(G752)=FALSE, H752=""),"Invalid - Could Not Parse", IF(AND(ISNUMBER(G752)=FALSE, H752&lt;&gt;""),"Text - Converted to Date", IF(ISNUMBER(G752),"Valid","Check"))))</f>
        <v>Text - Converted to Date</v>
      </c>
      <c r="J752" s="9" t="str">
        <f>IF(OR(C752="", H752=""), "Cannot Check - Date Missing", IF(H752&lt;C752, "Invalid - Ship Before Order", "Valid"))</f>
        <v>Valid</v>
      </c>
      <c r="K752" s="5">
        <f>IF(OR(C752="", H752=""), "", IF(H752&lt;C752, "", H752-C752))</f>
        <v>93</v>
      </c>
      <c r="L752" s="3" t="s">
        <v>114</v>
      </c>
      <c r="M752" s="3" t="s">
        <v>40</v>
      </c>
      <c r="N752" s="4" t="str">
        <f>TRIM(SUBSTITUTE(M752,"_"," "))</f>
        <v>Mira Das</v>
      </c>
      <c r="O752" s="3" t="s">
        <v>115</v>
      </c>
      <c r="P752" s="6" t="str">
        <f>PROPER(TRIM(SUBSTITUTE(O752,".","")))</f>
        <v>Home Office</v>
      </c>
      <c r="Q752" s="3" t="s">
        <v>62</v>
      </c>
      <c r="R752" s="7" t="str">
        <f>PROPER(TRIM(SUBSTITUTE(Q752,"  "," ")))</f>
        <v>South</v>
      </c>
      <c r="S752" s="3" t="s">
        <v>63</v>
      </c>
      <c r="T752" s="6" t="str">
        <f>PROPER(TRIM(SUBSTITUTE(S752,"  "," ")))</f>
        <v>Telangana</v>
      </c>
      <c r="U752" s="3" t="s">
        <v>64</v>
      </c>
      <c r="V752" s="6" t="str">
        <f>PROPER(TRIM(SUBSTITUTE(U752,"  "," ")))</f>
        <v>Hyderabad</v>
      </c>
      <c r="W752" s="3" t="s">
        <v>30</v>
      </c>
      <c r="X752" s="6" t="str">
        <f>PROPER(TRIM(SUBSTITUTE(W752,"  "," ")))</f>
        <v>Office Supplies</v>
      </c>
      <c r="Y752" s="3" t="s">
        <v>31</v>
      </c>
      <c r="Z752" s="6" t="str">
        <f>PROPER(TRIM(SUBSTITUTE(Y752,"  "," ")))</f>
        <v>Paper</v>
      </c>
      <c r="AA752" s="3" t="s">
        <v>116</v>
      </c>
      <c r="AB752" s="3" t="s">
        <v>33</v>
      </c>
      <c r="AC752" s="6" t="str">
        <f>PROPER(TRIM(SUBSTITUTE(AB752,"  "," ")))</f>
        <v>Second Class</v>
      </c>
      <c r="AD752" s="3">
        <v>9</v>
      </c>
      <c r="AE752" s="3">
        <v>852.04</v>
      </c>
      <c r="AF752" s="3">
        <v>0.2</v>
      </c>
      <c r="AG752" s="17">
        <v>0.2</v>
      </c>
      <c r="AH752" s="6" t="str">
        <f t="shared" si="91"/>
        <v>Valid</v>
      </c>
      <c r="AI752" s="3">
        <v>6134.69</v>
      </c>
      <c r="AJ752" s="3">
        <v>3800.19</v>
      </c>
      <c r="AK752" s="3">
        <v>2334.5</v>
      </c>
      <c r="AL752" s="3" t="s">
        <v>34</v>
      </c>
      <c r="AM752" s="6" t="str">
        <f>PROPER(TRIM(SUBSTITUTE(AL752,".","")))</f>
        <v>Paid</v>
      </c>
      <c r="AN752" s="3" t="s">
        <v>35</v>
      </c>
      <c r="AO752" s="8" t="str">
        <f>PROPER(TRIM(SUBSTITUTE(AN752,".","")))</f>
        <v>Completed</v>
      </c>
      <c r="AP752" t="str">
        <f>IF(COUNTIF($A$2:$A$933, A752) &gt; 1, "Duplicate ID", "Unique")</f>
        <v>Unique</v>
      </c>
      <c r="AR752">
        <f t="shared" si="92"/>
        <v>6134.6880000000001</v>
      </c>
      <c r="AS752">
        <f t="shared" si="93"/>
        <v>2334.498</v>
      </c>
      <c r="AT752" s="15">
        <f t="shared" si="94"/>
        <v>0.38054062407085737</v>
      </c>
      <c r="AU752" t="str">
        <f t="shared" si="95"/>
        <v>Clean</v>
      </c>
      <c r="AV752" s="8" t="str">
        <f t="shared" si="96"/>
        <v>Active</v>
      </c>
    </row>
    <row r="753" spans="1:48">
      <c r="A753" s="3" t="s">
        <v>934</v>
      </c>
      <c r="B753" s="3" t="s">
        <v>112</v>
      </c>
      <c r="C753" s="9">
        <f>IFERROR(DATEVALUE(TEXT(B753,"DD/MM/YYYY")), IF(ISNUMBER(B753), B753, ""))</f>
        <v>45907</v>
      </c>
      <c r="D753" s="9" t="str">
        <f>IF(B753="","Missing", IF(AND(ISNUMBER(B753)=FALSE, C753=""),"Invalid - Could Not Parse", IF(AND(ISNUMBER(B753)=FALSE, C753&lt;&gt;""),"Text - Converted to Date", IF(ISNUMBER(B753),"Valid","Check"))))</f>
        <v>Text - Converted to Date</v>
      </c>
      <c r="E753" s="5">
        <f t="shared" si="89"/>
        <v>9</v>
      </c>
      <c r="F753" s="5">
        <f t="shared" si="90"/>
        <v>2025</v>
      </c>
      <c r="G753" s="3" t="s">
        <v>935</v>
      </c>
      <c r="H753" s="9">
        <f>IFERROR(DATEVALUE(MID(G753,4,2) &amp; "/" &amp; LEFT(G753,2) &amp; "/" &amp; RIGHT(G753,4)), IF(ISNUMBER(G753), G753, IFERROR(DATEVALUE(G753), "")))</f>
        <v>45915</v>
      </c>
      <c r="I753" s="9" t="str">
        <f>IF(G753="","Missing", IF(AND(ISNUMBER(G753)=FALSE, H753=""),"Invalid - Could Not Parse", IF(AND(ISNUMBER(G753)=FALSE, H753&lt;&gt;""),"Text - Converted to Date", IF(ISNUMBER(G753),"Valid","Check"))))</f>
        <v>Text - Converted to Date</v>
      </c>
      <c r="J753" s="9" t="str">
        <f>IF(OR(C753="", H753=""), "Cannot Check - Date Missing", IF(H753&lt;C753, "Invalid - Ship Before Order", "Valid"))</f>
        <v>Valid</v>
      </c>
      <c r="K753" s="5">
        <f>IF(OR(C753="", H753=""), "", IF(H753&lt;C753, "", H753-C753))</f>
        <v>8</v>
      </c>
      <c r="L753" s="3" t="s">
        <v>936</v>
      </c>
      <c r="M753" s="3" t="s">
        <v>180</v>
      </c>
      <c r="N753" s="4" t="str">
        <f>TRIM(SUBSTITUTE(M753,"_"," "))</f>
        <v>Rohan Mehta</v>
      </c>
      <c r="O753" s="3" t="s">
        <v>108</v>
      </c>
      <c r="P753" s="6" t="str">
        <f>PROPER(TRIM(SUBSTITUTE(O753,".","")))</f>
        <v>Corporate</v>
      </c>
      <c r="Q753" s="3" t="s">
        <v>42</v>
      </c>
      <c r="R753" s="7" t="str">
        <f>PROPER(TRIM(SUBSTITUTE(Q753,"  "," ")))</f>
        <v>East</v>
      </c>
      <c r="S753" s="3" t="s">
        <v>186</v>
      </c>
      <c r="T753" s="6" t="str">
        <f>PROPER(TRIM(SUBSTITUTE(S753,"  "," ")))</f>
        <v>Bihar</v>
      </c>
      <c r="U753" s="3" t="s">
        <v>187</v>
      </c>
      <c r="V753" s="6" t="str">
        <f>PROPER(TRIM(SUBSTITUTE(U753,"  "," ")))</f>
        <v>Patna</v>
      </c>
      <c r="W753" s="3" t="s">
        <v>86</v>
      </c>
      <c r="X753" s="6" t="str">
        <f>PROPER(TRIM(SUBSTITUTE(W753,"  "," ")))</f>
        <v>Technology</v>
      </c>
      <c r="Y753" s="3" t="s">
        <v>94</v>
      </c>
      <c r="Z753" s="6" t="str">
        <f>PROPER(TRIM(SUBSTITUTE(Y753,"  "," ")))</f>
        <v>Copiers</v>
      </c>
      <c r="AA753" s="3" t="s">
        <v>937</v>
      </c>
      <c r="AB753" s="3" t="s">
        <v>67</v>
      </c>
      <c r="AC753" s="6" t="str">
        <f>PROPER(TRIM(SUBSTITUTE(AB753,"  "," ")))</f>
        <v>Standard Class</v>
      </c>
      <c r="AD753" s="3">
        <v>3</v>
      </c>
      <c r="AE753" s="3">
        <v>1711.32</v>
      </c>
      <c r="AF753" s="3">
        <v>0</v>
      </c>
      <c r="AG753" s="17">
        <v>0</v>
      </c>
      <c r="AH753" s="6" t="str">
        <f t="shared" si="91"/>
        <v>Valid</v>
      </c>
      <c r="AI753" s="3">
        <v>5133.96</v>
      </c>
      <c r="AJ753" s="3">
        <v>3930</v>
      </c>
      <c r="AK753" s="3">
        <v>1203.96</v>
      </c>
      <c r="AL753" s="3" t="s">
        <v>34</v>
      </c>
      <c r="AM753" s="6" t="str">
        <f>PROPER(TRIM(SUBSTITUTE(AL753,".","")))</f>
        <v>Paid</v>
      </c>
      <c r="AN753" s="3" t="s">
        <v>35</v>
      </c>
      <c r="AO753" s="8" t="str">
        <f>PROPER(TRIM(SUBSTITUTE(AN753,".","")))</f>
        <v>Completed</v>
      </c>
      <c r="AP753" t="str">
        <f>IF(COUNTIF($A$2:$A$933, A753) &gt; 1, "Duplicate ID", "Unique")</f>
        <v>Duplicate ID</v>
      </c>
      <c r="AQ753" t="s">
        <v>4106</v>
      </c>
      <c r="AR753">
        <f t="shared" si="92"/>
        <v>5133.96</v>
      </c>
      <c r="AS753">
        <f t="shared" si="93"/>
        <v>1203.96</v>
      </c>
      <c r="AT753" s="15">
        <f t="shared" si="94"/>
        <v>0.23450903396208775</v>
      </c>
      <c r="AU753" t="str">
        <f t="shared" si="95"/>
        <v>Invalid</v>
      </c>
      <c r="AV753" s="8" t="str">
        <f t="shared" si="96"/>
        <v>Active</v>
      </c>
    </row>
    <row r="754" spans="1:48">
      <c r="A754" s="3" t="s">
        <v>2423</v>
      </c>
      <c r="B754" s="3" t="s">
        <v>2424</v>
      </c>
      <c r="C754" s="9">
        <f>IFERROR(DATEVALUE(TEXT(B754,"DD/MM/YYYY")), IF(ISNUMBER(B754), B754, ""))</f>
        <v>45907</v>
      </c>
      <c r="D754" s="9" t="str">
        <f>IF(B754="","Missing", IF(AND(ISNUMBER(B754)=FALSE, C754=""),"Invalid - Could Not Parse", IF(AND(ISNUMBER(B754)=FALSE, C754&lt;&gt;""),"Text - Converted to Date", IF(ISNUMBER(B754),"Valid","Check"))))</f>
        <v>Text - Converted to Date</v>
      </c>
      <c r="E754" s="5">
        <f t="shared" si="89"/>
        <v>9</v>
      </c>
      <c r="F754" s="5">
        <f t="shared" si="90"/>
        <v>2025</v>
      </c>
      <c r="G754" s="3" t="s">
        <v>2425</v>
      </c>
      <c r="H754" s="9">
        <f>IFERROR(DATEVALUE(TEXT(G754,"DD/MM/YYYY")), IF(ISNUMBER(G754), G754, ""))</f>
        <v>45910</v>
      </c>
      <c r="I754" s="9" t="str">
        <f>IF(G754="","Missing", IF(AND(ISNUMBER(G754)=FALSE, H754=""),"Invalid - Could Not Parse", IF(AND(ISNUMBER(G754)=FALSE, H754&lt;&gt;""),"Text - Converted to Date", IF(ISNUMBER(G754),"Valid","Check"))))</f>
        <v>Text - Converted to Date</v>
      </c>
      <c r="J754" s="9" t="str">
        <f>IF(OR(C754="", H754=""), "Cannot Check - Date Missing", IF(H754&lt;C754, "Invalid - Ship Before Order", "Valid"))</f>
        <v>Valid</v>
      </c>
      <c r="K754" s="5">
        <f>IF(OR(C754="", H754=""), "", IF(H754&lt;C754, "", H754-C754))</f>
        <v>3</v>
      </c>
      <c r="L754" s="3" t="s">
        <v>2426</v>
      </c>
      <c r="M754" s="3" t="s">
        <v>25</v>
      </c>
      <c r="N754" s="4" t="str">
        <f>TRIM(SUBSTITUTE(M754,"_"," "))</f>
        <v>Karan Malhotra</v>
      </c>
      <c r="O754" s="3" t="s">
        <v>26</v>
      </c>
      <c r="P754" s="6" t="str">
        <f>PROPER(TRIM(SUBSTITUTE(O754,".","")))</f>
        <v>Consumer</v>
      </c>
      <c r="Q754" s="3" t="s">
        <v>27</v>
      </c>
      <c r="R754" s="7" t="str">
        <f>PROPER(TRIM(SUBSTITUTE(Q754,"  "," ")))</f>
        <v>North</v>
      </c>
      <c r="S754" s="3" t="s">
        <v>154</v>
      </c>
      <c r="T754" s="6" t="str">
        <f>PROPER(TRIM(SUBSTITUTE(S754,"  "," ")))</f>
        <v>Punjab</v>
      </c>
      <c r="U754" s="3" t="s">
        <v>155</v>
      </c>
      <c r="V754" s="6" t="str">
        <f>PROPER(TRIM(SUBSTITUTE(U754,"  "," ")))</f>
        <v>Ludhiana</v>
      </c>
      <c r="W754" s="3" t="s">
        <v>45</v>
      </c>
      <c r="X754" s="6" t="str">
        <f>PROPER(TRIM(SUBSTITUTE(W754,"  "," ")))</f>
        <v>Furniture</v>
      </c>
      <c r="Y754" s="3" t="s">
        <v>76</v>
      </c>
      <c r="Z754" s="6" t="str">
        <f>PROPER(TRIM(SUBSTITUTE(Y754,"  "," ")))</f>
        <v>Chairs</v>
      </c>
      <c r="AA754" s="3" t="s">
        <v>2427</v>
      </c>
      <c r="AB754" s="3" t="s">
        <v>48</v>
      </c>
      <c r="AC754" s="6" t="str">
        <f>PROPER(TRIM(SUBSTITUTE(AB754,"  "," ")))</f>
        <v>Same Day</v>
      </c>
      <c r="AD754" s="3">
        <v>2</v>
      </c>
      <c r="AE754" s="3">
        <v>447.55</v>
      </c>
      <c r="AF754" s="3">
        <v>0.05</v>
      </c>
      <c r="AG754" s="17">
        <v>0.05</v>
      </c>
      <c r="AH754" s="6" t="str">
        <f t="shared" si="91"/>
        <v>Valid</v>
      </c>
      <c r="AI754" s="3">
        <v>850.35</v>
      </c>
      <c r="AJ754" s="3">
        <v>600.98</v>
      </c>
      <c r="AK754" s="3">
        <v>249.37</v>
      </c>
      <c r="AL754" s="3" t="s">
        <v>124</v>
      </c>
      <c r="AM754" s="6" t="str">
        <f>PROPER(TRIM(SUBSTITUTE(AL754,".","")))</f>
        <v>Refunded</v>
      </c>
      <c r="AN754" s="3" t="s">
        <v>2428</v>
      </c>
      <c r="AO754" s="8" t="str">
        <f>PROPER(TRIM(SUBSTITUTE(AN754,".","")))</f>
        <v>Cancelled</v>
      </c>
      <c r="AP754" t="str">
        <f>IF(COUNTIF($A$2:$A$933, A754) &gt; 1, "Duplicate ID", "Unique")</f>
        <v>Unique</v>
      </c>
      <c r="AR754">
        <f t="shared" si="92"/>
        <v>850.34500000000003</v>
      </c>
      <c r="AS754">
        <f t="shared" si="93"/>
        <v>249.36500000000001</v>
      </c>
      <c r="AT754" s="15">
        <f t="shared" si="94"/>
        <v>0.29325156260106194</v>
      </c>
      <c r="AU754" t="str">
        <f t="shared" si="95"/>
        <v>Clean</v>
      </c>
      <c r="AV754" s="8" t="str">
        <f t="shared" si="96"/>
        <v>Refund</v>
      </c>
    </row>
    <row r="755" spans="1:48">
      <c r="A755" s="3" t="s">
        <v>934</v>
      </c>
      <c r="B755" s="3" t="s">
        <v>112</v>
      </c>
      <c r="C755" s="9">
        <f>IFERROR(DATEVALUE(TEXT(B755,"DD/MM/YYYY")), IF(ISNUMBER(B755), B755, ""))</f>
        <v>45907</v>
      </c>
      <c r="D755" s="9" t="str">
        <f>IF(B755="","Missing", IF(AND(ISNUMBER(B755)=FALSE, C755=""),"Invalid - Could Not Parse", IF(AND(ISNUMBER(B755)=FALSE, C755&lt;&gt;""),"Text - Converted to Date", IF(ISNUMBER(B755),"Valid","Check"))))</f>
        <v>Text - Converted to Date</v>
      </c>
      <c r="E755" s="5">
        <f t="shared" si="89"/>
        <v>9</v>
      </c>
      <c r="F755" s="5">
        <f t="shared" si="90"/>
        <v>2025</v>
      </c>
      <c r="G755" s="3" t="s">
        <v>935</v>
      </c>
      <c r="H755" s="9">
        <f>IFERROR(DATEVALUE(MID(G755,4,2) &amp; "/" &amp; LEFT(G755,2) &amp; "/" &amp; RIGHT(G755,4)), IF(ISNUMBER(G755), G755, IFERROR(DATEVALUE(G755), "")))</f>
        <v>45915</v>
      </c>
      <c r="I755" s="9" t="str">
        <f>IF(G755="","Missing", IF(AND(ISNUMBER(G755)=FALSE, H755=""),"Invalid - Could Not Parse", IF(AND(ISNUMBER(G755)=FALSE, H755&lt;&gt;""),"Text - Converted to Date", IF(ISNUMBER(G755),"Valid","Check"))))</f>
        <v>Text - Converted to Date</v>
      </c>
      <c r="J755" s="9" t="str">
        <f>IF(OR(C755="", H755=""), "Cannot Check - Date Missing", IF(H755&lt;C755, "Invalid - Ship Before Order", "Valid"))</f>
        <v>Valid</v>
      </c>
      <c r="K755" s="5">
        <f>IF(OR(C755="", H755=""), "", IF(H755&lt;C755, "", H755-C755))</f>
        <v>8</v>
      </c>
      <c r="L755" s="3" t="s">
        <v>936</v>
      </c>
      <c r="M755" s="3" t="s">
        <v>180</v>
      </c>
      <c r="N755" s="4" t="str">
        <f>TRIM(SUBSTITUTE(M755,"_"," "))</f>
        <v>Rohan Mehta</v>
      </c>
      <c r="O755" s="3" t="s">
        <v>108</v>
      </c>
      <c r="P755" s="6" t="str">
        <f>PROPER(TRIM(SUBSTITUTE(O755,".","")))</f>
        <v>Corporate</v>
      </c>
      <c r="Q755" s="3" t="s">
        <v>42</v>
      </c>
      <c r="R755" s="7" t="str">
        <f>PROPER(TRIM(SUBSTITUTE(Q755,"  "," ")))</f>
        <v>East</v>
      </c>
      <c r="S755" s="3" t="s">
        <v>186</v>
      </c>
      <c r="T755" s="6" t="str">
        <f>PROPER(TRIM(SUBSTITUTE(S755,"  "," ")))</f>
        <v>Bihar</v>
      </c>
      <c r="U755" s="3" t="s">
        <v>187</v>
      </c>
      <c r="V755" s="6" t="str">
        <f>PROPER(TRIM(SUBSTITUTE(U755,"  "," ")))</f>
        <v>Patna</v>
      </c>
      <c r="W755" s="3" t="s">
        <v>86</v>
      </c>
      <c r="X755" s="6" t="str">
        <f>PROPER(TRIM(SUBSTITUTE(W755,"  "," ")))</f>
        <v>Technology</v>
      </c>
      <c r="Y755" s="3" t="s">
        <v>94</v>
      </c>
      <c r="Z755" s="6" t="str">
        <f>PROPER(TRIM(SUBSTITUTE(Y755,"  "," ")))</f>
        <v>Copiers</v>
      </c>
      <c r="AA755" s="3" t="s">
        <v>937</v>
      </c>
      <c r="AB755" s="3" t="s">
        <v>67</v>
      </c>
      <c r="AC755" s="6" t="str">
        <f>PROPER(TRIM(SUBSTITUTE(AB755,"  "," ")))</f>
        <v>Standard Class</v>
      </c>
      <c r="AD755" s="3">
        <v>3</v>
      </c>
      <c r="AE755" s="3">
        <v>1711.32</v>
      </c>
      <c r="AF755" s="3">
        <v>0</v>
      </c>
      <c r="AG755" s="17">
        <v>0</v>
      </c>
      <c r="AH755" s="6" t="str">
        <f t="shared" si="91"/>
        <v>Valid</v>
      </c>
      <c r="AI755" s="3">
        <v>5206.53</v>
      </c>
      <c r="AJ755" s="3">
        <v>3930</v>
      </c>
      <c r="AK755" s="3">
        <v>1203.96</v>
      </c>
      <c r="AL755" s="3" t="s">
        <v>34</v>
      </c>
      <c r="AM755" s="6" t="str">
        <f>PROPER(TRIM(SUBSTITUTE(AL755,".","")))</f>
        <v>Paid</v>
      </c>
      <c r="AN755" s="3" t="s">
        <v>125</v>
      </c>
      <c r="AO755" s="8" t="str">
        <f>PROPER(TRIM(SUBSTITUTE(AN755,".","")))</f>
        <v>Returned</v>
      </c>
      <c r="AP755" t="str">
        <f>IF(COUNTIF($A$2:$A$933, A755) &gt; 1, "Duplicate ID", "Unique")</f>
        <v>Duplicate ID</v>
      </c>
      <c r="AQ755" t="s">
        <v>4106</v>
      </c>
      <c r="AR755">
        <f t="shared" si="92"/>
        <v>5133.96</v>
      </c>
      <c r="AS755">
        <f t="shared" si="93"/>
        <v>1203.96</v>
      </c>
      <c r="AT755" s="15">
        <f t="shared" si="94"/>
        <v>0.23450903396208775</v>
      </c>
      <c r="AU755" t="str">
        <f t="shared" si="95"/>
        <v>Invalid</v>
      </c>
      <c r="AV755" s="8" t="str">
        <f t="shared" si="96"/>
        <v>Active</v>
      </c>
    </row>
    <row r="756" spans="1:48">
      <c r="A756" s="3" t="s">
        <v>1723</v>
      </c>
      <c r="B756" s="3" t="s">
        <v>1724</v>
      </c>
      <c r="C756" s="9">
        <f>IFERROR(DATEVALUE(TEXT(B756,"DD/MM/YYYY")), IF(ISNUMBER(B756), B756, ""))</f>
        <v>45908</v>
      </c>
      <c r="D756" s="9" t="str">
        <f>IF(B756="","Missing", IF(AND(ISNUMBER(B756)=FALSE, C756=""),"Invalid - Could Not Parse", IF(AND(ISNUMBER(B756)=FALSE, C756&lt;&gt;""),"Text - Converted to Date", IF(ISNUMBER(B756),"Valid","Check"))))</f>
        <v>Text - Converted to Date</v>
      </c>
      <c r="E756" s="5">
        <f t="shared" si="89"/>
        <v>9</v>
      </c>
      <c r="F756" s="5">
        <f t="shared" si="90"/>
        <v>2025</v>
      </c>
      <c r="G756" s="3" t="s">
        <v>1725</v>
      </c>
      <c r="H756" s="9">
        <f>IFERROR(DATEVALUE(TEXT(G756,"DD/MM/YYYY")), IF(ISNUMBER(G756), G756, ""))</f>
        <v>45909</v>
      </c>
      <c r="I756" s="9" t="str">
        <f>IF(G756="","Missing", IF(AND(ISNUMBER(G756)=FALSE, H756=""),"Invalid - Could Not Parse", IF(AND(ISNUMBER(G756)=FALSE, H756&lt;&gt;""),"Text - Converted to Date", IF(ISNUMBER(G756),"Valid","Check"))))</f>
        <v>Text - Converted to Date</v>
      </c>
      <c r="J756" s="9" t="str">
        <f>IF(OR(C756="", H756=""), "Cannot Check - Date Missing", IF(H756&lt;C756, "Invalid - Ship Before Order", "Valid"))</f>
        <v>Valid</v>
      </c>
      <c r="K756" s="5">
        <f>IF(OR(C756="", H756=""), "", IF(H756&lt;C756, "", H756-C756))</f>
        <v>1</v>
      </c>
      <c r="L756" s="3" t="s">
        <v>1726</v>
      </c>
      <c r="M756" s="3" t="s">
        <v>180</v>
      </c>
      <c r="N756" s="4" t="str">
        <f>TRIM(SUBSTITUTE(M756,"_"," "))</f>
        <v>Rohan Mehta</v>
      </c>
      <c r="O756" s="3" t="s">
        <v>115</v>
      </c>
      <c r="P756" s="6" t="str">
        <f>PROPER(TRIM(SUBSTITUTE(O756,".","")))</f>
        <v>Home Office</v>
      </c>
      <c r="Q756" s="3" t="s">
        <v>73</v>
      </c>
      <c r="R756" s="7" t="str">
        <f>PROPER(TRIM(SUBSTITUTE(Q756,"  "," ")))</f>
        <v>West</v>
      </c>
      <c r="S756" s="3" t="s">
        <v>235</v>
      </c>
      <c r="T756" s="6" t="str">
        <f>PROPER(TRIM(SUBSTITUTE(S756,"  "," ")))</f>
        <v>Gujarat</v>
      </c>
      <c r="U756" s="3" t="s">
        <v>236</v>
      </c>
      <c r="V756" s="6" t="str">
        <f>PROPER(TRIM(SUBSTITUTE(U756,"  "," ")))</f>
        <v>Ahmedabad</v>
      </c>
      <c r="W756" s="3" t="s">
        <v>45</v>
      </c>
      <c r="X756" s="6" t="str">
        <f>PROPER(TRIM(SUBSTITUTE(W756,"  "," ")))</f>
        <v>Furniture</v>
      </c>
      <c r="Y756" s="3" t="s">
        <v>76</v>
      </c>
      <c r="Z756" s="6" t="str">
        <f>PROPER(TRIM(SUBSTITUTE(Y756,"  "," ")))</f>
        <v>Chairs</v>
      </c>
      <c r="AA756" s="3" t="s">
        <v>1727</v>
      </c>
      <c r="AB756" s="3" t="s">
        <v>33</v>
      </c>
      <c r="AC756" s="6" t="str">
        <f>PROPER(TRIM(SUBSTITUTE(AB756,"  "," ")))</f>
        <v>Second Class</v>
      </c>
      <c r="AD756" s="3">
        <v>2</v>
      </c>
      <c r="AE756" s="3">
        <v>3960.33</v>
      </c>
      <c r="AF756" s="3">
        <v>0.05</v>
      </c>
      <c r="AG756" s="17">
        <v>0.05</v>
      </c>
      <c r="AH756" s="6" t="str">
        <f t="shared" si="91"/>
        <v>Valid</v>
      </c>
      <c r="AI756" s="3">
        <v>7524.63</v>
      </c>
      <c r="AJ756" s="3">
        <v>6229.6</v>
      </c>
      <c r="AK756" s="3">
        <v>1295.03</v>
      </c>
      <c r="AL756" s="3" t="s">
        <v>34</v>
      </c>
      <c r="AM756" s="6" t="str">
        <f>PROPER(TRIM(SUBSTITUTE(AL756,".","")))</f>
        <v>Paid</v>
      </c>
      <c r="AN756" s="3" t="s">
        <v>35</v>
      </c>
      <c r="AO756" s="8" t="str">
        <f>PROPER(TRIM(SUBSTITUTE(AN756,".","")))</f>
        <v>Completed</v>
      </c>
      <c r="AP756" t="str">
        <f>IF(COUNTIF($A$2:$A$933, A756) &gt; 1, "Duplicate ID", "Unique")</f>
        <v>Unique</v>
      </c>
      <c r="AR756">
        <f t="shared" si="92"/>
        <v>7524.6269999999995</v>
      </c>
      <c r="AS756">
        <f t="shared" si="93"/>
        <v>1295.0269999999991</v>
      </c>
      <c r="AT756" s="15">
        <f t="shared" si="94"/>
        <v>0.17210514222166751</v>
      </c>
      <c r="AU756" t="str">
        <f t="shared" si="95"/>
        <v>Clean</v>
      </c>
      <c r="AV756" s="8" t="str">
        <f t="shared" si="96"/>
        <v>Active</v>
      </c>
    </row>
    <row r="757" spans="1:48">
      <c r="A757" s="3" t="s">
        <v>1797</v>
      </c>
      <c r="B757" s="3" t="s">
        <v>1798</v>
      </c>
      <c r="C757" s="9">
        <f>IFERROR(DATEVALUE(TEXT(B757,"DD/MM/YYYY")), IF(ISNUMBER(B757), B757, ""))</f>
        <v>45908</v>
      </c>
      <c r="D757" s="9" t="str">
        <f>IF(B757="","Missing", IF(AND(ISNUMBER(B757)=FALSE, C757=""),"Invalid - Could Not Parse", IF(AND(ISNUMBER(B757)=FALSE, C757&lt;&gt;""),"Text - Converted to Date", IF(ISNUMBER(B757),"Valid","Check"))))</f>
        <v>Text - Converted to Date</v>
      </c>
      <c r="E757" s="5">
        <f t="shared" si="89"/>
        <v>9</v>
      </c>
      <c r="F757" s="5">
        <f t="shared" si="90"/>
        <v>2025</v>
      </c>
      <c r="G757" s="3" t="s">
        <v>1799</v>
      </c>
      <c r="H757" s="9">
        <f>IFERROR(DATEVALUE(TEXT(G757,"DD/MM/YYYY")), IF(ISNUMBER(G757), G757, ""))</f>
        <v>45876</v>
      </c>
      <c r="I757" s="9" t="str">
        <f>IF(G757="","Missing", IF(AND(ISNUMBER(G757)=FALSE, H757=""),"Invalid - Could Not Parse", IF(AND(ISNUMBER(G757)=FALSE, H757&lt;&gt;""),"Text - Converted to Date", IF(ISNUMBER(G757),"Valid","Check"))))</f>
        <v>Text - Converted to Date</v>
      </c>
      <c r="J757" s="9" t="str">
        <f>IF(OR(C757="", H757=""), "Cannot Check - Date Missing", IF(H757&lt;C757, "Invalid - Ship Before Order", "Valid"))</f>
        <v>Invalid - Ship Before Order</v>
      </c>
      <c r="K757" s="5" t="str">
        <f>IF(OR(C757="", H757=""), "", IF(H757&lt;C757, "", H757-C757))</f>
        <v/>
      </c>
      <c r="L757" s="3" t="s">
        <v>1800</v>
      </c>
      <c r="M757" s="3" t="s">
        <v>83</v>
      </c>
      <c r="N757" s="4" t="str">
        <f>TRIM(SUBSTITUTE(M757,"_"," "))</f>
        <v>Vikram Iyer</v>
      </c>
      <c r="O757" s="3" t="s">
        <v>115</v>
      </c>
      <c r="P757" s="6" t="str">
        <f>PROPER(TRIM(SUBSTITUTE(O757,".","")))</f>
        <v>Home Office</v>
      </c>
      <c r="Q757" s="3" t="s">
        <v>73</v>
      </c>
      <c r="R757" s="7" t="str">
        <f>PROPER(TRIM(SUBSTITUTE(Q757,"  "," ")))</f>
        <v>West</v>
      </c>
      <c r="S757" s="3" t="s">
        <v>235</v>
      </c>
      <c r="T757" s="6" t="str">
        <f>PROPER(TRIM(SUBSTITUTE(S757,"  "," ")))</f>
        <v>Gujarat</v>
      </c>
      <c r="U757" s="3" t="s">
        <v>236</v>
      </c>
      <c r="V757" s="6" t="str">
        <f>PROPER(TRIM(SUBSTITUTE(U757,"  "," ")))</f>
        <v>Ahmedabad</v>
      </c>
      <c r="W757" s="3" t="s">
        <v>45</v>
      </c>
      <c r="X757" s="6" t="str">
        <f>PROPER(TRIM(SUBSTITUTE(W757,"  "," ")))</f>
        <v>Furniture</v>
      </c>
      <c r="Y757" s="3" t="s">
        <v>204</v>
      </c>
      <c r="Z757" s="6" t="str">
        <f>PROPER(TRIM(SUBSTITUTE(Y757,"  "," ")))</f>
        <v>Bookcases</v>
      </c>
      <c r="AA757" s="3" t="s">
        <v>1801</v>
      </c>
      <c r="AB757" s="3" t="s">
        <v>33</v>
      </c>
      <c r="AC757" s="6" t="str">
        <f>PROPER(TRIM(SUBSTITUTE(AB757,"  "," ")))</f>
        <v>Second Class</v>
      </c>
      <c r="AD757" s="3">
        <v>5</v>
      </c>
      <c r="AE757" s="3">
        <v>1253.92</v>
      </c>
      <c r="AF757" s="3">
        <v>0.05</v>
      </c>
      <c r="AG757" s="17">
        <v>0.05</v>
      </c>
      <c r="AH757" s="6" t="str">
        <f t="shared" si="91"/>
        <v>Valid</v>
      </c>
      <c r="AI757" s="3">
        <v>5956.12</v>
      </c>
      <c r="AJ757" s="3">
        <v>4379.18</v>
      </c>
      <c r="AK757" s="3">
        <v>1576.94</v>
      </c>
      <c r="AL757" s="3" t="s">
        <v>137</v>
      </c>
      <c r="AM757" s="6" t="str">
        <f>PROPER(TRIM(SUBSTITUTE(AL757,".","")))</f>
        <v>Pending</v>
      </c>
      <c r="AN757" s="3" t="s">
        <v>125</v>
      </c>
      <c r="AO757" s="8" t="str">
        <f>PROPER(TRIM(SUBSTITUTE(AN757,".","")))</f>
        <v>Returned</v>
      </c>
      <c r="AP757" t="str">
        <f>IF(COUNTIF($A$2:$A$933, A757) &gt; 1, "Duplicate ID", "Unique")</f>
        <v>Unique</v>
      </c>
      <c r="AR757">
        <f t="shared" si="92"/>
        <v>5956.12</v>
      </c>
      <c r="AS757">
        <f t="shared" si="93"/>
        <v>1576.9399999999996</v>
      </c>
      <c r="AT757" s="15">
        <f t="shared" si="94"/>
        <v>0.26475960860425907</v>
      </c>
      <c r="AU757" t="str">
        <f t="shared" si="95"/>
        <v>Invalid</v>
      </c>
      <c r="AV757" s="8" t="str">
        <f t="shared" si="96"/>
        <v>Active</v>
      </c>
    </row>
    <row r="758" spans="1:48">
      <c r="A758" s="3" t="s">
        <v>1189</v>
      </c>
      <c r="B758" s="3" t="s">
        <v>1190</v>
      </c>
      <c r="C758" s="9">
        <f>IFERROR(DATEVALUE(TEXT(B758,"DD/MM/YYYY")), IF(ISNUMBER(B758), B758, ""))</f>
        <v>45698</v>
      </c>
      <c r="D758" s="9" t="str">
        <f>IF(B758="","Missing", IF(AND(ISNUMBER(B758)=FALSE, C758=""),"Invalid - Could Not Parse", IF(AND(ISNUMBER(B758)=FALSE, C758&lt;&gt;""),"Text - Converted to Date", IF(ISNUMBER(B758),"Valid","Check"))))</f>
        <v>Text - Converted to Date</v>
      </c>
      <c r="E758" s="5">
        <f t="shared" si="89"/>
        <v>2</v>
      </c>
      <c r="F758" s="5">
        <f t="shared" si="90"/>
        <v>2025</v>
      </c>
      <c r="G758" s="3" t="s">
        <v>1191</v>
      </c>
      <c r="H758" s="9">
        <f>IFERROR(DATEVALUE(TEXT(G758,"DD/MM/YYYY")), IF(ISNUMBER(G758), G758, ""))</f>
        <v>45938</v>
      </c>
      <c r="I758" s="9" t="str">
        <f>IF(G758="","Missing", IF(AND(ISNUMBER(G758)=FALSE, H758=""),"Invalid - Could Not Parse", IF(AND(ISNUMBER(G758)=FALSE, H758&lt;&gt;""),"Text - Converted to Date", IF(ISNUMBER(G758),"Valid","Check"))))</f>
        <v>Text - Converted to Date</v>
      </c>
      <c r="J758" s="9" t="str">
        <f>IF(OR(C758="", H758=""), "Cannot Check - Date Missing", IF(H758&lt;C758, "Invalid - Ship Before Order", "Valid"))</f>
        <v>Valid</v>
      </c>
      <c r="K758" s="5">
        <f>IF(OR(C758="", H758=""), "", IF(H758&lt;C758, "", H758-C758))</f>
        <v>240</v>
      </c>
      <c r="L758" s="3" t="s">
        <v>1192</v>
      </c>
      <c r="M758" s="3" t="s">
        <v>53</v>
      </c>
      <c r="N758" s="4" t="str">
        <f>TRIM(SUBSTITUTE(M758,"_"," "))</f>
        <v>Isha Nair</v>
      </c>
      <c r="O758" s="3" t="s">
        <v>41</v>
      </c>
      <c r="P758" s="6" t="str">
        <f>PROPER(TRIM(SUBSTITUTE(O758,".","")))</f>
        <v>Small Business</v>
      </c>
      <c r="Q758" s="3" t="s">
        <v>27</v>
      </c>
      <c r="R758" s="7" t="str">
        <f>PROPER(TRIM(SUBSTITUTE(Q758,"  "," ")))</f>
        <v>North</v>
      </c>
      <c r="S758" s="3" t="s">
        <v>154</v>
      </c>
      <c r="T758" s="6" t="str">
        <f>PROPER(TRIM(SUBSTITUTE(S758,"  "," ")))</f>
        <v>Punjab</v>
      </c>
      <c r="U758" s="3" t="s">
        <v>155</v>
      </c>
      <c r="V758" s="6" t="str">
        <f>PROPER(TRIM(SUBSTITUTE(U758,"  "," ")))</f>
        <v>Ludhiana</v>
      </c>
      <c r="W758" s="3" t="s">
        <v>45</v>
      </c>
      <c r="X758" s="6" t="str">
        <f>PROPER(TRIM(SUBSTITUTE(W758,"  "," ")))</f>
        <v>Furniture</v>
      </c>
      <c r="Y758" s="3" t="s">
        <v>65</v>
      </c>
      <c r="Z758" s="6" t="str">
        <f>PROPER(TRIM(SUBSTITUTE(Y758,"  "," ")))</f>
        <v>Furnishings</v>
      </c>
      <c r="AA758" s="3" t="s">
        <v>1193</v>
      </c>
      <c r="AB758" s="3" t="s">
        <v>67</v>
      </c>
      <c r="AC758" s="6" t="str">
        <f>PROPER(TRIM(SUBSTITUTE(AB758,"  "," ")))</f>
        <v>Standard Class</v>
      </c>
      <c r="AD758" s="3">
        <v>4</v>
      </c>
      <c r="AE758" s="3">
        <v>3944.64</v>
      </c>
      <c r="AF758" s="3">
        <v>0.25</v>
      </c>
      <c r="AG758" s="17">
        <v>0.25</v>
      </c>
      <c r="AH758" s="6" t="str">
        <f t="shared" si="91"/>
        <v>Valid</v>
      </c>
      <c r="AI758" s="3">
        <v>11833.92</v>
      </c>
      <c r="AJ758" s="3">
        <v>6682.92</v>
      </c>
      <c r="AK758" s="3">
        <v>5151</v>
      </c>
      <c r="AL758" s="3" t="s">
        <v>34</v>
      </c>
      <c r="AM758" s="6" t="str">
        <f>PROPER(TRIM(SUBSTITUTE(AL758,".","")))</f>
        <v>Paid</v>
      </c>
      <c r="AN758" s="3" t="s">
        <v>78</v>
      </c>
      <c r="AO758" s="8" t="str">
        <f>PROPER(TRIM(SUBSTITUTE(AN758,".","")))</f>
        <v>Cancelled</v>
      </c>
      <c r="AP758" t="str">
        <f>IF(COUNTIF($A$2:$A$933, A758) &gt; 1, "Duplicate ID", "Unique")</f>
        <v>Duplicate ID</v>
      </c>
      <c r="AQ758" t="s">
        <v>4106</v>
      </c>
      <c r="AR758">
        <f t="shared" si="92"/>
        <v>11833.92</v>
      </c>
      <c r="AS758">
        <f t="shared" si="93"/>
        <v>5151</v>
      </c>
      <c r="AT758" s="15">
        <f t="shared" si="94"/>
        <v>0.43527419485681834</v>
      </c>
      <c r="AU758" t="str">
        <f t="shared" si="95"/>
        <v>Invalid</v>
      </c>
      <c r="AV758" s="8" t="str">
        <f t="shared" si="96"/>
        <v>Cancelled</v>
      </c>
    </row>
    <row r="759" spans="1:48">
      <c r="A759" s="3" t="s">
        <v>1189</v>
      </c>
      <c r="B759" s="3" t="s">
        <v>1190</v>
      </c>
      <c r="C759" s="9">
        <f>IFERROR(DATEVALUE(TEXT(B759,"DD/MM/YYYY")), IF(ISNUMBER(B759), B759, ""))</f>
        <v>45698</v>
      </c>
      <c r="D759" s="9" t="str">
        <f>IF(B759="","Missing", IF(AND(ISNUMBER(B759)=FALSE, C759=""),"Invalid - Could Not Parse", IF(AND(ISNUMBER(B759)=FALSE, C759&lt;&gt;""),"Text - Converted to Date", IF(ISNUMBER(B759),"Valid","Check"))))</f>
        <v>Text - Converted to Date</v>
      </c>
      <c r="E759" s="5">
        <f t="shared" si="89"/>
        <v>2</v>
      </c>
      <c r="F759" s="5">
        <f t="shared" si="90"/>
        <v>2025</v>
      </c>
      <c r="G759" s="3" t="s">
        <v>1191</v>
      </c>
      <c r="H759" s="9">
        <f>IFERROR(DATEVALUE(TEXT(G759,"DD/MM/YYYY")), IF(ISNUMBER(G759), G759, ""))</f>
        <v>45938</v>
      </c>
      <c r="I759" s="9" t="str">
        <f>IF(G759="","Missing", IF(AND(ISNUMBER(G759)=FALSE, H759=""),"Invalid - Could Not Parse", IF(AND(ISNUMBER(G759)=FALSE, H759&lt;&gt;""),"Text - Converted to Date", IF(ISNUMBER(G759),"Valid","Check"))))</f>
        <v>Text - Converted to Date</v>
      </c>
      <c r="J759" s="9" t="str">
        <f>IF(OR(C759="", H759=""), "Cannot Check - Date Missing", IF(H759&lt;C759, "Invalid - Ship Before Order", "Valid"))</f>
        <v>Valid</v>
      </c>
      <c r="K759" s="5">
        <f>IF(OR(C759="", H759=""), "", IF(H759&lt;C759, "", H759-C759))</f>
        <v>240</v>
      </c>
      <c r="L759" s="3" t="s">
        <v>1192</v>
      </c>
      <c r="M759" s="3" t="s">
        <v>53</v>
      </c>
      <c r="N759" s="4" t="str">
        <f>TRIM(SUBSTITUTE(M759,"_"," "))</f>
        <v>Isha Nair</v>
      </c>
      <c r="O759" s="3" t="s">
        <v>41</v>
      </c>
      <c r="P759" s="6" t="str">
        <f>PROPER(TRIM(SUBSTITUTE(O759,".","")))</f>
        <v>Small Business</v>
      </c>
      <c r="Q759" s="3" t="s">
        <v>27</v>
      </c>
      <c r="R759" s="7" t="str">
        <f>PROPER(TRIM(SUBSTITUTE(Q759,"  "," ")))</f>
        <v>North</v>
      </c>
      <c r="S759" s="3" t="s">
        <v>154</v>
      </c>
      <c r="T759" s="6" t="str">
        <f>PROPER(TRIM(SUBSTITUTE(S759,"  "," ")))</f>
        <v>Punjab</v>
      </c>
      <c r="U759" s="3" t="s">
        <v>155</v>
      </c>
      <c r="V759" s="6" t="str">
        <f>PROPER(TRIM(SUBSTITUTE(U759,"  "," ")))</f>
        <v>Ludhiana</v>
      </c>
      <c r="W759" s="3" t="s">
        <v>45</v>
      </c>
      <c r="X759" s="6" t="str">
        <f>PROPER(TRIM(SUBSTITUTE(W759,"  "," ")))</f>
        <v>Furniture</v>
      </c>
      <c r="Y759" s="3" t="s">
        <v>65</v>
      </c>
      <c r="Z759" s="6" t="str">
        <f>PROPER(TRIM(SUBSTITUTE(Y759,"  "," ")))</f>
        <v>Furnishings</v>
      </c>
      <c r="AA759" s="3" t="s">
        <v>1193</v>
      </c>
      <c r="AB759" s="3" t="s">
        <v>67</v>
      </c>
      <c r="AC759" s="6" t="str">
        <f>PROPER(TRIM(SUBSTITUTE(AB759,"  "," ")))</f>
        <v>Standard Class</v>
      </c>
      <c r="AD759" s="3">
        <v>4</v>
      </c>
      <c r="AE759" s="3">
        <v>3944.64</v>
      </c>
      <c r="AF759" s="3">
        <v>0.25</v>
      </c>
      <c r="AG759" s="17">
        <v>0.25</v>
      </c>
      <c r="AH759" s="6" t="str">
        <f t="shared" si="91"/>
        <v>Valid</v>
      </c>
      <c r="AI759" s="3">
        <v>12116.89</v>
      </c>
      <c r="AJ759" s="3">
        <v>6682.92</v>
      </c>
      <c r="AK759" s="3">
        <v>5151</v>
      </c>
      <c r="AL759" s="3" t="s">
        <v>34</v>
      </c>
      <c r="AM759" s="6" t="str">
        <f>PROPER(TRIM(SUBSTITUTE(AL759,".","")))</f>
        <v>Paid</v>
      </c>
      <c r="AN759" s="3" t="s">
        <v>125</v>
      </c>
      <c r="AO759" s="8" t="str">
        <f>PROPER(TRIM(SUBSTITUTE(AN759,".","")))</f>
        <v>Returned</v>
      </c>
      <c r="AP759" t="str">
        <f>IF(COUNTIF($A$2:$A$933, A759) &gt; 1, "Duplicate ID", "Unique")</f>
        <v>Duplicate ID</v>
      </c>
      <c r="AQ759" t="s">
        <v>4106</v>
      </c>
      <c r="AR759">
        <f t="shared" si="92"/>
        <v>11833.92</v>
      </c>
      <c r="AS759">
        <f t="shared" si="93"/>
        <v>5151</v>
      </c>
      <c r="AT759" s="15">
        <f t="shared" si="94"/>
        <v>0.43527419485681834</v>
      </c>
      <c r="AU759" t="str">
        <f t="shared" si="95"/>
        <v>Invalid</v>
      </c>
      <c r="AV759" s="8" t="str">
        <f t="shared" si="96"/>
        <v>Active</v>
      </c>
    </row>
    <row r="760" spans="1:48">
      <c r="A760" s="3" t="s">
        <v>905</v>
      </c>
      <c r="B760" s="3" t="s">
        <v>906</v>
      </c>
      <c r="C760" s="9">
        <f>IFERROR(DATEVALUE(TEXT(B760,"DD/MM/YYYY")), IF(ISNUMBER(B760), B760, ""))</f>
        <v>45909</v>
      </c>
      <c r="D760" s="9" t="str">
        <f>IF(B760="","Missing", IF(AND(ISNUMBER(B760)=FALSE, C760=""),"Invalid - Could Not Parse", IF(AND(ISNUMBER(B760)=FALSE, C760&lt;&gt;""),"Text - Converted to Date", IF(ISNUMBER(B760),"Valid","Check"))))</f>
        <v>Text - Converted to Date</v>
      </c>
      <c r="E760" s="5">
        <f t="shared" si="89"/>
        <v>9</v>
      </c>
      <c r="F760" s="5">
        <f t="shared" si="90"/>
        <v>2025</v>
      </c>
      <c r="G760" s="3" t="s">
        <v>907</v>
      </c>
      <c r="H760" s="9">
        <f>IFERROR(DATEVALUE(MID(G760,4,2) &amp; "/" &amp; LEFT(G760,2) &amp; "/" &amp; RIGHT(G760,4)), IF(ISNUMBER(G760), G760, IFERROR(DATEVALUE(G760), "")))</f>
        <v>45914</v>
      </c>
      <c r="I760" s="9" t="str">
        <f>IF(G760="","Missing", IF(AND(ISNUMBER(G760)=FALSE, H760=""),"Invalid - Could Not Parse", IF(AND(ISNUMBER(G760)=FALSE, H760&lt;&gt;""),"Text - Converted to Date", IF(ISNUMBER(G760),"Valid","Check"))))</f>
        <v>Text - Converted to Date</v>
      </c>
      <c r="J760" s="9" t="str">
        <f>IF(OR(C760="", H760=""), "Cannot Check - Date Missing", IF(H760&lt;C760, "Invalid - Ship Before Order", "Valid"))</f>
        <v>Valid</v>
      </c>
      <c r="K760" s="5">
        <f>IF(OR(C760="", H760=""), "", IF(H760&lt;C760, "", H760-C760))</f>
        <v>5</v>
      </c>
      <c r="L760" s="3" t="s">
        <v>908</v>
      </c>
      <c r="M760" s="3" t="s">
        <v>148</v>
      </c>
      <c r="N760" s="4" t="str">
        <f>TRIM(SUBSTITUTE(M760,"_"," "))</f>
        <v>Rahul Verma</v>
      </c>
      <c r="O760" s="3" t="s">
        <v>41</v>
      </c>
      <c r="P760" s="6" t="str">
        <f>PROPER(TRIM(SUBSTITUTE(O760,".","")))</f>
        <v>Small Business</v>
      </c>
      <c r="Q760" s="3" t="s">
        <v>42</v>
      </c>
      <c r="R760" s="7" t="str">
        <f>PROPER(TRIM(SUBSTITUTE(Q760,"  "," ")))</f>
        <v>East</v>
      </c>
      <c r="S760" s="3" t="s">
        <v>121</v>
      </c>
      <c r="T760" s="6" t="str">
        <f>PROPER(TRIM(SUBSTITUTE(S760,"  "," ")))</f>
        <v>West Bengal</v>
      </c>
      <c r="U760" s="3" t="s">
        <v>122</v>
      </c>
      <c r="V760" s="6" t="str">
        <f>PROPER(TRIM(SUBSTITUTE(U760,"  "," ")))</f>
        <v>Kolkata</v>
      </c>
      <c r="W760" s="3" t="s">
        <v>45</v>
      </c>
      <c r="X760" s="6" t="str">
        <f>PROPER(TRIM(SUBSTITUTE(W760,"  "," ")))</f>
        <v>Furniture</v>
      </c>
      <c r="Y760" s="3" t="s">
        <v>204</v>
      </c>
      <c r="Z760" s="6" t="str">
        <f>PROPER(TRIM(SUBSTITUTE(Y760,"  "," ")))</f>
        <v>Bookcases</v>
      </c>
      <c r="AA760" s="3" t="s">
        <v>909</v>
      </c>
      <c r="AB760" s="3" t="s">
        <v>33</v>
      </c>
      <c r="AC760" s="6" t="str">
        <f>PROPER(TRIM(SUBSTITUTE(AB760,"  "," ")))</f>
        <v>Second Class</v>
      </c>
      <c r="AD760" s="3">
        <v>1</v>
      </c>
      <c r="AE760" s="3">
        <v>3154.42</v>
      </c>
      <c r="AF760" s="3">
        <v>0.25</v>
      </c>
      <c r="AG760" s="17">
        <v>0.25</v>
      </c>
      <c r="AH760" s="6" t="str">
        <f t="shared" si="91"/>
        <v>Valid</v>
      </c>
      <c r="AI760" s="3">
        <v>2365.8200000000002</v>
      </c>
      <c r="AJ760" s="3">
        <v>1547.99</v>
      </c>
      <c r="AK760" s="3">
        <v>817.83</v>
      </c>
      <c r="AL760" s="3" t="s">
        <v>34</v>
      </c>
      <c r="AM760" s="6" t="str">
        <f>PROPER(TRIM(SUBSTITUTE(AL760,".","")))</f>
        <v>Paid</v>
      </c>
      <c r="AN760" s="3" t="s">
        <v>35</v>
      </c>
      <c r="AO760" s="8" t="str">
        <f>PROPER(TRIM(SUBSTITUTE(AN760,".","")))</f>
        <v>Completed</v>
      </c>
      <c r="AP760" t="str">
        <f>IF(COUNTIF($A$2:$A$933, A760) &gt; 1, "Duplicate ID", "Unique")</f>
        <v>Unique</v>
      </c>
      <c r="AR760">
        <f t="shared" si="92"/>
        <v>2365.8150000000001</v>
      </c>
      <c r="AS760">
        <f t="shared" si="93"/>
        <v>817.82500000000005</v>
      </c>
      <c r="AT760" s="15">
        <f t="shared" si="94"/>
        <v>0.34568425679945392</v>
      </c>
      <c r="AU760" t="str">
        <f t="shared" si="95"/>
        <v>Clean</v>
      </c>
      <c r="AV760" s="8" t="str">
        <f t="shared" si="96"/>
        <v>Active</v>
      </c>
    </row>
    <row r="761" spans="1:48">
      <c r="A761" s="3" t="s">
        <v>987</v>
      </c>
      <c r="B761" s="3" t="s">
        <v>988</v>
      </c>
      <c r="C761" s="9">
        <f>IFERROR(DATEVALUE(TEXT(B761,"DD/MM/YYYY")), IF(ISNUMBER(B761), B761, ""))</f>
        <v>45909</v>
      </c>
      <c r="D761" s="9" t="str">
        <f>IF(B761="","Missing", IF(AND(ISNUMBER(B761)=FALSE, C761=""),"Invalid - Could Not Parse", IF(AND(ISNUMBER(B761)=FALSE, C761&lt;&gt;""),"Text - Converted to Date", IF(ISNUMBER(B761),"Valid","Check"))))</f>
        <v>Text - Converted to Date</v>
      </c>
      <c r="E761" s="5">
        <f t="shared" si="89"/>
        <v>9</v>
      </c>
      <c r="F761" s="5">
        <f t="shared" si="90"/>
        <v>2025</v>
      </c>
      <c r="G761" s="3" t="s">
        <v>989</v>
      </c>
      <c r="H761" s="9">
        <f>IFERROR(DATEVALUE(TEXT(G761,"DD/MM/YYYY")), IF(ISNUMBER(G761), G761, ""))</f>
        <v>45910</v>
      </c>
      <c r="I761" s="9" t="str">
        <f>IF(G761="","Missing", IF(AND(ISNUMBER(G761)=FALSE, H761=""),"Invalid - Could Not Parse", IF(AND(ISNUMBER(G761)=FALSE, H761&lt;&gt;""),"Text - Converted to Date", IF(ISNUMBER(G761),"Valid","Check"))))</f>
        <v>Text - Converted to Date</v>
      </c>
      <c r="J761" s="9" t="str">
        <f>IF(OR(C761="", H761=""), "Cannot Check - Date Missing", IF(H761&lt;C761, "Invalid - Ship Before Order", "Valid"))</f>
        <v>Valid</v>
      </c>
      <c r="K761" s="5">
        <f>IF(OR(C761="", H761=""), "", IF(H761&lt;C761, "", H761-C761))</f>
        <v>1</v>
      </c>
      <c r="L761" s="3" t="s">
        <v>990</v>
      </c>
      <c r="M761" s="3" t="s">
        <v>142</v>
      </c>
      <c r="N761" s="4" t="str">
        <f>TRIM(SUBSTITUTE(M761,"_"," "))</f>
        <v>Priya Menon</v>
      </c>
      <c r="O761" s="3" t="s">
        <v>115</v>
      </c>
      <c r="P761" s="6" t="str">
        <f>PROPER(TRIM(SUBSTITUTE(O761,".","")))</f>
        <v>Home Office</v>
      </c>
      <c r="Q761" s="3" t="s">
        <v>62</v>
      </c>
      <c r="R761" s="7" t="str">
        <f>PROPER(TRIM(SUBSTITUTE(Q761,"  "," ")))</f>
        <v>South</v>
      </c>
      <c r="S761" s="3" t="s">
        <v>339</v>
      </c>
      <c r="T761" s="6" t="str">
        <f>PROPER(TRIM(SUBSTITUTE(S761,"  "," ")))</f>
        <v>Tamil Nadu</v>
      </c>
      <c r="U761" s="3" t="s">
        <v>340</v>
      </c>
      <c r="V761" s="6" t="str">
        <f>PROPER(TRIM(SUBSTITUTE(U761,"  "," ")))</f>
        <v>Chennai</v>
      </c>
      <c r="W761" s="3" t="s">
        <v>30</v>
      </c>
      <c r="X761" s="6" t="str">
        <f>PROPER(TRIM(SUBSTITUTE(W761,"  "," ")))</f>
        <v>Office Supplies</v>
      </c>
      <c r="Y761" s="3" t="s">
        <v>54</v>
      </c>
      <c r="Z761" s="6" t="str">
        <f>PROPER(TRIM(SUBSTITUTE(Y761,"  "," ")))</f>
        <v>Art</v>
      </c>
      <c r="AA761" s="3" t="s">
        <v>991</v>
      </c>
      <c r="AB761" s="3" t="s">
        <v>33</v>
      </c>
      <c r="AC761" s="6" t="str">
        <f>PROPER(TRIM(SUBSTITUTE(AB761,"  "," ")))</f>
        <v>Second Class</v>
      </c>
      <c r="AD761" s="3">
        <v>4</v>
      </c>
      <c r="AE761" s="3">
        <v>2551.4499999999998</v>
      </c>
      <c r="AF761" s="3">
        <v>0</v>
      </c>
      <c r="AG761" s="17">
        <v>0</v>
      </c>
      <c r="AH761" s="6" t="str">
        <f t="shared" si="91"/>
        <v>Valid</v>
      </c>
      <c r="AI761" s="3">
        <v>10205.799999999999</v>
      </c>
      <c r="AJ761" s="3">
        <v>5986.31</v>
      </c>
      <c r="AK761" s="3">
        <v>4219.49</v>
      </c>
      <c r="AL761" s="3" t="s">
        <v>34</v>
      </c>
      <c r="AM761" s="6" t="str">
        <f>PROPER(TRIM(SUBSTITUTE(AL761,".","")))</f>
        <v>Paid</v>
      </c>
      <c r="AN761" s="3" t="s">
        <v>35</v>
      </c>
      <c r="AO761" s="8" t="str">
        <f>PROPER(TRIM(SUBSTITUTE(AN761,".","")))</f>
        <v>Completed</v>
      </c>
      <c r="AP761" t="str">
        <f>IF(COUNTIF($A$2:$A$933, A761) &gt; 1, "Duplicate ID", "Unique")</f>
        <v>Unique</v>
      </c>
      <c r="AR761">
        <f t="shared" si="92"/>
        <v>10205.799999999999</v>
      </c>
      <c r="AS761">
        <f t="shared" si="93"/>
        <v>4219.4899999999989</v>
      </c>
      <c r="AT761" s="15">
        <f t="shared" si="94"/>
        <v>0.41344039663720622</v>
      </c>
      <c r="AU761" t="str">
        <f t="shared" si="95"/>
        <v>Clean</v>
      </c>
      <c r="AV761" s="8" t="str">
        <f t="shared" si="96"/>
        <v>Active</v>
      </c>
    </row>
    <row r="762" spans="1:48">
      <c r="A762" s="3" t="s">
        <v>3701</v>
      </c>
      <c r="B762" s="3" t="s">
        <v>989</v>
      </c>
      <c r="C762" s="9">
        <f>IFERROR(DATEVALUE(TEXT(B762,"DD/MM/YYYY")), IF(ISNUMBER(B762), B762, ""))</f>
        <v>45910</v>
      </c>
      <c r="D762" s="9" t="str">
        <f>IF(B762="","Missing", IF(AND(ISNUMBER(B762)=FALSE, C762=""),"Invalid - Could Not Parse", IF(AND(ISNUMBER(B762)=FALSE, C762&lt;&gt;""),"Text - Converted to Date", IF(ISNUMBER(B762),"Valid","Check"))))</f>
        <v>Text - Converted to Date</v>
      </c>
      <c r="E762" s="5">
        <f t="shared" si="89"/>
        <v>9</v>
      </c>
      <c r="F762" s="5">
        <f t="shared" si="90"/>
        <v>2025</v>
      </c>
      <c r="G762" s="3" t="s">
        <v>2196</v>
      </c>
      <c r="H762" s="9">
        <f>IFERROR(DATEVALUE(TEXT(G762,"DD/MM/YYYY")), IF(ISNUMBER(G762), G762, ""))</f>
        <v>45918</v>
      </c>
      <c r="I762" s="9" t="str">
        <f>IF(G762="","Missing", IF(AND(ISNUMBER(G762)=FALSE, H762=""),"Invalid - Could Not Parse", IF(AND(ISNUMBER(G762)=FALSE, H762&lt;&gt;""),"Text - Converted to Date", IF(ISNUMBER(G762),"Valid","Check"))))</f>
        <v>Text - Converted to Date</v>
      </c>
      <c r="J762" s="9" t="str">
        <f>IF(OR(C762="", H762=""), "Cannot Check - Date Missing", IF(H762&lt;C762, "Invalid - Ship Before Order", "Valid"))</f>
        <v>Valid</v>
      </c>
      <c r="K762" s="5">
        <f>IF(OR(C762="", H762=""), "", IF(H762&lt;C762, "", H762-C762))</f>
        <v>8</v>
      </c>
      <c r="L762" s="3" t="s">
        <v>3702</v>
      </c>
      <c r="M762" s="3" t="s">
        <v>148</v>
      </c>
      <c r="N762" s="4" t="str">
        <f>TRIM(SUBSTITUTE(M762,"_"," "))</f>
        <v>Rahul Verma</v>
      </c>
      <c r="O762" s="3" t="s">
        <v>115</v>
      </c>
      <c r="P762" s="6" t="str">
        <f>PROPER(TRIM(SUBSTITUTE(O762,".","")))</f>
        <v>Home Office</v>
      </c>
      <c r="Q762" s="3" t="s">
        <v>62</v>
      </c>
      <c r="R762" s="7" t="str">
        <f>PROPER(TRIM(SUBSTITUTE(Q762,"  "," ")))</f>
        <v>South</v>
      </c>
      <c r="S762" s="3" t="s">
        <v>63</v>
      </c>
      <c r="T762" s="6" t="str">
        <f>PROPER(TRIM(SUBSTITUTE(S762,"  "," ")))</f>
        <v>Telangana</v>
      </c>
      <c r="U762" s="3" t="s">
        <v>64</v>
      </c>
      <c r="V762" s="6" t="str">
        <f>PROPER(TRIM(SUBSTITUTE(U762,"  "," ")))</f>
        <v>Hyderabad</v>
      </c>
      <c r="W762" s="3" t="s">
        <v>45</v>
      </c>
      <c r="X762" s="6" t="str">
        <f>PROPER(TRIM(SUBSTITUTE(W762,"  "," ")))</f>
        <v>Furniture</v>
      </c>
      <c r="Y762" s="3" t="s">
        <v>65</v>
      </c>
      <c r="Z762" s="6" t="str">
        <f>PROPER(TRIM(SUBSTITUTE(Y762,"  "," ")))</f>
        <v>Furnishings</v>
      </c>
      <c r="AA762" s="3" t="s">
        <v>3703</v>
      </c>
      <c r="AB762" s="3" t="s">
        <v>67</v>
      </c>
      <c r="AC762" s="6" t="str">
        <f>PROPER(TRIM(SUBSTITUTE(AB762,"  "," ")))</f>
        <v>Standard Class</v>
      </c>
      <c r="AD762" s="3">
        <v>1</v>
      </c>
      <c r="AE762" s="3">
        <v>2050.62</v>
      </c>
      <c r="AF762" s="3">
        <v>0.05</v>
      </c>
      <c r="AG762" s="17">
        <v>0.05</v>
      </c>
      <c r="AH762" s="6" t="str">
        <f t="shared" si="91"/>
        <v>Valid</v>
      </c>
      <c r="AI762" s="3">
        <v>1948.09</v>
      </c>
      <c r="AJ762" s="3">
        <v>1507.08</v>
      </c>
      <c r="AK762" s="3">
        <v>441.01</v>
      </c>
      <c r="AL762" s="3" t="s">
        <v>34</v>
      </c>
      <c r="AM762" s="6" t="str">
        <f>PROPER(TRIM(SUBSTITUTE(AL762,".","")))</f>
        <v>Paid</v>
      </c>
      <c r="AN762" s="3" t="s">
        <v>35</v>
      </c>
      <c r="AO762" s="8" t="str">
        <f>PROPER(TRIM(SUBSTITUTE(AN762,".","")))</f>
        <v>Completed</v>
      </c>
      <c r="AP762" t="str">
        <f>IF(COUNTIF($A$2:$A$933, A762) &gt; 1, "Duplicate ID", "Unique")</f>
        <v>Unique</v>
      </c>
      <c r="AR762">
        <f t="shared" si="92"/>
        <v>1948.0889999999997</v>
      </c>
      <c r="AS762">
        <f t="shared" si="93"/>
        <v>441.00899999999979</v>
      </c>
      <c r="AT762" s="15">
        <f t="shared" si="94"/>
        <v>0.22638031424642296</v>
      </c>
      <c r="AU762" t="str">
        <f t="shared" si="95"/>
        <v>Clean</v>
      </c>
      <c r="AV762" s="8" t="str">
        <f t="shared" si="96"/>
        <v>Active</v>
      </c>
    </row>
    <row r="763" spans="1:48">
      <c r="A763" s="3" t="s">
        <v>595</v>
      </c>
      <c r="B763" s="3" t="s">
        <v>596</v>
      </c>
      <c r="C763" s="9">
        <f>IFERROR(DATEVALUE(TEXT(B763,"DD/MM/YYYY")), IF(ISNUMBER(B763), B763, ""))</f>
        <v>45912</v>
      </c>
      <c r="D763" s="9" t="str">
        <f>IF(B763="","Missing", IF(AND(ISNUMBER(B763)=FALSE, C763=""),"Invalid - Could Not Parse", IF(AND(ISNUMBER(B763)=FALSE, C763&lt;&gt;""),"Text - Converted to Date", IF(ISNUMBER(B763),"Valid","Check"))))</f>
        <v>Text - Converted to Date</v>
      </c>
      <c r="E763" s="5">
        <f t="shared" si="89"/>
        <v>9</v>
      </c>
      <c r="F763" s="5">
        <f t="shared" si="90"/>
        <v>2025</v>
      </c>
      <c r="G763" s="3" t="s">
        <v>597</v>
      </c>
      <c r="H763" s="9">
        <f>IFERROR(DATEVALUE(TEXT(G763,"DD/MM/YYYY")), IF(ISNUMBER(G763), G763, ""))</f>
        <v>45918</v>
      </c>
      <c r="I763" s="9" t="str">
        <f>IF(G763="","Missing", IF(AND(ISNUMBER(G763)=FALSE, H763=""),"Invalid - Could Not Parse", IF(AND(ISNUMBER(G763)=FALSE, H763&lt;&gt;""),"Text - Converted to Date", IF(ISNUMBER(G763),"Valid","Check"))))</f>
        <v>Text - Converted to Date</v>
      </c>
      <c r="J763" s="9" t="str">
        <f>IF(OR(C763="", H763=""), "Cannot Check - Date Missing", IF(H763&lt;C763, "Invalid - Ship Before Order", "Valid"))</f>
        <v>Valid</v>
      </c>
      <c r="K763" s="5">
        <f>IF(OR(C763="", H763=""), "", IF(H763&lt;C763, "", H763-C763))</f>
        <v>6</v>
      </c>
      <c r="L763" s="3" t="s">
        <v>598</v>
      </c>
      <c r="M763" s="3" t="s">
        <v>162</v>
      </c>
      <c r="N763" s="4" t="str">
        <f>TRIM(SUBSTITUTE(M763,"_"," "))</f>
        <v>Aarav Sharma</v>
      </c>
      <c r="O763" s="3" t="s">
        <v>115</v>
      </c>
      <c r="P763" s="6" t="str">
        <f>PROPER(TRIM(SUBSTITUTE(O763,".","")))</f>
        <v>Home Office</v>
      </c>
      <c r="Q763" s="3" t="s">
        <v>62</v>
      </c>
      <c r="R763" s="7" t="str">
        <f>PROPER(TRIM(SUBSTITUTE(Q763,"  "," ")))</f>
        <v>South</v>
      </c>
      <c r="S763" s="3" t="s">
        <v>242</v>
      </c>
      <c r="T763" s="6" t="str">
        <f>PROPER(TRIM(SUBSTITUTE(S763,"  "," ")))</f>
        <v>Kerala</v>
      </c>
      <c r="U763" s="3" t="s">
        <v>243</v>
      </c>
      <c r="V763" s="6" t="str">
        <f>PROPER(TRIM(SUBSTITUTE(U763,"  "," ")))</f>
        <v>Kochi</v>
      </c>
      <c r="W763" s="3" t="s">
        <v>30</v>
      </c>
      <c r="X763" s="6" t="str">
        <f>PROPER(TRIM(SUBSTITUTE(W763,"  "," ")))</f>
        <v>Office Supplies</v>
      </c>
      <c r="Y763" s="3" t="s">
        <v>156</v>
      </c>
      <c r="Z763" s="6" t="str">
        <f>PROPER(TRIM(SUBSTITUTE(Y763,"  "," ")))</f>
        <v>Storage</v>
      </c>
      <c r="AA763" s="3" t="s">
        <v>599</v>
      </c>
      <c r="AB763" s="3" t="s">
        <v>67</v>
      </c>
      <c r="AC763" s="6" t="str">
        <f>PROPER(TRIM(SUBSTITUTE(AB763,"  "," ")))</f>
        <v>Standard Class</v>
      </c>
      <c r="AD763" s="3">
        <v>6</v>
      </c>
      <c r="AE763" s="3">
        <v>1673.8</v>
      </c>
      <c r="AF763" s="3">
        <v>0.05</v>
      </c>
      <c r="AG763" s="17">
        <v>0.05</v>
      </c>
      <c r="AH763" s="6" t="str">
        <f t="shared" si="91"/>
        <v>Valid</v>
      </c>
      <c r="AI763" s="3">
        <v>9540.66</v>
      </c>
      <c r="AJ763" s="3">
        <v>5561.49</v>
      </c>
      <c r="AK763" s="3">
        <v>3979.17</v>
      </c>
      <c r="AL763" s="3" t="s">
        <v>34</v>
      </c>
      <c r="AM763" s="6" t="str">
        <f>PROPER(TRIM(SUBSTITUTE(AL763,".","")))</f>
        <v>Paid</v>
      </c>
      <c r="AN763" s="3" t="s">
        <v>35</v>
      </c>
      <c r="AO763" s="8" t="str">
        <f>PROPER(TRIM(SUBSTITUTE(AN763,".","")))</f>
        <v>Completed</v>
      </c>
      <c r="AP763" t="str">
        <f>IF(COUNTIF($A$2:$A$933, A763) &gt; 1, "Duplicate ID", "Unique")</f>
        <v>Unique</v>
      </c>
      <c r="AR763">
        <f t="shared" si="92"/>
        <v>9540.659999999998</v>
      </c>
      <c r="AS763">
        <f t="shared" si="93"/>
        <v>3979.1699999999983</v>
      </c>
      <c r="AT763" s="15">
        <f t="shared" si="94"/>
        <v>0.41707491934520241</v>
      </c>
      <c r="AU763" t="str">
        <f t="shared" si="95"/>
        <v>Clean</v>
      </c>
      <c r="AV763" s="8" t="str">
        <f t="shared" si="96"/>
        <v>Active</v>
      </c>
    </row>
    <row r="764" spans="1:48">
      <c r="A764" s="3" t="s">
        <v>929</v>
      </c>
      <c r="B764" s="3" t="s">
        <v>930</v>
      </c>
      <c r="C764" s="9">
        <f>IFERROR(DATEVALUE(TEXT(B764,"DD/MM/YYYY")), IF(ISNUMBER(B764), B764, ""))</f>
        <v>45913</v>
      </c>
      <c r="D764" s="9" t="str">
        <f>IF(B764="","Missing", IF(AND(ISNUMBER(B764)=FALSE, C764=""),"Invalid - Could Not Parse", IF(AND(ISNUMBER(B764)=FALSE, C764&lt;&gt;""),"Text - Converted to Date", IF(ISNUMBER(B764),"Valid","Check"))))</f>
        <v>Text - Converted to Date</v>
      </c>
      <c r="E764" s="5">
        <f t="shared" si="89"/>
        <v>9</v>
      </c>
      <c r="F764" s="5">
        <f t="shared" si="90"/>
        <v>2025</v>
      </c>
      <c r="G764" s="3" t="s">
        <v>931</v>
      </c>
      <c r="H764" s="9">
        <f>IFERROR(DATEVALUE(MID(G764,4,2) &amp; "/" &amp; LEFT(G764,2) &amp; "/" &amp; RIGHT(G764,4)), IF(ISNUMBER(G764), G764, IFERROR(DATEVALUE(G764), "")))</f>
        <v>45913</v>
      </c>
      <c r="I764" s="9" t="str">
        <f>IF(G764="","Missing", IF(AND(ISNUMBER(G764)=FALSE, H764=""),"Invalid - Could Not Parse", IF(AND(ISNUMBER(G764)=FALSE, H764&lt;&gt;""),"Text - Converted to Date", IF(ISNUMBER(G764),"Valid","Check"))))</f>
        <v>Text - Converted to Date</v>
      </c>
      <c r="J764" s="9" t="str">
        <f>IF(OR(C764="", H764=""), "Cannot Check - Date Missing", IF(H764&lt;C764, "Invalid - Ship Before Order", "Valid"))</f>
        <v>Valid</v>
      </c>
      <c r="K764" s="5">
        <f>IF(OR(C764="", H764=""), "", IF(H764&lt;C764, "", H764-C764))</f>
        <v>0</v>
      </c>
      <c r="L764" s="3" t="s">
        <v>932</v>
      </c>
      <c r="M764" s="3" t="s">
        <v>210</v>
      </c>
      <c r="N764" s="4" t="str">
        <f>TRIM(SUBSTITUTE(M764,"_"," "))</f>
        <v>Diya Patel</v>
      </c>
      <c r="O764" s="3" t="s">
        <v>26</v>
      </c>
      <c r="P764" s="6" t="str">
        <f>PROPER(TRIM(SUBSTITUTE(O764,".","")))</f>
        <v>Consumer</v>
      </c>
      <c r="Q764" s="3" t="s">
        <v>42</v>
      </c>
      <c r="R764" s="7" t="str">
        <f>PROPER(TRIM(SUBSTITUTE(Q764,"  "," ")))</f>
        <v>East</v>
      </c>
      <c r="S764" s="3" t="s">
        <v>216</v>
      </c>
      <c r="T764" s="6" t="str">
        <f>PROPER(TRIM(SUBSTITUTE(S764,"  "," ")))</f>
        <v>Assam</v>
      </c>
      <c r="U764" s="3" t="s">
        <v>217</v>
      </c>
      <c r="V764" s="6" t="str">
        <f>PROPER(TRIM(SUBSTITUTE(U764,"  "," ")))</f>
        <v>Guwahati</v>
      </c>
      <c r="W764" s="3" t="s">
        <v>30</v>
      </c>
      <c r="X764" s="6" t="str">
        <f>PROPER(TRIM(SUBSTITUTE(W764,"  "," ")))</f>
        <v>Office Supplies</v>
      </c>
      <c r="Y764" s="3" t="s">
        <v>54</v>
      </c>
      <c r="Z764" s="6" t="str">
        <f>PROPER(TRIM(SUBSTITUTE(Y764,"  "," ")))</f>
        <v>Art</v>
      </c>
      <c r="AA764" s="3" t="s">
        <v>933</v>
      </c>
      <c r="AB764" s="3" t="s">
        <v>67</v>
      </c>
      <c r="AC764" s="6" t="str">
        <f>PROPER(TRIM(SUBSTITUTE(AB764,"  "," ")))</f>
        <v>Standard Class</v>
      </c>
      <c r="AD764" s="3">
        <v>8</v>
      </c>
      <c r="AE764" s="3">
        <v>733.9</v>
      </c>
      <c r="AF764" s="3">
        <v>0.05</v>
      </c>
      <c r="AG764" s="17">
        <v>0.05</v>
      </c>
      <c r="AH764" s="6" t="str">
        <f t="shared" si="91"/>
        <v>Valid</v>
      </c>
      <c r="AI764" s="3">
        <v>5577.64</v>
      </c>
      <c r="AJ764" s="3">
        <v>3541.29</v>
      </c>
      <c r="AK764" s="3">
        <v>2036.35</v>
      </c>
      <c r="AL764" s="3" t="s">
        <v>137</v>
      </c>
      <c r="AM764" s="6" t="str">
        <f>PROPER(TRIM(SUBSTITUTE(AL764,".","")))</f>
        <v>Pending</v>
      </c>
      <c r="AN764" s="3" t="s">
        <v>125</v>
      </c>
      <c r="AO764" s="8" t="str">
        <f>PROPER(TRIM(SUBSTITUTE(AN764,".","")))</f>
        <v>Returned</v>
      </c>
      <c r="AP764" t="str">
        <f>IF(COUNTIF($A$2:$A$933, A764) &gt; 1, "Duplicate ID", "Unique")</f>
        <v>Unique</v>
      </c>
      <c r="AR764">
        <f t="shared" si="92"/>
        <v>5577.6399999999994</v>
      </c>
      <c r="AS764">
        <f t="shared" si="93"/>
        <v>2036.3499999999995</v>
      </c>
      <c r="AT764" s="15">
        <f t="shared" si="94"/>
        <v>0.36509168752375548</v>
      </c>
      <c r="AU764" t="str">
        <f t="shared" si="95"/>
        <v>Clean</v>
      </c>
      <c r="AV764" s="8" t="str">
        <f t="shared" si="96"/>
        <v>Active</v>
      </c>
    </row>
    <row r="765" spans="1:48">
      <c r="A765" s="3" t="s">
        <v>2195</v>
      </c>
      <c r="B765" s="3" t="s">
        <v>2196</v>
      </c>
      <c r="C765" s="9">
        <f>IFERROR(DATEVALUE(TEXT(B765,"DD/MM/YYYY")), IF(ISNUMBER(B765), B765, ""))</f>
        <v>45918</v>
      </c>
      <c r="D765" s="9" t="str">
        <f>IF(B765="","Missing", IF(AND(ISNUMBER(B765)=FALSE, C765=""),"Invalid - Could Not Parse", IF(AND(ISNUMBER(B765)=FALSE, C765&lt;&gt;""),"Text - Converted to Date", IF(ISNUMBER(B765),"Valid","Check"))))</f>
        <v>Text - Converted to Date</v>
      </c>
      <c r="E765" s="5">
        <f t="shared" si="89"/>
        <v>9</v>
      </c>
      <c r="F765" s="5">
        <f t="shared" si="90"/>
        <v>2025</v>
      </c>
      <c r="G765" s="3" t="s">
        <v>2197</v>
      </c>
      <c r="H765" s="9">
        <f>IFERROR(DATEVALUE(TEXT(G765,"DD/MM/YYYY")), IF(ISNUMBER(G765), G765, ""))</f>
        <v>45919</v>
      </c>
      <c r="I765" s="9" t="str">
        <f>IF(G765="","Missing", IF(AND(ISNUMBER(G765)=FALSE, H765=""),"Invalid - Could Not Parse", IF(AND(ISNUMBER(G765)=FALSE, H765&lt;&gt;""),"Text - Converted to Date", IF(ISNUMBER(G765),"Valid","Check"))))</f>
        <v>Text - Converted to Date</v>
      </c>
      <c r="J765" s="9" t="str">
        <f>IF(OR(C765="", H765=""), "Cannot Check - Date Missing", IF(H765&lt;C765, "Invalid - Ship Before Order", "Valid"))</f>
        <v>Valid</v>
      </c>
      <c r="K765" s="5">
        <f>IF(OR(C765="", H765=""), "", IF(H765&lt;C765, "", H765-C765))</f>
        <v>1</v>
      </c>
      <c r="L765" s="3" t="s">
        <v>2198</v>
      </c>
      <c r="M765" s="3" t="s">
        <v>168</v>
      </c>
      <c r="N765" s="4" t="str">
        <f>TRIM(SUBSTITUTE(M765,"_"," "))</f>
        <v>Sneha Kapoor</v>
      </c>
      <c r="O765" s="3" t="s">
        <v>115</v>
      </c>
      <c r="P765" s="6" t="str">
        <f>PROPER(TRIM(SUBSTITUTE(O765,".","")))</f>
        <v>Home Office</v>
      </c>
      <c r="Q765" s="3" t="s">
        <v>62</v>
      </c>
      <c r="R765" s="7" t="str">
        <f>PROPER(TRIM(SUBSTITUTE(Q765,"  "," ")))</f>
        <v>South</v>
      </c>
      <c r="S765" s="3" t="s">
        <v>100</v>
      </c>
      <c r="T765" s="6" t="str">
        <f>PROPER(TRIM(SUBSTITUTE(S765,"  "," ")))</f>
        <v>Andhra Pradesh</v>
      </c>
      <c r="U765" s="3" t="s">
        <v>101</v>
      </c>
      <c r="V765" s="6" t="str">
        <f>PROPER(TRIM(SUBSTITUTE(U765,"  "," ")))</f>
        <v>Vijayawada</v>
      </c>
      <c r="W765" s="3" t="s">
        <v>30</v>
      </c>
      <c r="X765" s="6" t="str">
        <f>PROPER(TRIM(SUBSTITUTE(W765,"  "," ")))</f>
        <v>Office Supplies</v>
      </c>
      <c r="Y765" s="3" t="s">
        <v>156</v>
      </c>
      <c r="Z765" s="6" t="str">
        <f>PROPER(TRIM(SUBSTITUTE(Y765,"  "," ")))</f>
        <v>Storage</v>
      </c>
      <c r="AA765" s="3" t="s">
        <v>2199</v>
      </c>
      <c r="AB765" s="3" t="s">
        <v>48</v>
      </c>
      <c r="AC765" s="6" t="str">
        <f>PROPER(TRIM(SUBSTITUTE(AB765,"  "," ")))</f>
        <v>Same Day</v>
      </c>
      <c r="AD765" s="3">
        <v>8</v>
      </c>
      <c r="AE765" s="3">
        <v>4242.51</v>
      </c>
      <c r="AF765" s="3">
        <v>0</v>
      </c>
      <c r="AG765" s="17">
        <v>0</v>
      </c>
      <c r="AH765" s="6" t="str">
        <f t="shared" si="91"/>
        <v>Valid</v>
      </c>
      <c r="AI765" s="3">
        <v>33940.080000000002</v>
      </c>
      <c r="AJ765" s="3">
        <v>23754.19</v>
      </c>
      <c r="AK765" s="3">
        <v>10185.89</v>
      </c>
      <c r="AL765" s="3" t="s">
        <v>34</v>
      </c>
      <c r="AM765" s="6" t="str">
        <f>PROPER(TRIM(SUBSTITUTE(AL765,".","")))</f>
        <v>Paid</v>
      </c>
      <c r="AN765" s="3" t="s">
        <v>35</v>
      </c>
      <c r="AO765" s="8" t="str">
        <f>PROPER(TRIM(SUBSTITUTE(AN765,".","")))</f>
        <v>Completed</v>
      </c>
      <c r="AP765" t="str">
        <f>IF(COUNTIF($A$2:$A$933, A765) &gt; 1, "Duplicate ID", "Unique")</f>
        <v>Unique</v>
      </c>
      <c r="AR765">
        <f t="shared" si="92"/>
        <v>33940.080000000002</v>
      </c>
      <c r="AS765">
        <f t="shared" si="93"/>
        <v>10185.890000000003</v>
      </c>
      <c r="AT765" s="15">
        <f t="shared" si="94"/>
        <v>0.30011390662603044</v>
      </c>
      <c r="AU765" t="str">
        <f t="shared" si="95"/>
        <v>Clean</v>
      </c>
      <c r="AV765" s="8" t="str">
        <f t="shared" si="96"/>
        <v>Active</v>
      </c>
    </row>
    <row r="766" spans="1:48">
      <c r="A766" s="3" t="s">
        <v>1897</v>
      </c>
      <c r="B766" s="3" t="s">
        <v>1898</v>
      </c>
      <c r="C766" s="9">
        <f>IFERROR(DATEVALUE(TEXT(B766,"DD/MM/YYYY")), IF(ISNUMBER(B766), B766, ""))</f>
        <v>45919</v>
      </c>
      <c r="D766" s="9" t="str">
        <f>IF(B766="","Missing", IF(AND(ISNUMBER(B766)=FALSE, C766=""),"Invalid - Could Not Parse", IF(AND(ISNUMBER(B766)=FALSE, C766&lt;&gt;""),"Text - Converted to Date", IF(ISNUMBER(B766),"Valid","Check"))))</f>
        <v>Text - Converted to Date</v>
      </c>
      <c r="E766" s="5">
        <f t="shared" si="89"/>
        <v>9</v>
      </c>
      <c r="F766" s="5">
        <f t="shared" si="90"/>
        <v>2025</v>
      </c>
      <c r="G766" s="3" t="s">
        <v>1899</v>
      </c>
      <c r="H766" s="9">
        <f>IFERROR(DATEVALUE(TEXT(G766,"DD/MM/YYYY")), IF(ISNUMBER(G766), G766, ""))</f>
        <v>45923</v>
      </c>
      <c r="I766" s="9" t="str">
        <f>IF(G766="","Missing", IF(AND(ISNUMBER(G766)=FALSE, H766=""),"Invalid - Could Not Parse", IF(AND(ISNUMBER(G766)=FALSE, H766&lt;&gt;""),"Text - Converted to Date", IF(ISNUMBER(G766),"Valid","Check"))))</f>
        <v>Text - Converted to Date</v>
      </c>
      <c r="J766" s="9" t="str">
        <f>IF(OR(C766="", H766=""), "Cannot Check - Date Missing", IF(H766&lt;C766, "Invalid - Ship Before Order", "Valid"))</f>
        <v>Valid</v>
      </c>
      <c r="K766" s="5">
        <f>IF(OR(C766="", H766=""), "", IF(H766&lt;C766, "", H766-C766))</f>
        <v>4</v>
      </c>
      <c r="L766" s="3" t="s">
        <v>1900</v>
      </c>
      <c r="M766" s="3" t="s">
        <v>61</v>
      </c>
      <c r="N766" s="4" t="str">
        <f>TRIM(SUBSTITUTE(M766,"_"," "))</f>
        <v>Arjun Bose</v>
      </c>
      <c r="O766" s="3" t="s">
        <v>1901</v>
      </c>
      <c r="P766" s="6" t="str">
        <f>PROPER(TRIM(SUBSTITUTE(O766,".","")))</f>
        <v>Home Office</v>
      </c>
      <c r="Q766" s="3" t="s">
        <v>27</v>
      </c>
      <c r="R766" s="7" t="str">
        <f>PROPER(TRIM(SUBSTITUTE(Q766,"  "," ")))</f>
        <v>North</v>
      </c>
      <c r="S766" s="3" t="s">
        <v>506</v>
      </c>
      <c r="T766" s="6" t="str">
        <f>PROPER(TRIM(SUBSTITUTE(S766,"  "," ")))</f>
        <v>Delhi</v>
      </c>
      <c r="U766" s="3" t="s">
        <v>507</v>
      </c>
      <c r="V766" s="6" t="str">
        <f>PROPER(TRIM(SUBSTITUTE(U766,"  "," ")))</f>
        <v>New Delhi</v>
      </c>
      <c r="W766" s="3" t="s">
        <v>30</v>
      </c>
      <c r="X766" s="6" t="str">
        <f>PROPER(TRIM(SUBSTITUTE(W766,"  "," ")))</f>
        <v>Office Supplies</v>
      </c>
      <c r="Y766" s="3" t="s">
        <v>198</v>
      </c>
      <c r="Z766" s="6" t="str">
        <f>PROPER(TRIM(SUBSTITUTE(Y766,"  "," ")))</f>
        <v>Binders</v>
      </c>
      <c r="AA766" s="3" t="s">
        <v>1902</v>
      </c>
      <c r="AB766" s="3" t="s">
        <v>67</v>
      </c>
      <c r="AC766" s="6" t="str">
        <f>PROPER(TRIM(SUBSTITUTE(AB766,"  "," ")))</f>
        <v>Standard Class</v>
      </c>
      <c r="AD766" s="3">
        <v>4</v>
      </c>
      <c r="AE766" s="3">
        <v>4387.1499999999996</v>
      </c>
      <c r="AF766" s="3">
        <v>0.05</v>
      </c>
      <c r="AG766" s="17">
        <v>0.05</v>
      </c>
      <c r="AH766" s="6" t="str">
        <f t="shared" si="91"/>
        <v>Valid</v>
      </c>
      <c r="AI766" s="3">
        <v>16671.169999999998</v>
      </c>
      <c r="AJ766" s="3">
        <v>10833.19</v>
      </c>
      <c r="AK766" s="3">
        <v>5837.98</v>
      </c>
      <c r="AL766" s="3" t="s">
        <v>200</v>
      </c>
      <c r="AM766" s="6" t="str">
        <f>PROPER(TRIM(SUBSTITUTE(AL766,".","")))</f>
        <v>Failed</v>
      </c>
      <c r="AN766" s="3" t="s">
        <v>78</v>
      </c>
      <c r="AO766" s="8" t="str">
        <f>PROPER(TRIM(SUBSTITUTE(AN766,".","")))</f>
        <v>Cancelled</v>
      </c>
      <c r="AP766" t="str">
        <f>IF(COUNTIF($A$2:$A$933, A766) &gt; 1, "Duplicate ID", "Unique")</f>
        <v>Unique</v>
      </c>
      <c r="AR766">
        <f t="shared" si="92"/>
        <v>16671.169999999998</v>
      </c>
      <c r="AS766">
        <f t="shared" si="93"/>
        <v>5837.9799999999977</v>
      </c>
      <c r="AT766" s="15">
        <f t="shared" si="94"/>
        <v>0.35018418023450054</v>
      </c>
      <c r="AU766" t="str">
        <f t="shared" si="95"/>
        <v>Clean</v>
      </c>
      <c r="AV766" s="8" t="str">
        <f t="shared" si="96"/>
        <v>Cancelled</v>
      </c>
    </row>
    <row r="767" spans="1:48">
      <c r="A767" s="3" t="s">
        <v>3850</v>
      </c>
      <c r="B767" s="3" t="s">
        <v>1898</v>
      </c>
      <c r="C767" s="9">
        <f>IFERROR(DATEVALUE(TEXT(B767,"DD/MM/YYYY")), IF(ISNUMBER(B767), B767, ""))</f>
        <v>45919</v>
      </c>
      <c r="D767" s="9" t="str">
        <f>IF(B767="","Missing", IF(AND(ISNUMBER(B767)=FALSE, C767=""),"Invalid - Could Not Parse", IF(AND(ISNUMBER(B767)=FALSE, C767&lt;&gt;""),"Text - Converted to Date", IF(ISNUMBER(B767),"Valid","Check"))))</f>
        <v>Text - Converted to Date</v>
      </c>
      <c r="E767" s="5">
        <f t="shared" si="89"/>
        <v>9</v>
      </c>
      <c r="F767" s="5">
        <f t="shared" si="90"/>
        <v>2025</v>
      </c>
      <c r="G767" s="3" t="s">
        <v>2197</v>
      </c>
      <c r="H767" s="9">
        <f>IFERROR(DATEVALUE(TEXT(G767,"DD/MM/YYYY")), IF(ISNUMBER(G767), G767, ""))</f>
        <v>45919</v>
      </c>
      <c r="I767" s="9" t="str">
        <f>IF(G767="","Missing", IF(AND(ISNUMBER(G767)=FALSE, H767=""),"Invalid - Could Not Parse", IF(AND(ISNUMBER(G767)=FALSE, H767&lt;&gt;""),"Text - Converted to Date", IF(ISNUMBER(G767),"Valid","Check"))))</f>
        <v>Text - Converted to Date</v>
      </c>
      <c r="J767" s="9" t="str">
        <f>IF(OR(C767="", H767=""), "Cannot Check - Date Missing", IF(H767&lt;C767, "Invalid - Ship Before Order", "Valid"))</f>
        <v>Valid</v>
      </c>
      <c r="K767" s="5">
        <f>IF(OR(C767="", H767=""), "", IF(H767&lt;C767, "", H767-C767))</f>
        <v>0</v>
      </c>
      <c r="L767" s="3" t="s">
        <v>3851</v>
      </c>
      <c r="M767" s="3" t="s">
        <v>93</v>
      </c>
      <c r="N767" s="4" t="str">
        <f>TRIM(SUBSTITUTE(M767,"_"," "))</f>
        <v>Neha Gupta</v>
      </c>
      <c r="O767" s="3" t="s">
        <v>115</v>
      </c>
      <c r="P767" s="6" t="str">
        <f>PROPER(TRIM(SUBSTITUTE(O767,".","")))</f>
        <v>Home Office</v>
      </c>
      <c r="Q767" s="3" t="s">
        <v>27</v>
      </c>
      <c r="R767" s="7" t="str">
        <f>PROPER(TRIM(SUBSTITUTE(Q767,"  "," ")))</f>
        <v>North</v>
      </c>
      <c r="S767" s="3" t="s">
        <v>506</v>
      </c>
      <c r="T767" s="6" t="str">
        <f>PROPER(TRIM(SUBSTITUTE(S767,"  "," ")))</f>
        <v>Delhi</v>
      </c>
      <c r="U767" s="3" t="s">
        <v>507</v>
      </c>
      <c r="V767" s="6" t="str">
        <f>PROPER(TRIM(SUBSTITUTE(U767,"  "," ")))</f>
        <v>New Delhi</v>
      </c>
      <c r="W767" s="3" t="s">
        <v>45</v>
      </c>
      <c r="X767" s="6" t="str">
        <f>PROPER(TRIM(SUBSTITUTE(W767,"  "," ")))</f>
        <v>Furniture</v>
      </c>
      <c r="Y767" s="3" t="s">
        <v>76</v>
      </c>
      <c r="Z767" s="6" t="str">
        <f>PROPER(TRIM(SUBSTITUTE(Y767,"  "," ")))</f>
        <v>Chairs</v>
      </c>
      <c r="AA767" s="3" t="s">
        <v>3852</v>
      </c>
      <c r="AB767" s="3" t="s">
        <v>48</v>
      </c>
      <c r="AC767" s="6" t="str">
        <f>PROPER(TRIM(SUBSTITUTE(AB767,"  "," ")))</f>
        <v>Same Day</v>
      </c>
      <c r="AD767" s="3">
        <v>4</v>
      </c>
      <c r="AE767" s="3">
        <v>1584.11</v>
      </c>
      <c r="AF767" s="3">
        <v>0</v>
      </c>
      <c r="AG767" s="17">
        <v>0</v>
      </c>
      <c r="AH767" s="6" t="str">
        <f t="shared" si="91"/>
        <v>Valid</v>
      </c>
      <c r="AI767" s="3">
        <v>6336.44</v>
      </c>
      <c r="AJ767" s="3">
        <v>4680.68</v>
      </c>
      <c r="AK767" s="3">
        <v>1655.76</v>
      </c>
      <c r="AL767" s="3" t="s">
        <v>34</v>
      </c>
      <c r="AM767" s="6" t="str">
        <f>PROPER(TRIM(SUBSTITUTE(AL767,".","")))</f>
        <v>Paid</v>
      </c>
      <c r="AN767" s="3" t="s">
        <v>35</v>
      </c>
      <c r="AO767" s="8" t="str">
        <f>PROPER(TRIM(SUBSTITUTE(AN767,".","")))</f>
        <v>Completed</v>
      </c>
      <c r="AP767" t="str">
        <f>IF(COUNTIF($A$2:$A$933, A767) &gt; 1, "Duplicate ID", "Unique")</f>
        <v>Unique</v>
      </c>
      <c r="AR767">
        <f t="shared" si="92"/>
        <v>6336.44</v>
      </c>
      <c r="AS767">
        <f t="shared" si="93"/>
        <v>1655.7599999999993</v>
      </c>
      <c r="AT767" s="15">
        <f t="shared" si="94"/>
        <v>0.26130761121386764</v>
      </c>
      <c r="AU767" t="str">
        <f t="shared" si="95"/>
        <v>Clean</v>
      </c>
      <c r="AV767" s="8" t="str">
        <f t="shared" si="96"/>
        <v>Active</v>
      </c>
    </row>
    <row r="768" spans="1:48">
      <c r="A768" s="3" t="s">
        <v>901</v>
      </c>
      <c r="B768" s="3" t="s">
        <v>902</v>
      </c>
      <c r="C768" s="9">
        <v>45921</v>
      </c>
      <c r="D768" s="9" t="str">
        <f>IF(B768="","Missing", IF(AND(ISNUMBER(B768)=FALSE, C768=""),"Invalid - Could Not Parse", IF(AND(ISNUMBER(B768)=FALSE, C768&lt;&gt;""),"Text - Converted to Date", IF(ISNUMBER(B768),"Valid","Check"))))</f>
        <v>Text - Converted to Date</v>
      </c>
      <c r="E768" s="5">
        <f t="shared" si="89"/>
        <v>9</v>
      </c>
      <c r="F768" s="5">
        <f t="shared" si="90"/>
        <v>2025</v>
      </c>
      <c r="G768" s="3" t="s">
        <v>725</v>
      </c>
      <c r="H768" s="9">
        <f>IFERROR(DATEVALUE(TEXT(G768,"DD/MM/YYYY")), IF(ISNUMBER(G768), G768, ""))</f>
        <v>45926</v>
      </c>
      <c r="I768" s="9" t="str">
        <f>IF(G768="","Missing", IF(AND(ISNUMBER(G768)=FALSE, H768=""),"Invalid - Could Not Parse", IF(AND(ISNUMBER(G768)=FALSE, H768&lt;&gt;""),"Text - Converted to Date", IF(ISNUMBER(G768),"Valid","Check"))))</f>
        <v>Text - Converted to Date</v>
      </c>
      <c r="J768" s="9" t="str">
        <f>IF(OR(C768="", H768=""), "Cannot Check - Date Missing", IF(H768&lt;C768, "Invalid - Ship Before Order", "Valid"))</f>
        <v>Valid</v>
      </c>
      <c r="K768" s="5">
        <f>IF(OR(C768="", H768=""), "", IF(H768&lt;C768, "", H768-C768))</f>
        <v>5</v>
      </c>
      <c r="L768" s="3" t="s">
        <v>903</v>
      </c>
      <c r="M768" s="3" t="s">
        <v>180</v>
      </c>
      <c r="N768" s="4" t="str">
        <f>TRIM(SUBSTITUTE(M768,"_"," "))</f>
        <v>Rohan Mehta</v>
      </c>
      <c r="O768" s="3" t="s">
        <v>115</v>
      </c>
      <c r="P768" s="6" t="str">
        <f>PROPER(TRIM(SUBSTITUTE(O768,".","")))</f>
        <v>Home Office</v>
      </c>
      <c r="Q768" s="3" t="s">
        <v>73</v>
      </c>
      <c r="R768" s="7" t="str">
        <f>PROPER(TRIM(SUBSTITUTE(Q768,"  "," ")))</f>
        <v>West</v>
      </c>
      <c r="S768" s="3" t="s">
        <v>235</v>
      </c>
      <c r="T768" s="6" t="str">
        <f>PROPER(TRIM(SUBSTITUTE(S768,"  "," ")))</f>
        <v>Gujarat</v>
      </c>
      <c r="U768" s="3" t="s">
        <v>236</v>
      </c>
      <c r="V768" s="6" t="str">
        <f>PROPER(TRIM(SUBSTITUTE(U768,"  "," ")))</f>
        <v>Ahmedabad</v>
      </c>
      <c r="W768" s="3" t="s">
        <v>45</v>
      </c>
      <c r="X768" s="6" t="str">
        <f>PROPER(TRIM(SUBSTITUTE(W768,"  "," ")))</f>
        <v>Furniture</v>
      </c>
      <c r="Y768" s="3" t="s">
        <v>46</v>
      </c>
      <c r="Z768" s="6" t="str">
        <f>PROPER(TRIM(SUBSTITUTE(Y768,"  "," ")))</f>
        <v>Tables</v>
      </c>
      <c r="AA768" s="3" t="s">
        <v>904</v>
      </c>
      <c r="AB768" s="3"/>
      <c r="AC768" s="11" t="str">
        <f t="shared" ref="AC768:AC769" si="97">IF(ISBLANK(AB768), "Unknown", AB768)</f>
        <v>Unknown</v>
      </c>
      <c r="AD768" s="3">
        <v>6</v>
      </c>
      <c r="AE768" s="3">
        <v>2903.58</v>
      </c>
      <c r="AF768" s="3">
        <v>0.1</v>
      </c>
      <c r="AG768" s="17">
        <v>0.1</v>
      </c>
      <c r="AH768" s="6" t="str">
        <f t="shared" si="91"/>
        <v>Valid</v>
      </c>
      <c r="AI768" s="3">
        <v>15679.33</v>
      </c>
      <c r="AJ768" s="3">
        <v>12477.82</v>
      </c>
      <c r="AK768" s="3">
        <v>3201.51</v>
      </c>
      <c r="AL768" s="3" t="s">
        <v>137</v>
      </c>
      <c r="AM768" s="6" t="str">
        <f>PROPER(TRIM(SUBSTITUTE(AL768,".","")))</f>
        <v>Pending</v>
      </c>
      <c r="AN768" s="3" t="s">
        <v>125</v>
      </c>
      <c r="AO768" s="8" t="str">
        <f>PROPER(TRIM(SUBSTITUTE(AN768,".","")))</f>
        <v>Returned</v>
      </c>
      <c r="AP768" t="str">
        <f>IF(COUNTIF($A$2:$A$933, A768) &gt; 1, "Duplicate ID", "Unique")</f>
        <v>Unique</v>
      </c>
      <c r="AR768">
        <f t="shared" si="92"/>
        <v>15679.332</v>
      </c>
      <c r="AS768">
        <f t="shared" si="93"/>
        <v>3201.5120000000006</v>
      </c>
      <c r="AT768" s="15">
        <f t="shared" si="94"/>
        <v>0.20418675999717339</v>
      </c>
      <c r="AU768" t="str">
        <f t="shared" si="95"/>
        <v>Clean</v>
      </c>
      <c r="AV768" s="8" t="str">
        <f t="shared" si="96"/>
        <v>Active</v>
      </c>
    </row>
    <row r="769" spans="1:48">
      <c r="A769" s="3" t="s">
        <v>3264</v>
      </c>
      <c r="B769" s="3" t="s">
        <v>3265</v>
      </c>
      <c r="C769" s="9">
        <f>IFERROR(DATEVALUE(TEXT(B769,"DD/MM/YYYY")), IF(ISNUMBER(B769), B769, ""))</f>
        <v>45922</v>
      </c>
      <c r="D769" s="9" t="str">
        <f>IF(B769="","Missing", IF(AND(ISNUMBER(B769)=FALSE, C769=""),"Invalid - Could Not Parse", IF(AND(ISNUMBER(B769)=FALSE, C769&lt;&gt;""),"Text - Converted to Date", IF(ISNUMBER(B769),"Valid","Check"))))</f>
        <v>Text - Converted to Date</v>
      </c>
      <c r="E769" s="5">
        <f t="shared" si="89"/>
        <v>9</v>
      </c>
      <c r="F769" s="5">
        <f t="shared" si="90"/>
        <v>2025</v>
      </c>
      <c r="G769" s="3" t="s">
        <v>3266</v>
      </c>
      <c r="H769" s="9">
        <f>IFERROR(DATEVALUE(TEXT(G769,"DD/MM/YYYY")), IF(ISNUMBER(G769), G769, ""))</f>
        <v>45925</v>
      </c>
      <c r="I769" s="9" t="str">
        <f>IF(G769="","Missing", IF(AND(ISNUMBER(G769)=FALSE, H769=""),"Invalid - Could Not Parse", IF(AND(ISNUMBER(G769)=FALSE, H769&lt;&gt;""),"Text - Converted to Date", IF(ISNUMBER(G769),"Valid","Check"))))</f>
        <v>Text - Converted to Date</v>
      </c>
      <c r="J769" s="9" t="str">
        <f>IF(OR(C769="", H769=""), "Cannot Check - Date Missing", IF(H769&lt;C769, "Invalid - Ship Before Order", "Valid"))</f>
        <v>Valid</v>
      </c>
      <c r="K769" s="5">
        <f>IF(OR(C769="", H769=""), "", IF(H769&lt;C769, "", H769-C769))</f>
        <v>3</v>
      </c>
      <c r="L769" s="3" t="s">
        <v>3267</v>
      </c>
      <c r="M769" s="3" t="s">
        <v>53</v>
      </c>
      <c r="N769" s="4" t="str">
        <f>TRIM(SUBSTITUTE(M769,"_"," "))</f>
        <v>Isha Nair</v>
      </c>
      <c r="O769" s="3" t="s">
        <v>41</v>
      </c>
      <c r="P769" s="6" t="str">
        <f>PROPER(TRIM(SUBSTITUTE(O769,".","")))</f>
        <v>Small Business</v>
      </c>
      <c r="Q769" s="3" t="s">
        <v>62</v>
      </c>
      <c r="R769" s="7" t="str">
        <f>PROPER(TRIM(SUBSTITUTE(Q769,"  "," ")))</f>
        <v>South</v>
      </c>
      <c r="S769" s="3" t="s">
        <v>242</v>
      </c>
      <c r="T769" s="6" t="str">
        <f>PROPER(TRIM(SUBSTITUTE(S769,"  "," ")))</f>
        <v>Kerala</v>
      </c>
      <c r="U769" s="3" t="s">
        <v>243</v>
      </c>
      <c r="V769" s="6" t="str">
        <f>PROPER(TRIM(SUBSTITUTE(U769,"  "," ")))</f>
        <v>Kochi</v>
      </c>
      <c r="W769" s="3" t="s">
        <v>86</v>
      </c>
      <c r="X769" s="6" t="str">
        <f>PROPER(TRIM(SUBSTITUTE(W769,"  "," ")))</f>
        <v>Technology</v>
      </c>
      <c r="Y769" s="3" t="s">
        <v>223</v>
      </c>
      <c r="Z769" s="6" t="str">
        <f>PROPER(TRIM(SUBSTITUTE(Y769,"  "," ")))</f>
        <v>Phones</v>
      </c>
      <c r="AA769" s="3" t="s">
        <v>3268</v>
      </c>
      <c r="AB769" s="3"/>
      <c r="AC769" s="11" t="str">
        <f t="shared" si="97"/>
        <v>Unknown</v>
      </c>
      <c r="AD769" s="3">
        <v>4</v>
      </c>
      <c r="AE769" s="3">
        <v>1178.8399999999999</v>
      </c>
      <c r="AF769" s="3">
        <v>0.25</v>
      </c>
      <c r="AG769" s="17">
        <v>0.25</v>
      </c>
      <c r="AH769" s="6" t="str">
        <f t="shared" si="91"/>
        <v>Valid</v>
      </c>
      <c r="AI769" s="3">
        <v>3536.52</v>
      </c>
      <c r="AJ769" s="3">
        <v>2102.41</v>
      </c>
      <c r="AK769" s="3">
        <v>1363.28</v>
      </c>
      <c r="AL769" s="3" t="s">
        <v>34</v>
      </c>
      <c r="AM769" s="6" t="str">
        <f>PROPER(TRIM(SUBSTITUTE(AL769,".","")))</f>
        <v>Paid</v>
      </c>
      <c r="AN769" s="3" t="s">
        <v>35</v>
      </c>
      <c r="AO769" s="8" t="str">
        <f>PROPER(TRIM(SUBSTITUTE(AN769,".","")))</f>
        <v>Completed</v>
      </c>
      <c r="AP769" t="str">
        <f>IF(COUNTIF($A$2:$A$933, A769) &gt; 1, "Duplicate ID", "Unique")</f>
        <v>Unique</v>
      </c>
      <c r="AR769">
        <f t="shared" si="92"/>
        <v>3536.5199999999995</v>
      </c>
      <c r="AS769">
        <f t="shared" si="93"/>
        <v>1434.1099999999997</v>
      </c>
      <c r="AT769" s="15">
        <f t="shared" si="94"/>
        <v>0.40551446054313278</v>
      </c>
      <c r="AU769" t="str">
        <f t="shared" si="95"/>
        <v>Warning</v>
      </c>
      <c r="AV769" s="8" t="str">
        <f t="shared" si="96"/>
        <v>Active</v>
      </c>
    </row>
    <row r="770" spans="1:48">
      <c r="A770" s="3" t="s">
        <v>853</v>
      </c>
      <c r="B770" s="3" t="s">
        <v>854</v>
      </c>
      <c r="C770" s="9">
        <f>IFERROR(DATEVALUE(TEXT(B770,"DD/MM/YYYY")), IF(ISNUMBER(B770), B770, ""))</f>
        <v>45923</v>
      </c>
      <c r="D770" s="9" t="str">
        <f>IF(B770="","Missing", IF(AND(ISNUMBER(B770)=FALSE, C770=""),"Invalid - Could Not Parse", IF(AND(ISNUMBER(B770)=FALSE, C770&lt;&gt;""),"Text - Converted to Date", IF(ISNUMBER(B770),"Valid","Check"))))</f>
        <v>Text - Converted to Date</v>
      </c>
      <c r="E770" s="5">
        <f t="shared" si="89"/>
        <v>9</v>
      </c>
      <c r="F770" s="5">
        <f t="shared" si="90"/>
        <v>2025</v>
      </c>
      <c r="G770" s="3" t="s">
        <v>855</v>
      </c>
      <c r="H770" s="9">
        <f>IFERROR(DATEVALUE(TEXT(G770,"DD/MM/YYYY")), IF(ISNUMBER(G770), G770, ""))</f>
        <v>45925</v>
      </c>
      <c r="I770" s="9" t="str">
        <f>IF(G770="","Missing", IF(AND(ISNUMBER(G770)=FALSE, H770=""),"Invalid - Could Not Parse", IF(AND(ISNUMBER(G770)=FALSE, H770&lt;&gt;""),"Text - Converted to Date", IF(ISNUMBER(G770),"Valid","Check"))))</f>
        <v>Text - Converted to Date</v>
      </c>
      <c r="J770" s="9" t="str">
        <f>IF(OR(C770="", H770=""), "Cannot Check - Date Missing", IF(H770&lt;C770, "Invalid - Ship Before Order", "Valid"))</f>
        <v>Valid</v>
      </c>
      <c r="K770" s="5">
        <f>IF(OR(C770="", H770=""), "", IF(H770&lt;C770, "", H770-C770))</f>
        <v>2</v>
      </c>
      <c r="L770" s="3" t="s">
        <v>856</v>
      </c>
      <c r="M770" s="3" t="s">
        <v>107</v>
      </c>
      <c r="N770" s="4" t="str">
        <f>TRIM(SUBSTITUTE(M770,"_"," "))</f>
        <v>Aditi Sen</v>
      </c>
      <c r="O770" s="3" t="s">
        <v>26</v>
      </c>
      <c r="P770" s="6" t="str">
        <f>PROPER(TRIM(SUBSTITUTE(O770,".","")))</f>
        <v>Consumer</v>
      </c>
      <c r="Q770" s="3" t="s">
        <v>42</v>
      </c>
      <c r="R770" s="7" t="str">
        <f>PROPER(TRIM(SUBSTITUTE(Q770,"  "," ")))</f>
        <v>East</v>
      </c>
      <c r="S770" s="3" t="s">
        <v>43</v>
      </c>
      <c r="T770" s="6" t="str">
        <f>PROPER(TRIM(SUBSTITUTE(S770,"  "," ")))</f>
        <v>Odisha</v>
      </c>
      <c r="U770" s="3" t="s">
        <v>44</v>
      </c>
      <c r="V770" s="6" t="str">
        <f>PROPER(TRIM(SUBSTITUTE(U770,"  "," ")))</f>
        <v>Bhubaneswar</v>
      </c>
      <c r="W770" s="3" t="s">
        <v>30</v>
      </c>
      <c r="X770" s="6" t="str">
        <f>PROPER(TRIM(SUBSTITUTE(W770,"  "," ")))</f>
        <v>Office Supplies</v>
      </c>
      <c r="Y770" s="3" t="s">
        <v>109</v>
      </c>
      <c r="Z770" s="6" t="str">
        <f>PROPER(TRIM(SUBSTITUTE(Y770,"  "," ")))</f>
        <v>Labels</v>
      </c>
      <c r="AA770" s="3" t="s">
        <v>857</v>
      </c>
      <c r="AB770" s="3" t="s">
        <v>67</v>
      </c>
      <c r="AC770" s="6" t="str">
        <f>PROPER(TRIM(SUBSTITUTE(AB770,"  "," ")))</f>
        <v>Standard Class</v>
      </c>
      <c r="AD770" s="3">
        <v>7</v>
      </c>
      <c r="AE770" s="3">
        <v>3280.31</v>
      </c>
      <c r="AF770" s="3">
        <v>0</v>
      </c>
      <c r="AG770" s="17">
        <v>0</v>
      </c>
      <c r="AH770" s="6" t="str">
        <f t="shared" si="91"/>
        <v>Valid</v>
      </c>
      <c r="AI770" s="3">
        <v>22962.17</v>
      </c>
      <c r="AJ770" s="3">
        <v>15716.5</v>
      </c>
      <c r="AK770" s="3">
        <v>7245.67</v>
      </c>
      <c r="AL770" s="3" t="s">
        <v>124</v>
      </c>
      <c r="AM770" s="6" t="str">
        <f>PROPER(TRIM(SUBSTITUTE(AL770,".","")))</f>
        <v>Refunded</v>
      </c>
      <c r="AN770" s="3" t="s">
        <v>125</v>
      </c>
      <c r="AO770" s="8" t="str">
        <f>PROPER(TRIM(SUBSTITUTE(AN770,".","")))</f>
        <v>Returned</v>
      </c>
      <c r="AP770" t="str">
        <f>IF(COUNTIF($A$2:$A$933, A770) &gt; 1, "Duplicate ID", "Unique")</f>
        <v>Unique</v>
      </c>
      <c r="AR770">
        <f t="shared" si="92"/>
        <v>22962.17</v>
      </c>
      <c r="AS770">
        <f t="shared" si="93"/>
        <v>7245.6699999999983</v>
      </c>
      <c r="AT770" s="15">
        <f t="shared" si="94"/>
        <v>0.31554813852523517</v>
      </c>
      <c r="AU770" t="str">
        <f t="shared" si="95"/>
        <v>Warning</v>
      </c>
      <c r="AV770" s="8" t="str">
        <f t="shared" si="96"/>
        <v>Refund</v>
      </c>
    </row>
    <row r="771" spans="1:48">
      <c r="A771" s="3" t="s">
        <v>1356</v>
      </c>
      <c r="B771" s="3" t="s">
        <v>1357</v>
      </c>
      <c r="C771" s="9">
        <f>IFERROR(DATEVALUE(TEXT(B771,"DD/MM/YYYY")), IF(ISNUMBER(B771), B771, ""))</f>
        <v>45923</v>
      </c>
      <c r="D771" s="9" t="str">
        <f>IF(B771="","Missing", IF(AND(ISNUMBER(B771)=FALSE, C771=""),"Invalid - Could Not Parse", IF(AND(ISNUMBER(B771)=FALSE, C771&lt;&gt;""),"Text - Converted to Date", IF(ISNUMBER(B771),"Valid","Check"))))</f>
        <v>Text - Converted to Date</v>
      </c>
      <c r="E771" s="5">
        <f t="shared" ref="E771:E834" si="98">IFERROR(MONTH(C771), "")</f>
        <v>9</v>
      </c>
      <c r="F771" s="5">
        <f t="shared" ref="F771:F834" si="99">IFERROR(YEAR(C771), "")</f>
        <v>2025</v>
      </c>
      <c r="G771" s="3" t="s">
        <v>1358</v>
      </c>
      <c r="H771" s="9">
        <f>IFERROR(DATEVALUE(MID(G771,4,2) &amp; "/" &amp; LEFT(G771,2) &amp; "/" &amp; RIGHT(G771,4)), IF(ISNUMBER(G771), G771, IFERROR(DATEVALUE(G771), "")))</f>
        <v>45927</v>
      </c>
      <c r="I771" s="9" t="str">
        <f>IF(G771="","Missing", IF(AND(ISNUMBER(G771)=FALSE, H771=""),"Invalid - Could Not Parse", IF(AND(ISNUMBER(G771)=FALSE, H771&lt;&gt;""),"Text - Converted to Date", IF(ISNUMBER(G771),"Valid","Check"))))</f>
        <v>Text - Converted to Date</v>
      </c>
      <c r="J771" s="9" t="str">
        <f>IF(OR(C771="", H771=""), "Cannot Check - Date Missing", IF(H771&lt;C771, "Invalid - Ship Before Order", "Valid"))</f>
        <v>Valid</v>
      </c>
      <c r="K771" s="5">
        <f>IF(OR(C771="", H771=""), "", IF(H771&lt;C771, "", H771-C771))</f>
        <v>4</v>
      </c>
      <c r="L771" s="3" t="s">
        <v>1359</v>
      </c>
      <c r="M771" s="3" t="s">
        <v>107</v>
      </c>
      <c r="N771" s="4" t="str">
        <f>TRIM(SUBSTITUTE(M771,"_"," "))</f>
        <v>Aditi Sen</v>
      </c>
      <c r="O771" s="3" t="s">
        <v>108</v>
      </c>
      <c r="P771" s="6" t="str">
        <f>PROPER(TRIM(SUBSTITUTE(O771,".","")))</f>
        <v>Corporate</v>
      </c>
      <c r="Q771" s="3" t="s">
        <v>42</v>
      </c>
      <c r="R771" s="7" t="str">
        <f>PROPER(TRIM(SUBSTITUTE(Q771,"  "," ")))</f>
        <v>East</v>
      </c>
      <c r="S771" s="3" t="s">
        <v>121</v>
      </c>
      <c r="T771" s="6" t="str">
        <f>PROPER(TRIM(SUBSTITUTE(S771,"  "," ")))</f>
        <v>West Bengal</v>
      </c>
      <c r="U771" s="3" t="s">
        <v>122</v>
      </c>
      <c r="V771" s="6" t="str">
        <f>PROPER(TRIM(SUBSTITUTE(U771,"  "," ")))</f>
        <v>Kolkata</v>
      </c>
      <c r="W771" s="3" t="s">
        <v>30</v>
      </c>
      <c r="X771" s="6" t="str">
        <f>PROPER(TRIM(SUBSTITUTE(W771,"  "," ")))</f>
        <v>Office Supplies</v>
      </c>
      <c r="Y771" s="3" t="s">
        <v>198</v>
      </c>
      <c r="Z771" s="6" t="str">
        <f>PROPER(TRIM(SUBSTITUTE(Y771,"  "," ")))</f>
        <v>Binders</v>
      </c>
      <c r="AA771" s="3" t="s">
        <v>1360</v>
      </c>
      <c r="AB771" s="3" t="s">
        <v>48</v>
      </c>
      <c r="AC771" s="6" t="str">
        <f>PROPER(TRIM(SUBSTITUTE(AB771,"  "," ")))</f>
        <v>Same Day</v>
      </c>
      <c r="AD771" s="3">
        <v>7</v>
      </c>
      <c r="AE771" s="3">
        <v>2897.12</v>
      </c>
      <c r="AF771" s="3">
        <v>0.25</v>
      </c>
      <c r="AG771" s="17">
        <v>0.25</v>
      </c>
      <c r="AH771" s="6" t="str">
        <f t="shared" ref="AH771:AH834" si="100">IF(ISBLANK(AF771), "Missing", IF(AF771 &lt; 0, "Invalid - Negative", IF(AF771 &gt; 0.5, "Invalid - Above Range", "Valid")))</f>
        <v>Valid</v>
      </c>
      <c r="AI771" s="3">
        <v>15209.88</v>
      </c>
      <c r="AJ771" s="3">
        <v>10891.15</v>
      </c>
      <c r="AK771" s="3">
        <v>4318.7299999999996</v>
      </c>
      <c r="AL771" s="3" t="s">
        <v>200</v>
      </c>
      <c r="AM771" s="6" t="str">
        <f>PROPER(TRIM(SUBSTITUTE(AL771,".","")))</f>
        <v>Failed</v>
      </c>
      <c r="AN771" s="3" t="s">
        <v>125</v>
      </c>
      <c r="AO771" s="8" t="str">
        <f>PROPER(TRIM(SUBSTITUTE(AN771,".","")))</f>
        <v>Returned</v>
      </c>
      <c r="AP771" t="str">
        <f>IF(COUNTIF($A$2:$A$933, A771) &gt; 1, "Duplicate ID", "Unique")</f>
        <v>Unique</v>
      </c>
      <c r="AR771">
        <f t="shared" ref="AR771:AR834" si="101">AD771 * AE771 * (1 - AG771)</f>
        <v>15209.880000000001</v>
      </c>
      <c r="AS771">
        <f t="shared" ref="AS771:AS834" si="102">AR771-AJ771</f>
        <v>4318.7300000000014</v>
      </c>
      <c r="AT771" s="15">
        <f t="shared" ref="AT771:AT834" si="103">IFERROR(AS771 / AR771, "")</f>
        <v>0.28394241111698454</v>
      </c>
      <c r="AU771" t="str">
        <f t="shared" ref="AU771:AU834" si="104">IF(OR(AH771="Invalid - Negative",AH771="Invalid - Above Range", J771="Invalid - Ship Before Order", AQ771="Conflicting Duplicate - Flagged"), "Invalid", IF(OR(R770="Unknown", AC770="Unknown", AH771="Missing"), "Warning", "Clean"))</f>
        <v>Clean</v>
      </c>
      <c r="AV771" s="8" t="str">
        <f t="shared" ref="AV771:AV834" si="105">IF(AM771 = "Refunded", "Refund", IF(AO771 = "Cancelled", "Cancelled", "Active"))</f>
        <v>Active</v>
      </c>
    </row>
    <row r="772" spans="1:48">
      <c r="A772" s="3" t="s">
        <v>723</v>
      </c>
      <c r="B772" s="3" t="s">
        <v>724</v>
      </c>
      <c r="C772" s="9">
        <f>IFERROR(DATEVALUE(TEXT(B772,"DD/MM/YYYY")), IF(ISNUMBER(B772), B772, ""))</f>
        <v>45924</v>
      </c>
      <c r="D772" s="9" t="str">
        <f>IF(B772="","Missing", IF(AND(ISNUMBER(B772)=FALSE, C772=""),"Invalid - Could Not Parse", IF(AND(ISNUMBER(B772)=FALSE, C772&lt;&gt;""),"Text - Converted to Date", IF(ISNUMBER(B772),"Valid","Check"))))</f>
        <v>Text - Converted to Date</v>
      </c>
      <c r="E772" s="5">
        <f t="shared" si="98"/>
        <v>9</v>
      </c>
      <c r="F772" s="5">
        <f t="shared" si="99"/>
        <v>2025</v>
      </c>
      <c r="G772" s="3" t="s">
        <v>725</v>
      </c>
      <c r="H772" s="9">
        <f>IFERROR(DATEVALUE(TEXT(G772,"DD/MM/YYYY")), IF(ISNUMBER(G772), G772, ""))</f>
        <v>45926</v>
      </c>
      <c r="I772" s="9" t="str">
        <f>IF(G772="","Missing", IF(AND(ISNUMBER(G772)=FALSE, H772=""),"Invalid - Could Not Parse", IF(AND(ISNUMBER(G772)=FALSE, H772&lt;&gt;""),"Text - Converted to Date", IF(ISNUMBER(G772),"Valid","Check"))))</f>
        <v>Text - Converted to Date</v>
      </c>
      <c r="J772" s="9" t="str">
        <f>IF(OR(C772="", H772=""), "Cannot Check - Date Missing", IF(H772&lt;C772, "Invalid - Ship Before Order", "Valid"))</f>
        <v>Valid</v>
      </c>
      <c r="K772" s="5">
        <f>IF(OR(C772="", H772=""), "", IF(H772&lt;C772, "", H772-C772))</f>
        <v>2</v>
      </c>
      <c r="L772" s="3" t="s">
        <v>726</v>
      </c>
      <c r="M772" s="3" t="s">
        <v>142</v>
      </c>
      <c r="N772" s="4" t="str">
        <f>TRIM(SUBSTITUTE(M772,"_"," "))</f>
        <v>Priya Menon</v>
      </c>
      <c r="O772" s="3" t="s">
        <v>108</v>
      </c>
      <c r="P772" s="6" t="str">
        <f>PROPER(TRIM(SUBSTITUTE(O772,".","")))</f>
        <v>Corporate</v>
      </c>
      <c r="Q772" s="3" t="s">
        <v>27</v>
      </c>
      <c r="R772" s="7" t="str">
        <f>PROPER(TRIM(SUBSTITUTE(Q772,"  "," ")))</f>
        <v>North</v>
      </c>
      <c r="S772" s="3" t="s">
        <v>506</v>
      </c>
      <c r="T772" s="6" t="str">
        <f>PROPER(TRIM(SUBSTITUTE(S772,"  "," ")))</f>
        <v>Delhi</v>
      </c>
      <c r="U772" s="3" t="s">
        <v>507</v>
      </c>
      <c r="V772" s="6" t="str">
        <f>PROPER(TRIM(SUBSTITUTE(U772,"  "," ")))</f>
        <v>New Delhi</v>
      </c>
      <c r="W772" s="3" t="s">
        <v>86</v>
      </c>
      <c r="X772" s="6" t="str">
        <f>PROPER(TRIM(SUBSTITUTE(W772,"  "," ")))</f>
        <v>Technology</v>
      </c>
      <c r="Y772" s="3" t="s">
        <v>94</v>
      </c>
      <c r="Z772" s="6" t="str">
        <f>PROPER(TRIM(SUBSTITUTE(Y772,"  "," ")))</f>
        <v>Copiers</v>
      </c>
      <c r="AA772" s="3" t="s">
        <v>727</v>
      </c>
      <c r="AB772" s="3" t="s">
        <v>67</v>
      </c>
      <c r="AC772" s="6" t="str">
        <f>PROPER(TRIM(SUBSTITUTE(AB772,"  "," ")))</f>
        <v>Standard Class</v>
      </c>
      <c r="AD772" s="3">
        <v>3</v>
      </c>
      <c r="AE772" s="3">
        <v>1593.86</v>
      </c>
      <c r="AF772" s="3">
        <v>0.1</v>
      </c>
      <c r="AG772" s="17">
        <v>0.1</v>
      </c>
      <c r="AH772" s="6" t="str">
        <f t="shared" si="100"/>
        <v>Valid</v>
      </c>
      <c r="AI772" s="3">
        <v>4303.42</v>
      </c>
      <c r="AJ772" s="3">
        <v>2568.5700000000002</v>
      </c>
      <c r="AK772" s="3">
        <v>1734.85</v>
      </c>
      <c r="AL772" s="3" t="s">
        <v>34</v>
      </c>
      <c r="AM772" s="6" t="str">
        <f>PROPER(TRIM(SUBSTITUTE(AL772,".","")))</f>
        <v>Paid</v>
      </c>
      <c r="AN772" s="3" t="s">
        <v>35</v>
      </c>
      <c r="AO772" s="8" t="str">
        <f>PROPER(TRIM(SUBSTITUTE(AN772,".","")))</f>
        <v>Completed</v>
      </c>
      <c r="AP772" t="str">
        <f>IF(COUNTIF($A$2:$A$933, A772) &gt; 1, "Duplicate ID", "Unique")</f>
        <v>Unique</v>
      </c>
      <c r="AR772">
        <f t="shared" si="101"/>
        <v>4303.4220000000005</v>
      </c>
      <c r="AS772">
        <f t="shared" si="102"/>
        <v>1734.8520000000003</v>
      </c>
      <c r="AT772" s="15">
        <f t="shared" si="103"/>
        <v>0.40313313451481175</v>
      </c>
      <c r="AU772" t="str">
        <f t="shared" si="104"/>
        <v>Clean</v>
      </c>
      <c r="AV772" s="8" t="str">
        <f t="shared" si="105"/>
        <v>Active</v>
      </c>
    </row>
    <row r="773" spans="1:48">
      <c r="A773" s="3" t="s">
        <v>2068</v>
      </c>
      <c r="B773" s="3" t="s">
        <v>2069</v>
      </c>
      <c r="C773" s="9">
        <f>IFERROR(DATEVALUE(TEXT(B773,"DD/MM/YYYY")), IF(ISNUMBER(B773), B773, ""))</f>
        <v>45926</v>
      </c>
      <c r="D773" s="9" t="str">
        <f>IF(B773="","Missing", IF(AND(ISNUMBER(B773)=FALSE, C773=""),"Invalid - Could Not Parse", IF(AND(ISNUMBER(B773)=FALSE, C773&lt;&gt;""),"Text - Converted to Date", IF(ISNUMBER(B773),"Valid","Check"))))</f>
        <v>Text - Converted to Date</v>
      </c>
      <c r="E773" s="5">
        <f t="shared" si="98"/>
        <v>9</v>
      </c>
      <c r="F773" s="5">
        <f t="shared" si="99"/>
        <v>2025</v>
      </c>
      <c r="G773" s="3" t="s">
        <v>2070</v>
      </c>
      <c r="H773" s="9">
        <f>IFERROR(DATEVALUE(MID(G773,4,2) &amp; "/" &amp; LEFT(G773,2) &amp; "/" &amp; RIGHT(G773,4)), IF(ISNUMBER(G773), G773, IFERROR(DATEVALUE(G773), "")))</f>
        <v>45930</v>
      </c>
      <c r="I773" s="9" t="str">
        <f>IF(G773="","Missing", IF(AND(ISNUMBER(G773)=FALSE, H773=""),"Invalid - Could Not Parse", IF(AND(ISNUMBER(G773)=FALSE, H773&lt;&gt;""),"Text - Converted to Date", IF(ISNUMBER(G773),"Valid","Check"))))</f>
        <v>Text - Converted to Date</v>
      </c>
      <c r="J773" s="9" t="str">
        <f>IF(OR(C773="", H773=""), "Cannot Check - Date Missing", IF(H773&lt;C773, "Invalid - Ship Before Order", "Valid"))</f>
        <v>Valid</v>
      </c>
      <c r="K773" s="5">
        <f>IF(OR(C773="", H773=""), "", IF(H773&lt;C773, "", H773-C773))</f>
        <v>4</v>
      </c>
      <c r="L773" s="3" t="s">
        <v>2071</v>
      </c>
      <c r="M773" s="3" t="s">
        <v>168</v>
      </c>
      <c r="N773" s="4" t="str">
        <f>TRIM(SUBSTITUTE(M773,"_"," "))</f>
        <v>Sneha Kapoor</v>
      </c>
      <c r="O773" s="3" t="s">
        <v>115</v>
      </c>
      <c r="P773" s="6" t="str">
        <f>PROPER(TRIM(SUBSTITUTE(O773,".","")))</f>
        <v>Home Office</v>
      </c>
      <c r="Q773" s="3" t="s">
        <v>27</v>
      </c>
      <c r="R773" s="7" t="str">
        <f>PROPER(TRIM(SUBSTITUTE(Q773,"  "," ")))</f>
        <v>North</v>
      </c>
      <c r="S773" s="3" t="s">
        <v>323</v>
      </c>
      <c r="T773" s="6" t="str">
        <f>PROPER(TRIM(SUBSTITUTE(S773,"  "," ")))</f>
        <v>Haryana</v>
      </c>
      <c r="U773" s="3" t="s">
        <v>324</v>
      </c>
      <c r="V773" s="6" t="str">
        <f>PROPER(TRIM(SUBSTITUTE(U773,"  "," ")))</f>
        <v>Gurugram</v>
      </c>
      <c r="W773" s="3" t="s">
        <v>86</v>
      </c>
      <c r="X773" s="6" t="str">
        <f>PROPER(TRIM(SUBSTITUTE(W773,"  "," ")))</f>
        <v>Technology</v>
      </c>
      <c r="Y773" s="3" t="s">
        <v>223</v>
      </c>
      <c r="Z773" s="6" t="str">
        <f>PROPER(TRIM(SUBSTITUTE(Y773,"  "," ")))</f>
        <v>Phones</v>
      </c>
      <c r="AA773" s="3" t="s">
        <v>2072</v>
      </c>
      <c r="AB773" s="3" t="s">
        <v>48</v>
      </c>
      <c r="AC773" s="6" t="str">
        <f>PROPER(TRIM(SUBSTITUTE(AB773,"  "," ")))</f>
        <v>Same Day</v>
      </c>
      <c r="AD773" s="3">
        <v>2</v>
      </c>
      <c r="AE773" s="3">
        <v>688.83</v>
      </c>
      <c r="AF773" s="3">
        <v>0.05</v>
      </c>
      <c r="AG773" s="17">
        <v>0.05</v>
      </c>
      <c r="AH773" s="6" t="str">
        <f t="shared" si="100"/>
        <v>Valid</v>
      </c>
      <c r="AI773" s="3">
        <v>1308.78</v>
      </c>
      <c r="AJ773" s="3">
        <v>843</v>
      </c>
      <c r="AK773" s="3">
        <v>465.78</v>
      </c>
      <c r="AL773" s="3" t="s">
        <v>34</v>
      </c>
      <c r="AM773" s="6" t="str">
        <f>PROPER(TRIM(SUBSTITUTE(AL773,".","")))</f>
        <v>Paid</v>
      </c>
      <c r="AN773" s="3" t="s">
        <v>35</v>
      </c>
      <c r="AO773" s="8" t="str">
        <f>PROPER(TRIM(SUBSTITUTE(AN773,".","")))</f>
        <v>Completed</v>
      </c>
      <c r="AP773" t="str">
        <f>IF(COUNTIF($A$2:$A$933, A773) &gt; 1, "Duplicate ID", "Unique")</f>
        <v>Unique</v>
      </c>
      <c r="AR773">
        <f t="shared" si="101"/>
        <v>1308.777</v>
      </c>
      <c r="AS773">
        <f t="shared" si="102"/>
        <v>465.77700000000004</v>
      </c>
      <c r="AT773" s="15">
        <f t="shared" si="103"/>
        <v>0.35588721378813964</v>
      </c>
      <c r="AU773" t="str">
        <f t="shared" si="104"/>
        <v>Clean</v>
      </c>
      <c r="AV773" s="8" t="str">
        <f t="shared" si="105"/>
        <v>Active</v>
      </c>
    </row>
    <row r="774" spans="1:48">
      <c r="A774" s="3" t="s">
        <v>497</v>
      </c>
      <c r="B774" s="3" t="s">
        <v>498</v>
      </c>
      <c r="C774" s="9">
        <f>IFERROR(DATEVALUE(TEXT(B774,"DD/MM/YYYY")), IF(ISNUMBER(B774), B774, ""))</f>
        <v>45927</v>
      </c>
      <c r="D774" s="9" t="str">
        <f>IF(B774="","Missing", IF(AND(ISNUMBER(B774)=FALSE, C774=""),"Invalid - Could Not Parse", IF(AND(ISNUMBER(B774)=FALSE, C774&lt;&gt;""),"Text - Converted to Date", IF(ISNUMBER(B774),"Valid","Check"))))</f>
        <v>Text - Converted to Date</v>
      </c>
      <c r="E774" s="5">
        <f t="shared" si="98"/>
        <v>9</v>
      </c>
      <c r="F774" s="5">
        <f t="shared" si="99"/>
        <v>2025</v>
      </c>
      <c r="G774" s="3" t="s">
        <v>499</v>
      </c>
      <c r="H774" s="9">
        <f>IFERROR(DATEVALUE(TEXT(G774,"DD/MM/YYYY")), IF(ISNUMBER(G774), G774, ""))</f>
        <v>45933</v>
      </c>
      <c r="I774" s="9" t="str">
        <f>IF(G774="","Missing", IF(AND(ISNUMBER(G774)=FALSE, H774=""),"Invalid - Could Not Parse", IF(AND(ISNUMBER(G774)=FALSE, H774&lt;&gt;""),"Text - Converted to Date", IF(ISNUMBER(G774),"Valid","Check"))))</f>
        <v>Text - Converted to Date</v>
      </c>
      <c r="J774" s="9" t="str">
        <f>IF(OR(C774="", H774=""), "Cannot Check - Date Missing", IF(H774&lt;C774, "Invalid - Ship Before Order", "Valid"))</f>
        <v>Valid</v>
      </c>
      <c r="K774" s="5">
        <f>IF(OR(C774="", H774=""), "", IF(H774&lt;C774, "", H774-C774))</f>
        <v>6</v>
      </c>
      <c r="L774" s="3" t="s">
        <v>500</v>
      </c>
      <c r="M774" s="3" t="s">
        <v>210</v>
      </c>
      <c r="N774" s="4" t="str">
        <f>TRIM(SUBSTITUTE(M774,"_"," "))</f>
        <v>Diya Patel</v>
      </c>
      <c r="O774" s="3" t="s">
        <v>115</v>
      </c>
      <c r="P774" s="6" t="str">
        <f>PROPER(TRIM(SUBSTITUTE(O774,".","")))</f>
        <v>Home Office</v>
      </c>
      <c r="Q774" s="3" t="s">
        <v>62</v>
      </c>
      <c r="R774" s="7" t="str">
        <f>PROPER(TRIM(SUBSTITUTE(Q774,"  "," ")))</f>
        <v>South</v>
      </c>
      <c r="S774" s="3" t="s">
        <v>339</v>
      </c>
      <c r="T774" s="6" t="str">
        <f>PROPER(TRIM(SUBSTITUTE(S774,"  "," ")))</f>
        <v>Tamil Nadu</v>
      </c>
      <c r="U774" s="3" t="s">
        <v>340</v>
      </c>
      <c r="V774" s="6" t="str">
        <f>PROPER(TRIM(SUBSTITUTE(U774,"  "," ")))</f>
        <v>Chennai</v>
      </c>
      <c r="W774" s="3" t="s">
        <v>45</v>
      </c>
      <c r="X774" s="6" t="str">
        <f>PROPER(TRIM(SUBSTITUTE(W774,"  "," ")))</f>
        <v>Furniture</v>
      </c>
      <c r="Y774" s="3" t="s">
        <v>76</v>
      </c>
      <c r="Z774" s="6" t="str">
        <f>PROPER(TRIM(SUBSTITUTE(Y774,"  "," ")))</f>
        <v>Chairs</v>
      </c>
      <c r="AA774" s="3" t="s">
        <v>501</v>
      </c>
      <c r="AB774" s="3" t="s">
        <v>48</v>
      </c>
      <c r="AC774" s="6" t="str">
        <f>PROPER(TRIM(SUBSTITUTE(AB774,"  "," ")))</f>
        <v>Same Day</v>
      </c>
      <c r="AD774" s="3">
        <v>9</v>
      </c>
      <c r="AE774" s="3">
        <v>4131.5200000000004</v>
      </c>
      <c r="AF774" s="3">
        <v>0.1</v>
      </c>
      <c r="AG774" s="17">
        <v>0.1</v>
      </c>
      <c r="AH774" s="6" t="str">
        <f t="shared" si="100"/>
        <v>Valid</v>
      </c>
      <c r="AI774" s="3">
        <v>33465.31</v>
      </c>
      <c r="AJ774" s="3">
        <v>24781.26</v>
      </c>
      <c r="AK774" s="3">
        <v>8684.0499999999993</v>
      </c>
      <c r="AL774" s="3" t="s">
        <v>34</v>
      </c>
      <c r="AM774" s="6" t="str">
        <f>PROPER(TRIM(SUBSTITUTE(AL774,".","")))</f>
        <v>Paid</v>
      </c>
      <c r="AN774" s="3" t="s">
        <v>35</v>
      </c>
      <c r="AO774" s="8" t="str">
        <f>PROPER(TRIM(SUBSTITUTE(AN774,".","")))</f>
        <v>Completed</v>
      </c>
      <c r="AP774" t="str">
        <f>IF(COUNTIF($A$2:$A$933, A774) &gt; 1, "Duplicate ID", "Unique")</f>
        <v>Unique</v>
      </c>
      <c r="AR774">
        <f t="shared" si="101"/>
        <v>33465.312000000005</v>
      </c>
      <c r="AS774">
        <f t="shared" si="102"/>
        <v>8684.052000000007</v>
      </c>
      <c r="AT774" s="15">
        <f t="shared" si="103"/>
        <v>0.25949412932411942</v>
      </c>
      <c r="AU774" t="str">
        <f t="shared" si="104"/>
        <v>Clean</v>
      </c>
      <c r="AV774" s="8" t="str">
        <f t="shared" si="105"/>
        <v>Active</v>
      </c>
    </row>
    <row r="775" spans="1:48">
      <c r="A775" s="3" t="s">
        <v>1757</v>
      </c>
      <c r="B775" s="3" t="s">
        <v>1758</v>
      </c>
      <c r="C775" s="9">
        <f>IFERROR(DATEVALUE(TEXT(B775,"DD/MM/YYYY")), IF(ISNUMBER(B775), B775, ""))</f>
        <v>45927</v>
      </c>
      <c r="D775" s="9" t="str">
        <f>IF(B775="","Missing", IF(AND(ISNUMBER(B775)=FALSE, C775=""),"Invalid - Could Not Parse", IF(AND(ISNUMBER(B775)=FALSE, C775&lt;&gt;""),"Text - Converted to Date", IF(ISNUMBER(B775),"Valid","Check"))))</f>
        <v>Text - Converted to Date</v>
      </c>
      <c r="E775" s="5">
        <f t="shared" si="98"/>
        <v>9</v>
      </c>
      <c r="F775" s="5">
        <f t="shared" si="99"/>
        <v>2025</v>
      </c>
      <c r="G775" s="3" t="s">
        <v>747</v>
      </c>
      <c r="H775" s="9">
        <f>IFERROR(DATEVALUE(MID(G775,4,2) &amp; "/" &amp; LEFT(G775,2) &amp; "/" &amp; RIGHT(G775,4)), IF(ISNUMBER(G775), G775, IFERROR(DATEVALUE(G775), "")))</f>
        <v>45929</v>
      </c>
      <c r="I775" s="9" t="str">
        <f>IF(G775="","Missing", IF(AND(ISNUMBER(G775)=FALSE, H775=""),"Invalid - Could Not Parse", IF(AND(ISNUMBER(G775)=FALSE, H775&lt;&gt;""),"Text - Converted to Date", IF(ISNUMBER(G775),"Valid","Check"))))</f>
        <v>Text - Converted to Date</v>
      </c>
      <c r="J775" s="9" t="str">
        <f>IF(OR(C775="", H775=""), "Cannot Check - Date Missing", IF(H775&lt;C775, "Invalid - Ship Before Order", "Valid"))</f>
        <v>Valid</v>
      </c>
      <c r="K775" s="5">
        <f>IF(OR(C775="", H775=""), "", IF(H775&lt;C775, "", H775-C775))</f>
        <v>2</v>
      </c>
      <c r="L775" s="3" t="s">
        <v>1759</v>
      </c>
      <c r="M775" s="3" t="s">
        <v>366</v>
      </c>
      <c r="N775" s="4" t="str">
        <f>TRIM(SUBSTITUTE(M775,"_"," "))</f>
        <v>Kabir Singh</v>
      </c>
      <c r="O775" s="3" t="s">
        <v>115</v>
      </c>
      <c r="P775" s="6" t="str">
        <f>PROPER(TRIM(SUBSTITUTE(O775,".","")))</f>
        <v>Home Office</v>
      </c>
      <c r="Q775" s="3" t="s">
        <v>42</v>
      </c>
      <c r="R775" s="7" t="str">
        <f>PROPER(TRIM(SUBSTITUTE(Q775,"  "," ")))</f>
        <v>East</v>
      </c>
      <c r="S775" s="3" t="s">
        <v>311</v>
      </c>
      <c r="T775" s="6" t="str">
        <f>PROPER(TRIM(SUBSTITUTE(S775,"  "," ")))</f>
        <v>Jharkhand</v>
      </c>
      <c r="U775" s="3" t="s">
        <v>312</v>
      </c>
      <c r="V775" s="6" t="str">
        <f>PROPER(TRIM(SUBSTITUTE(U775,"  "," ")))</f>
        <v>Ranchi</v>
      </c>
      <c r="W775" s="3" t="s">
        <v>45</v>
      </c>
      <c r="X775" s="6" t="str">
        <f>PROPER(TRIM(SUBSTITUTE(W775,"  "," ")))</f>
        <v>Furniture</v>
      </c>
      <c r="Y775" s="3" t="s">
        <v>65</v>
      </c>
      <c r="Z775" s="6" t="str">
        <f>PROPER(TRIM(SUBSTITUTE(Y775,"  "," ")))</f>
        <v>Furnishings</v>
      </c>
      <c r="AA775" s="3" t="s">
        <v>1760</v>
      </c>
      <c r="AB775" s="3" t="s">
        <v>33</v>
      </c>
      <c r="AC775" s="6" t="str">
        <f>PROPER(TRIM(SUBSTITUTE(AB775,"  "," ")))</f>
        <v>Second Class</v>
      </c>
      <c r="AD775" s="3">
        <v>9</v>
      </c>
      <c r="AE775" s="3">
        <v>2867.55</v>
      </c>
      <c r="AF775" s="3">
        <v>0.25</v>
      </c>
      <c r="AG775" s="17">
        <v>0.25</v>
      </c>
      <c r="AH775" s="6" t="str">
        <f t="shared" si="100"/>
        <v>Valid</v>
      </c>
      <c r="AI775" s="3">
        <v>19355.96</v>
      </c>
      <c r="AJ775" s="3">
        <v>15012.45</v>
      </c>
      <c r="AK775" s="3">
        <v>4017.4</v>
      </c>
      <c r="AL775" s="3" t="s">
        <v>34</v>
      </c>
      <c r="AM775" s="6" t="str">
        <f>PROPER(TRIM(SUBSTITUTE(AL775,".","")))</f>
        <v>Paid</v>
      </c>
      <c r="AN775" s="3" t="s">
        <v>35</v>
      </c>
      <c r="AO775" s="8" t="str">
        <f>PROPER(TRIM(SUBSTITUTE(AN775,".","")))</f>
        <v>Completed</v>
      </c>
      <c r="AP775" t="str">
        <f>IF(COUNTIF($A$2:$A$933, A775) &gt; 1, "Duplicate ID", "Unique")</f>
        <v>Unique</v>
      </c>
      <c r="AR775">
        <f t="shared" si="101"/>
        <v>19355.962500000001</v>
      </c>
      <c r="AS775">
        <f t="shared" si="102"/>
        <v>4343.5125000000007</v>
      </c>
      <c r="AT775" s="15">
        <f t="shared" si="103"/>
        <v>0.22440178317146461</v>
      </c>
      <c r="AU775" t="str">
        <f t="shared" si="104"/>
        <v>Clean</v>
      </c>
      <c r="AV775" s="8" t="str">
        <f t="shared" si="105"/>
        <v>Active</v>
      </c>
    </row>
    <row r="776" spans="1:48">
      <c r="A776" s="3" t="s">
        <v>3837</v>
      </c>
      <c r="B776" s="3" t="s">
        <v>498</v>
      </c>
      <c r="C776" s="9">
        <f>IFERROR(DATEVALUE(TEXT(B776,"DD/MM/YYYY")), IF(ISNUMBER(B776), B776, ""))</f>
        <v>45927</v>
      </c>
      <c r="D776" s="9" t="str">
        <f>IF(B776="","Missing", IF(AND(ISNUMBER(B776)=FALSE, C776=""),"Invalid - Could Not Parse", IF(AND(ISNUMBER(B776)=FALSE, C776&lt;&gt;""),"Text - Converted to Date", IF(ISNUMBER(B776),"Valid","Check"))))</f>
        <v>Text - Converted to Date</v>
      </c>
      <c r="E776" s="5">
        <f t="shared" si="98"/>
        <v>9</v>
      </c>
      <c r="F776" s="5">
        <f t="shared" si="99"/>
        <v>2025</v>
      </c>
      <c r="G776" s="3" t="s">
        <v>3838</v>
      </c>
      <c r="H776" s="9">
        <f>IFERROR(DATEVALUE(MID(G776,4,2) &amp; "/" &amp; LEFT(G776,2) &amp; "/" &amp; RIGHT(G776,4)), IF(ISNUMBER(G776), G776, IFERROR(DATEVALUE(G776), "")))</f>
        <v>45928</v>
      </c>
      <c r="I776" s="9" t="str">
        <f>IF(G776="","Missing", IF(AND(ISNUMBER(G776)=FALSE, H776=""),"Invalid - Could Not Parse", IF(AND(ISNUMBER(G776)=FALSE, H776&lt;&gt;""),"Text - Converted to Date", IF(ISNUMBER(G776),"Valid","Check"))))</f>
        <v>Text - Converted to Date</v>
      </c>
      <c r="J776" s="9" t="str">
        <f>IF(OR(C776="", H776=""), "Cannot Check - Date Missing", IF(H776&lt;C776, "Invalid - Ship Before Order", "Valid"))</f>
        <v>Valid</v>
      </c>
      <c r="K776" s="5">
        <f>IF(OR(C776="", H776=""), "", IF(H776&lt;C776, "", H776-C776))</f>
        <v>1</v>
      </c>
      <c r="L776" s="3" t="s">
        <v>3839</v>
      </c>
      <c r="M776" s="3" t="s">
        <v>25</v>
      </c>
      <c r="N776" s="4" t="str">
        <f>TRIM(SUBSTITUTE(M776,"_"," "))</f>
        <v>Karan Malhotra</v>
      </c>
      <c r="O776" s="3" t="s">
        <v>115</v>
      </c>
      <c r="P776" s="6" t="str">
        <f>PROPER(TRIM(SUBSTITUTE(O776,".","")))</f>
        <v>Home Office</v>
      </c>
      <c r="Q776" s="3" t="s">
        <v>73</v>
      </c>
      <c r="R776" s="7" t="str">
        <f>PROPER(TRIM(SUBSTITUTE(Q776,"  "," ")))</f>
        <v>West</v>
      </c>
      <c r="S776" s="3" t="s">
        <v>74</v>
      </c>
      <c r="T776" s="6" t="str">
        <f>PROPER(TRIM(SUBSTITUTE(S776,"  "," ")))</f>
        <v>Maharashtra</v>
      </c>
      <c r="U776" s="3" t="s">
        <v>75</v>
      </c>
      <c r="V776" s="6" t="str">
        <f>PROPER(TRIM(SUBSTITUTE(U776,"  "," ")))</f>
        <v>Mumbai</v>
      </c>
      <c r="W776" s="3" t="s">
        <v>30</v>
      </c>
      <c r="X776" s="6" t="str">
        <f>PROPER(TRIM(SUBSTITUTE(W776,"  "," ")))</f>
        <v>Office Supplies</v>
      </c>
      <c r="Y776" s="3" t="s">
        <v>31</v>
      </c>
      <c r="Z776" s="6" t="str">
        <f>PROPER(TRIM(SUBSTITUTE(Y776,"  "," ")))</f>
        <v>Paper</v>
      </c>
      <c r="AA776" s="3" t="s">
        <v>3840</v>
      </c>
      <c r="AB776" s="3" t="s">
        <v>56</v>
      </c>
      <c r="AC776" s="6" t="str">
        <f>PROPER(TRIM(SUBSTITUTE(AB776,"  "," ")))</f>
        <v>First Class</v>
      </c>
      <c r="AD776" s="3">
        <v>3</v>
      </c>
      <c r="AE776" s="3">
        <v>4177.63</v>
      </c>
      <c r="AF776" s="3">
        <v>0.25</v>
      </c>
      <c r="AG776" s="17">
        <v>0.25</v>
      </c>
      <c r="AH776" s="6" t="str">
        <f t="shared" si="100"/>
        <v>Valid</v>
      </c>
      <c r="AI776" s="3">
        <v>9399.67</v>
      </c>
      <c r="AJ776" s="3">
        <v>6540.37</v>
      </c>
      <c r="AK776" s="3">
        <v>2859.3</v>
      </c>
      <c r="AL776" s="3" t="s">
        <v>34</v>
      </c>
      <c r="AM776" s="6" t="str">
        <f>PROPER(TRIM(SUBSTITUTE(AL776,".","")))</f>
        <v>Paid</v>
      </c>
      <c r="AN776" s="3" t="s">
        <v>35</v>
      </c>
      <c r="AO776" s="8" t="str">
        <f>PROPER(TRIM(SUBSTITUTE(AN776,".","")))</f>
        <v>Completed</v>
      </c>
      <c r="AP776" t="str">
        <f>IF(COUNTIF($A$2:$A$933, A776) &gt; 1, "Duplicate ID", "Unique")</f>
        <v>Unique</v>
      </c>
      <c r="AR776">
        <f t="shared" si="101"/>
        <v>9399.6674999999996</v>
      </c>
      <c r="AS776">
        <f t="shared" si="102"/>
        <v>2859.2974999999997</v>
      </c>
      <c r="AT776" s="15">
        <f t="shared" si="103"/>
        <v>0.30419134506619516</v>
      </c>
      <c r="AU776" t="str">
        <f t="shared" si="104"/>
        <v>Clean</v>
      </c>
      <c r="AV776" s="8" t="str">
        <f t="shared" si="105"/>
        <v>Active</v>
      </c>
    </row>
    <row r="777" spans="1:48">
      <c r="A777" s="3" t="s">
        <v>953</v>
      </c>
      <c r="B777" s="3" t="s">
        <v>954</v>
      </c>
      <c r="C777" s="9">
        <f>IFERROR(DATEVALUE(TEXT(B777,"DD/MM/YYYY")), IF(ISNUMBER(B777), B777, ""))</f>
        <v>45928</v>
      </c>
      <c r="D777" s="9" t="str">
        <f>IF(B777="","Missing", IF(AND(ISNUMBER(B777)=FALSE, C777=""),"Invalid - Could Not Parse", IF(AND(ISNUMBER(B777)=FALSE, C777&lt;&gt;""),"Text - Converted to Date", IF(ISNUMBER(B777),"Valid","Check"))))</f>
        <v>Text - Converted to Date</v>
      </c>
      <c r="E777" s="5">
        <f t="shared" si="98"/>
        <v>9</v>
      </c>
      <c r="F777" s="5">
        <f t="shared" si="99"/>
        <v>2025</v>
      </c>
      <c r="G777" s="3" t="s">
        <v>955</v>
      </c>
      <c r="H777" s="9">
        <f>IFERROR(DATEVALUE(TEXT(G777,"DD/MM/YYYY")), IF(ISNUMBER(G777), G777, ""))</f>
        <v>45934</v>
      </c>
      <c r="I777" s="9" t="str">
        <f>IF(G777="","Missing", IF(AND(ISNUMBER(G777)=FALSE, H777=""),"Invalid - Could Not Parse", IF(AND(ISNUMBER(G777)=FALSE, H777&lt;&gt;""),"Text - Converted to Date", IF(ISNUMBER(G777),"Valid","Check"))))</f>
        <v>Text - Converted to Date</v>
      </c>
      <c r="J777" s="9" t="str">
        <f>IF(OR(C777="", H777=""), "Cannot Check - Date Missing", IF(H777&lt;C777, "Invalid - Ship Before Order", "Valid"))</f>
        <v>Valid</v>
      </c>
      <c r="K777" s="5">
        <f>IF(OR(C777="", H777=""), "", IF(H777&lt;C777, "", H777-C777))</f>
        <v>6</v>
      </c>
      <c r="L777" s="3" t="s">
        <v>956</v>
      </c>
      <c r="M777" s="3" t="s">
        <v>25</v>
      </c>
      <c r="N777" s="4" t="str">
        <f>TRIM(SUBSTITUTE(M777,"_"," "))</f>
        <v>Karan Malhotra</v>
      </c>
      <c r="O777" s="3" t="s">
        <v>41</v>
      </c>
      <c r="P777" s="6" t="str">
        <f>PROPER(TRIM(SUBSTITUTE(O777,".","")))</f>
        <v>Small Business</v>
      </c>
      <c r="Q777" s="3" t="s">
        <v>62</v>
      </c>
      <c r="R777" s="7" t="str">
        <f>PROPER(TRIM(SUBSTITUTE(Q777,"  "," ")))</f>
        <v>South</v>
      </c>
      <c r="S777" s="3" t="s">
        <v>229</v>
      </c>
      <c r="T777" s="6" t="str">
        <f>PROPER(TRIM(SUBSTITUTE(S777,"  "," ")))</f>
        <v>Karnataka</v>
      </c>
      <c r="U777" s="3" t="s">
        <v>230</v>
      </c>
      <c r="V777" s="6" t="str">
        <f>PROPER(TRIM(SUBSTITUTE(U777,"  "," ")))</f>
        <v>Bengaluru</v>
      </c>
      <c r="W777" s="3" t="s">
        <v>45</v>
      </c>
      <c r="X777" s="6" t="str">
        <f>PROPER(TRIM(SUBSTITUTE(W777,"  "," ")))</f>
        <v>Furniture</v>
      </c>
      <c r="Y777" s="3" t="s">
        <v>204</v>
      </c>
      <c r="Z777" s="6" t="str">
        <f>PROPER(TRIM(SUBSTITUTE(Y777,"  "," ")))</f>
        <v>Bookcases</v>
      </c>
      <c r="AA777" s="3" t="s">
        <v>957</v>
      </c>
      <c r="AB777" s="3" t="s">
        <v>56</v>
      </c>
      <c r="AC777" s="6" t="str">
        <f>PROPER(TRIM(SUBSTITUTE(AB777,"  "," ")))</f>
        <v>First Class</v>
      </c>
      <c r="AD777" s="3">
        <v>6</v>
      </c>
      <c r="AE777" s="3">
        <v>1620.53</v>
      </c>
      <c r="AF777" s="3">
        <v>0.15</v>
      </c>
      <c r="AG777" s="17">
        <v>0.15</v>
      </c>
      <c r="AH777" s="6" t="str">
        <f t="shared" si="100"/>
        <v>Valid</v>
      </c>
      <c r="AI777" s="3">
        <v>8264.7000000000007</v>
      </c>
      <c r="AJ777" s="3">
        <v>4768.75</v>
      </c>
      <c r="AK777" s="3">
        <v>3495.95</v>
      </c>
      <c r="AL777" s="3" t="s">
        <v>137</v>
      </c>
      <c r="AM777" s="6" t="str">
        <f>PROPER(TRIM(SUBSTITUTE(AL777,".","")))</f>
        <v>Pending</v>
      </c>
      <c r="AN777" s="3" t="s">
        <v>125</v>
      </c>
      <c r="AO777" s="8" t="str">
        <f>PROPER(TRIM(SUBSTITUTE(AN777,".","")))</f>
        <v>Returned</v>
      </c>
      <c r="AP777" t="str">
        <f>IF(COUNTIF($A$2:$A$933, A777) &gt; 1, "Duplicate ID", "Unique")</f>
        <v>Unique</v>
      </c>
      <c r="AR777">
        <f t="shared" si="101"/>
        <v>8264.7029999999995</v>
      </c>
      <c r="AS777">
        <f t="shared" si="102"/>
        <v>3495.9529999999995</v>
      </c>
      <c r="AT777" s="15">
        <f t="shared" si="103"/>
        <v>0.42299801940856191</v>
      </c>
      <c r="AU777" t="str">
        <f t="shared" si="104"/>
        <v>Clean</v>
      </c>
      <c r="AV777" s="8" t="str">
        <f t="shared" si="105"/>
        <v>Active</v>
      </c>
    </row>
    <row r="778" spans="1:48">
      <c r="A778" s="3" t="s">
        <v>225</v>
      </c>
      <c r="B778" s="3" t="s">
        <v>226</v>
      </c>
      <c r="C778" s="9">
        <f>IFERROR(DATEVALUE(TEXT(B778,"DD/MM/YYYY")), IF(ISNUMBER(B778), B778, ""))</f>
        <v>45929</v>
      </c>
      <c r="D778" s="9" t="str">
        <f>IF(B778="","Missing", IF(AND(ISNUMBER(B778)=FALSE, C778=""),"Invalid - Could Not Parse", IF(AND(ISNUMBER(B778)=FALSE, C778&lt;&gt;""),"Text - Converted to Date", IF(ISNUMBER(B778),"Valid","Check"))))</f>
        <v>Text - Converted to Date</v>
      </c>
      <c r="E778" s="5">
        <f t="shared" si="98"/>
        <v>9</v>
      </c>
      <c r="F778" s="5">
        <f t="shared" si="99"/>
        <v>2025</v>
      </c>
      <c r="G778" s="3" t="s">
        <v>227</v>
      </c>
      <c r="H778" s="9">
        <f>IFERROR(DATEVALUE(TEXT(G778,"DD/MM/YYYY")), IF(ISNUMBER(G778), G778, ""))</f>
        <v>45935</v>
      </c>
      <c r="I778" s="9" t="str">
        <f>IF(G778="","Missing", IF(AND(ISNUMBER(G778)=FALSE, H778=""),"Invalid - Could Not Parse", IF(AND(ISNUMBER(G778)=FALSE, H778&lt;&gt;""),"Text - Converted to Date", IF(ISNUMBER(G778),"Valid","Check"))))</f>
        <v>Text - Converted to Date</v>
      </c>
      <c r="J778" s="9" t="str">
        <f>IF(OR(C778="", H778=""), "Cannot Check - Date Missing", IF(H778&lt;C778, "Invalid - Ship Before Order", "Valid"))</f>
        <v>Valid</v>
      </c>
      <c r="K778" s="5">
        <f>IF(OR(C778="", H778=""), "", IF(H778&lt;C778, "", H778-C778))</f>
        <v>6</v>
      </c>
      <c r="L778" s="3" t="s">
        <v>228</v>
      </c>
      <c r="M778" s="3" t="s">
        <v>61</v>
      </c>
      <c r="N778" s="4" t="str">
        <f>TRIM(SUBSTITUTE(M778,"_"," "))</f>
        <v>Arjun Bose</v>
      </c>
      <c r="O778" s="3" t="s">
        <v>41</v>
      </c>
      <c r="P778" s="6" t="str">
        <f>PROPER(TRIM(SUBSTITUTE(O778,".","")))</f>
        <v>Small Business</v>
      </c>
      <c r="Q778" s="3" t="s">
        <v>62</v>
      </c>
      <c r="R778" s="7" t="str">
        <f>PROPER(TRIM(SUBSTITUTE(Q778,"  "," ")))</f>
        <v>South</v>
      </c>
      <c r="S778" s="3" t="s">
        <v>229</v>
      </c>
      <c r="T778" s="6" t="str">
        <f>PROPER(TRIM(SUBSTITUTE(S778,"  "," ")))</f>
        <v>Karnataka</v>
      </c>
      <c r="U778" s="3" t="s">
        <v>230</v>
      </c>
      <c r="V778" s="6" t="str">
        <f>PROPER(TRIM(SUBSTITUTE(U778,"  "," ")))</f>
        <v>Bengaluru</v>
      </c>
      <c r="W778" s="3" t="s">
        <v>30</v>
      </c>
      <c r="X778" s="6" t="str">
        <f>PROPER(TRIM(SUBSTITUTE(W778,"  "," ")))</f>
        <v>Office Supplies</v>
      </c>
      <c r="Y778" s="3" t="s">
        <v>31</v>
      </c>
      <c r="Z778" s="6" t="str">
        <f>PROPER(TRIM(SUBSTITUTE(Y778,"  "," ")))</f>
        <v>Paper</v>
      </c>
      <c r="AA778" s="3" t="s">
        <v>231</v>
      </c>
      <c r="AB778" s="3" t="s">
        <v>33</v>
      </c>
      <c r="AC778" s="6" t="str">
        <f>PROPER(TRIM(SUBSTITUTE(AB778,"  "," ")))</f>
        <v>Second Class</v>
      </c>
      <c r="AD778" s="3">
        <v>5</v>
      </c>
      <c r="AE778" s="3">
        <v>1806.51</v>
      </c>
      <c r="AF778" s="3">
        <v>0.25</v>
      </c>
      <c r="AG778" s="17">
        <v>0.25</v>
      </c>
      <c r="AH778" s="6" t="str">
        <f t="shared" si="100"/>
        <v>Valid</v>
      </c>
      <c r="AI778" s="3">
        <v>6774.41</v>
      </c>
      <c r="AJ778" s="3">
        <v>4710.3599999999997</v>
      </c>
      <c r="AK778" s="3">
        <v>2064.0500000000002</v>
      </c>
      <c r="AL778" s="3" t="s">
        <v>200</v>
      </c>
      <c r="AM778" s="6" t="str">
        <f>PROPER(TRIM(SUBSTITUTE(AL778,".","")))</f>
        <v>Failed</v>
      </c>
      <c r="AN778" s="3" t="s">
        <v>125</v>
      </c>
      <c r="AO778" s="8" t="str">
        <f>PROPER(TRIM(SUBSTITUTE(AN778,".","")))</f>
        <v>Returned</v>
      </c>
      <c r="AP778" t="str">
        <f>IF(COUNTIF($A$2:$A$933, A778) &gt; 1, "Duplicate ID", "Unique")</f>
        <v>Unique</v>
      </c>
      <c r="AR778">
        <f t="shared" si="101"/>
        <v>6774.4124999999995</v>
      </c>
      <c r="AS778">
        <f t="shared" si="102"/>
        <v>2064.0524999999998</v>
      </c>
      <c r="AT778" s="15">
        <f t="shared" si="103"/>
        <v>0.30468361647596748</v>
      </c>
      <c r="AU778" t="str">
        <f t="shared" si="104"/>
        <v>Clean</v>
      </c>
      <c r="AV778" s="8" t="str">
        <f t="shared" si="105"/>
        <v>Active</v>
      </c>
    </row>
    <row r="779" spans="1:48">
      <c r="A779" s="3" t="s">
        <v>746</v>
      </c>
      <c r="B779" s="3" t="s">
        <v>747</v>
      </c>
      <c r="C779" s="9">
        <v>45929</v>
      </c>
      <c r="D779" s="9" t="str">
        <f>IF(B779="","Missing", IF(AND(ISNUMBER(B779)=FALSE, C779=""),"Invalid - Could Not Parse", IF(AND(ISNUMBER(B779)=FALSE, C779&lt;&gt;""),"Text - Converted to Date", IF(ISNUMBER(B779),"Valid","Check"))))</f>
        <v>Text - Converted to Date</v>
      </c>
      <c r="E779" s="5">
        <f t="shared" si="98"/>
        <v>9</v>
      </c>
      <c r="F779" s="5">
        <f t="shared" si="99"/>
        <v>2025</v>
      </c>
      <c r="G779" s="3" t="s">
        <v>748</v>
      </c>
      <c r="H779" s="9">
        <f>IFERROR(DATEVALUE(TEXT(G779,"DD/MM/YYYY")), IF(ISNUMBER(G779), G779, ""))</f>
        <v>45934</v>
      </c>
      <c r="I779" s="9" t="str">
        <f>IF(G779="","Missing", IF(AND(ISNUMBER(G779)=FALSE, H779=""),"Invalid - Could Not Parse", IF(AND(ISNUMBER(G779)=FALSE, H779&lt;&gt;""),"Text - Converted to Date", IF(ISNUMBER(G779),"Valid","Check"))))</f>
        <v>Text - Converted to Date</v>
      </c>
      <c r="J779" s="9" t="str">
        <f>IF(OR(C779="", H779=""), "Cannot Check - Date Missing", IF(H779&lt;C779, "Invalid - Ship Before Order", "Valid"))</f>
        <v>Valid</v>
      </c>
      <c r="K779" s="5">
        <f>IF(OR(C779="", H779=""), "", IF(H779&lt;C779, "", H779-C779))</f>
        <v>5</v>
      </c>
      <c r="L779" s="3" t="s">
        <v>749</v>
      </c>
      <c r="M779" s="3" t="s">
        <v>72</v>
      </c>
      <c r="N779" s="4" t="str">
        <f>TRIM(SUBSTITUTE(M779,"_"," "))</f>
        <v>Ananya Rao</v>
      </c>
      <c r="O779" s="3" t="s">
        <v>115</v>
      </c>
      <c r="P779" s="6" t="str">
        <f>PROPER(TRIM(SUBSTITUTE(O779,".","")))</f>
        <v>Home Office</v>
      </c>
      <c r="Q779" s="3" t="s">
        <v>42</v>
      </c>
      <c r="R779" s="7" t="str">
        <f>PROPER(TRIM(SUBSTITUTE(Q779,"  "," ")))</f>
        <v>East</v>
      </c>
      <c r="S779" s="3" t="s">
        <v>311</v>
      </c>
      <c r="T779" s="6" t="str">
        <f>PROPER(TRIM(SUBSTITUTE(S779,"  "," ")))</f>
        <v>Jharkhand</v>
      </c>
      <c r="U779" s="3" t="s">
        <v>312</v>
      </c>
      <c r="V779" s="6" t="str">
        <f>PROPER(TRIM(SUBSTITUTE(U779,"  "," ")))</f>
        <v>Ranchi</v>
      </c>
      <c r="W779" s="3" t="s">
        <v>30</v>
      </c>
      <c r="X779" s="6" t="str">
        <f>PROPER(TRIM(SUBSTITUTE(W779,"  "," ")))</f>
        <v>Office Supplies</v>
      </c>
      <c r="Y779" s="3" t="s">
        <v>31</v>
      </c>
      <c r="Z779" s="6" t="str">
        <f>PROPER(TRIM(SUBSTITUTE(Y779,"  "," ")))</f>
        <v>Paper</v>
      </c>
      <c r="AA779" s="3" t="s">
        <v>750</v>
      </c>
      <c r="AB779" s="3" t="s">
        <v>48</v>
      </c>
      <c r="AC779" s="6" t="str">
        <f>PROPER(TRIM(SUBSTITUTE(AB779,"  "," ")))</f>
        <v>Same Day</v>
      </c>
      <c r="AD779" s="3">
        <v>9</v>
      </c>
      <c r="AE779" s="3">
        <v>373.91</v>
      </c>
      <c r="AF779" s="3">
        <v>0.2</v>
      </c>
      <c r="AG779" s="17">
        <v>0.2</v>
      </c>
      <c r="AH779" s="6" t="str">
        <f t="shared" si="100"/>
        <v>Valid</v>
      </c>
      <c r="AI779" s="3">
        <v>2692.15</v>
      </c>
      <c r="AJ779" s="3">
        <v>2044.49</v>
      </c>
      <c r="AK779" s="3">
        <v>647.66</v>
      </c>
      <c r="AL779" s="3" t="s">
        <v>34</v>
      </c>
      <c r="AM779" s="6" t="str">
        <f>PROPER(TRIM(SUBSTITUTE(AL779,".","")))</f>
        <v>Paid</v>
      </c>
      <c r="AN779" s="3" t="s">
        <v>35</v>
      </c>
      <c r="AO779" s="8" t="str">
        <f>PROPER(TRIM(SUBSTITUTE(AN779,".","")))</f>
        <v>Completed</v>
      </c>
      <c r="AP779" t="str">
        <f>IF(COUNTIF($A$2:$A$933, A779) &gt; 1, "Duplicate ID", "Unique")</f>
        <v>Unique</v>
      </c>
      <c r="AR779">
        <f t="shared" si="101"/>
        <v>2692.152</v>
      </c>
      <c r="AS779">
        <f t="shared" si="102"/>
        <v>647.66200000000003</v>
      </c>
      <c r="AT779" s="15">
        <f t="shared" si="103"/>
        <v>0.24057408348414205</v>
      </c>
      <c r="AU779" t="str">
        <f t="shared" si="104"/>
        <v>Clean</v>
      </c>
      <c r="AV779" s="8" t="str">
        <f t="shared" si="105"/>
        <v>Active</v>
      </c>
    </row>
    <row r="780" spans="1:48">
      <c r="A780" s="3" t="s">
        <v>2256</v>
      </c>
      <c r="B780" s="3" t="s">
        <v>2257</v>
      </c>
      <c r="C780" s="9">
        <f>IFERROR(DATEVALUE(TEXT(B780,"DD/MM/YYYY")), IF(ISNUMBER(B780), B780, ""))</f>
        <v>45930</v>
      </c>
      <c r="D780" s="9" t="str">
        <f>IF(B780="","Missing", IF(AND(ISNUMBER(B780)=FALSE, C780=""),"Invalid - Could Not Parse", IF(AND(ISNUMBER(B780)=FALSE, C780&lt;&gt;""),"Text - Converted to Date", IF(ISNUMBER(B780),"Valid","Check"))))</f>
        <v>Text - Converted to Date</v>
      </c>
      <c r="E780" s="5">
        <f t="shared" si="98"/>
        <v>9</v>
      </c>
      <c r="F780" s="5">
        <f t="shared" si="99"/>
        <v>2025</v>
      </c>
      <c r="G780" s="3" t="s">
        <v>2258</v>
      </c>
      <c r="H780" s="9">
        <f>IFERROR(DATEVALUE(TEXT(G780,"DD/MM/YYYY")), IF(ISNUMBER(G780), G780, ""))</f>
        <v>45936</v>
      </c>
      <c r="I780" s="9" t="str">
        <f>IF(G780="","Missing", IF(AND(ISNUMBER(G780)=FALSE, H780=""),"Invalid - Could Not Parse", IF(AND(ISNUMBER(G780)=FALSE, H780&lt;&gt;""),"Text - Converted to Date", IF(ISNUMBER(G780),"Valid","Check"))))</f>
        <v>Text - Converted to Date</v>
      </c>
      <c r="J780" s="9" t="str">
        <f>IF(OR(C780="", H780=""), "Cannot Check - Date Missing", IF(H780&lt;C780, "Invalid - Ship Before Order", "Valid"))</f>
        <v>Valid</v>
      </c>
      <c r="K780" s="5">
        <f>IF(OR(C780="", H780=""), "", IF(H780&lt;C780, "", H780-C780))</f>
        <v>6</v>
      </c>
      <c r="L780" s="3" t="s">
        <v>2259</v>
      </c>
      <c r="M780" s="3" t="s">
        <v>162</v>
      </c>
      <c r="N780" s="4" t="str">
        <f>TRIM(SUBSTITUTE(M780,"_"," "))</f>
        <v>Aarav Sharma</v>
      </c>
      <c r="O780" s="3" t="s">
        <v>108</v>
      </c>
      <c r="P780" s="6" t="str">
        <f>PROPER(TRIM(SUBSTITUTE(O780,".","")))</f>
        <v>Corporate</v>
      </c>
      <c r="Q780" s="3"/>
      <c r="R780" s="6" t="str">
        <f>IF(ISBLANK(Q780), "Unknown", Q780)</f>
        <v>Unknown</v>
      </c>
      <c r="S780" s="3" t="s">
        <v>28</v>
      </c>
      <c r="T780" s="6" t="str">
        <f>PROPER(TRIM(SUBSTITUTE(S780,"  "," ")))</f>
        <v>Rajasthan</v>
      </c>
      <c r="U780" s="3" t="s">
        <v>29</v>
      </c>
      <c r="V780" s="6" t="str">
        <f>PROPER(TRIM(SUBSTITUTE(U780,"  "," ")))</f>
        <v>Jaipur</v>
      </c>
      <c r="W780" s="3" t="s">
        <v>86</v>
      </c>
      <c r="X780" s="6" t="str">
        <f>PROPER(TRIM(SUBSTITUTE(W780,"  "," ")))</f>
        <v>Technology</v>
      </c>
      <c r="Y780" s="3" t="s">
        <v>94</v>
      </c>
      <c r="Z780" s="6" t="str">
        <f>PROPER(TRIM(SUBSTITUTE(Y780,"  "," ")))</f>
        <v>Copiers</v>
      </c>
      <c r="AA780" s="3" t="s">
        <v>2260</v>
      </c>
      <c r="AB780" s="3" t="s">
        <v>33</v>
      </c>
      <c r="AC780" s="6" t="str">
        <f>PROPER(TRIM(SUBSTITUTE(AB780,"  "," ")))</f>
        <v>Second Class</v>
      </c>
      <c r="AD780" s="3">
        <v>9</v>
      </c>
      <c r="AE780" s="3">
        <v>1359.88</v>
      </c>
      <c r="AF780" s="3">
        <v>0.05</v>
      </c>
      <c r="AG780" s="17">
        <v>0.05</v>
      </c>
      <c r="AH780" s="6" t="str">
        <f t="shared" si="100"/>
        <v>Valid</v>
      </c>
      <c r="AI780" s="3">
        <v>11626.97</v>
      </c>
      <c r="AJ780" s="3">
        <v>7394.07</v>
      </c>
      <c r="AK780" s="3">
        <v>4232.8999999999996</v>
      </c>
      <c r="AL780" s="3" t="s">
        <v>34</v>
      </c>
      <c r="AM780" s="6" t="str">
        <f>PROPER(TRIM(SUBSTITUTE(AL780,".","")))</f>
        <v>Paid</v>
      </c>
      <c r="AN780" s="3" t="s">
        <v>35</v>
      </c>
      <c r="AO780" s="8" t="str">
        <f>PROPER(TRIM(SUBSTITUTE(AN780,".","")))</f>
        <v>Completed</v>
      </c>
      <c r="AP780" t="str">
        <f>IF(COUNTIF($A$2:$A$933, A780) &gt; 1, "Duplicate ID", "Unique")</f>
        <v>Unique</v>
      </c>
      <c r="AR780">
        <f t="shared" si="101"/>
        <v>11626.974000000002</v>
      </c>
      <c r="AS780">
        <f t="shared" si="102"/>
        <v>4232.9040000000023</v>
      </c>
      <c r="AT780" s="15">
        <f t="shared" si="103"/>
        <v>0.36405895463428417</v>
      </c>
      <c r="AU780" t="str">
        <f t="shared" si="104"/>
        <v>Clean</v>
      </c>
      <c r="AV780" s="8" t="str">
        <f t="shared" si="105"/>
        <v>Active</v>
      </c>
    </row>
    <row r="781" spans="1:48">
      <c r="A781" s="3" t="s">
        <v>2691</v>
      </c>
      <c r="B781" s="3" t="s">
        <v>2257</v>
      </c>
      <c r="C781" s="9">
        <f>IFERROR(DATEVALUE(TEXT(B781,"DD/MM/YYYY")), IF(ISNUMBER(B781), B781, ""))</f>
        <v>45930</v>
      </c>
      <c r="D781" s="9" t="str">
        <f>IF(B781="","Missing", IF(AND(ISNUMBER(B781)=FALSE, C781=""),"Invalid - Could Not Parse", IF(AND(ISNUMBER(B781)=FALSE, C781&lt;&gt;""),"Text - Converted to Date", IF(ISNUMBER(B781),"Valid","Check"))))</f>
        <v>Text - Converted to Date</v>
      </c>
      <c r="E781" s="5">
        <f t="shared" si="98"/>
        <v>9</v>
      </c>
      <c r="F781" s="5">
        <f t="shared" si="99"/>
        <v>2025</v>
      </c>
      <c r="G781" s="3" t="s">
        <v>2692</v>
      </c>
      <c r="H781" s="9">
        <f>IFERROR(DATEVALUE(TEXT(G781,"DD/MM/YYYY")), IF(ISNUMBER(G781), G781, ""))</f>
        <v>45937</v>
      </c>
      <c r="I781" s="9" t="str">
        <f>IF(G781="","Missing", IF(AND(ISNUMBER(G781)=FALSE, H781=""),"Invalid - Could Not Parse", IF(AND(ISNUMBER(G781)=FALSE, H781&lt;&gt;""),"Text - Converted to Date", IF(ISNUMBER(G781),"Valid","Check"))))</f>
        <v>Text - Converted to Date</v>
      </c>
      <c r="J781" s="9" t="str">
        <f>IF(OR(C781="", H781=""), "Cannot Check - Date Missing", IF(H781&lt;C781, "Invalid - Ship Before Order", "Valid"))</f>
        <v>Valid</v>
      </c>
      <c r="K781" s="5">
        <f>IF(OR(C781="", H781=""), "", IF(H781&lt;C781, "", H781-C781))</f>
        <v>7</v>
      </c>
      <c r="L781" s="3" t="s">
        <v>2693</v>
      </c>
      <c r="M781" s="3" t="s">
        <v>210</v>
      </c>
      <c r="N781" s="4" t="str">
        <f>TRIM(SUBSTITUTE(M781,"_"," "))</f>
        <v>Diya Patel</v>
      </c>
      <c r="O781" s="3" t="s">
        <v>108</v>
      </c>
      <c r="P781" s="6" t="str">
        <f>PROPER(TRIM(SUBSTITUTE(O781,".","")))</f>
        <v>Corporate</v>
      </c>
      <c r="Q781" s="3" t="s">
        <v>42</v>
      </c>
      <c r="R781" s="7" t="str">
        <f>PROPER(TRIM(SUBSTITUTE(Q781,"  "," ")))</f>
        <v>East</v>
      </c>
      <c r="S781" s="3" t="s">
        <v>186</v>
      </c>
      <c r="T781" s="6" t="str">
        <f>PROPER(TRIM(SUBSTITUTE(S781,"  "," ")))</f>
        <v>Bihar</v>
      </c>
      <c r="U781" s="3" t="s">
        <v>187</v>
      </c>
      <c r="V781" s="6" t="str">
        <f>PROPER(TRIM(SUBSTITUTE(U781,"  "," ")))</f>
        <v>Patna</v>
      </c>
      <c r="W781" s="3" t="s">
        <v>86</v>
      </c>
      <c r="X781" s="6" t="str">
        <f>PROPER(TRIM(SUBSTITUTE(W781,"  "," ")))</f>
        <v>Technology</v>
      </c>
      <c r="Y781" s="3" t="s">
        <v>94</v>
      </c>
      <c r="Z781" s="6" t="str">
        <f>PROPER(TRIM(SUBSTITUTE(Y781,"  "," ")))</f>
        <v>Copiers</v>
      </c>
      <c r="AA781" s="3" t="s">
        <v>2694</v>
      </c>
      <c r="AB781" s="3" t="s">
        <v>33</v>
      </c>
      <c r="AC781" s="6" t="str">
        <f>PROPER(TRIM(SUBSTITUTE(AB781,"  "," ")))</f>
        <v>Second Class</v>
      </c>
      <c r="AD781" s="3">
        <v>5</v>
      </c>
      <c r="AE781" s="3">
        <v>3277.82</v>
      </c>
      <c r="AF781" s="3">
        <v>0.1</v>
      </c>
      <c r="AG781" s="17">
        <v>0.1</v>
      </c>
      <c r="AH781" s="6" t="str">
        <f t="shared" si="100"/>
        <v>Valid</v>
      </c>
      <c r="AI781" s="3">
        <v>14750.19</v>
      </c>
      <c r="AJ781" s="3">
        <v>9482.58</v>
      </c>
      <c r="AK781" s="3">
        <v>5267.61</v>
      </c>
      <c r="AL781" s="3" t="s">
        <v>34</v>
      </c>
      <c r="AM781" s="6" t="str">
        <f>PROPER(TRIM(SUBSTITUTE(AL781,".","")))</f>
        <v>Paid</v>
      </c>
      <c r="AN781" s="3" t="s">
        <v>125</v>
      </c>
      <c r="AO781" s="8" t="str">
        <f>PROPER(TRIM(SUBSTITUTE(AN781,".","")))</f>
        <v>Returned</v>
      </c>
      <c r="AP781" t="str">
        <f>IF(COUNTIF($A$2:$A$933, A781) &gt; 1, "Duplicate ID", "Unique")</f>
        <v>Unique</v>
      </c>
      <c r="AR781">
        <f t="shared" si="101"/>
        <v>14750.190000000002</v>
      </c>
      <c r="AS781">
        <f t="shared" si="102"/>
        <v>5267.6100000000024</v>
      </c>
      <c r="AT781" s="15">
        <f t="shared" si="103"/>
        <v>0.35712150148574368</v>
      </c>
      <c r="AU781" t="str">
        <f t="shared" si="104"/>
        <v>Warning</v>
      </c>
      <c r="AV781" s="8" t="str">
        <f t="shared" si="105"/>
        <v>Active</v>
      </c>
    </row>
    <row r="782" spans="1:48">
      <c r="A782" s="3" t="s">
        <v>2551</v>
      </c>
      <c r="B782" s="3" t="s">
        <v>2552</v>
      </c>
      <c r="C782" s="9">
        <f>IFERROR(DATEVALUE(TEXT(B782,"DD/MM/YYYY")), IF(ISNUMBER(B782), B782, ""))</f>
        <v>45931</v>
      </c>
      <c r="D782" s="9" t="str">
        <f>IF(B782="","Missing", IF(AND(ISNUMBER(B782)=FALSE, C782=""),"Invalid - Could Not Parse", IF(AND(ISNUMBER(B782)=FALSE, C782&lt;&gt;""),"Text - Converted to Date", IF(ISNUMBER(B782),"Valid","Check"))))</f>
        <v>Text - Converted to Date</v>
      </c>
      <c r="E782" s="5">
        <f t="shared" si="98"/>
        <v>10</v>
      </c>
      <c r="F782" s="5">
        <f t="shared" si="99"/>
        <v>2025</v>
      </c>
      <c r="G782" s="3" t="s">
        <v>2553</v>
      </c>
      <c r="H782" s="9">
        <f>IFERROR(DATEVALUE(TEXT(G782,"DD/MM/YYYY")), IF(ISNUMBER(G782), G782, ""))</f>
        <v>45935</v>
      </c>
      <c r="I782" s="9" t="str">
        <f>IF(G782="","Missing", IF(AND(ISNUMBER(G782)=FALSE, H782=""),"Invalid - Could Not Parse", IF(AND(ISNUMBER(G782)=FALSE, H782&lt;&gt;""),"Text - Converted to Date", IF(ISNUMBER(G782),"Valid","Check"))))</f>
        <v>Text - Converted to Date</v>
      </c>
      <c r="J782" s="9" t="str">
        <f>IF(OR(C782="", H782=""), "Cannot Check - Date Missing", IF(H782&lt;C782, "Invalid - Ship Before Order", "Valid"))</f>
        <v>Valid</v>
      </c>
      <c r="K782" s="5">
        <f>IF(OR(C782="", H782=""), "", IF(H782&lt;C782, "", H782-C782))</f>
        <v>4</v>
      </c>
      <c r="L782" s="3" t="s">
        <v>2554</v>
      </c>
      <c r="M782" s="3" t="s">
        <v>107</v>
      </c>
      <c r="N782" s="4" t="str">
        <f>TRIM(SUBSTITUTE(M782,"_"," "))</f>
        <v>Aditi Sen</v>
      </c>
      <c r="O782" s="3" t="s">
        <v>115</v>
      </c>
      <c r="P782" s="6" t="str">
        <f>PROPER(TRIM(SUBSTITUTE(O782,".","")))</f>
        <v>Home Office</v>
      </c>
      <c r="Q782" s="3" t="s">
        <v>27</v>
      </c>
      <c r="R782" s="7" t="str">
        <f>PROPER(TRIM(SUBSTITUTE(Q782,"  "," ")))</f>
        <v>North</v>
      </c>
      <c r="S782" s="3" t="s">
        <v>323</v>
      </c>
      <c r="T782" s="6" t="str">
        <f>PROPER(TRIM(SUBSTITUTE(S782,"  "," ")))</f>
        <v>Haryana</v>
      </c>
      <c r="U782" s="3" t="s">
        <v>324</v>
      </c>
      <c r="V782" s="6" t="str">
        <f>PROPER(TRIM(SUBSTITUTE(U782,"  "," ")))</f>
        <v>Gurugram</v>
      </c>
      <c r="W782" s="3" t="s">
        <v>30</v>
      </c>
      <c r="X782" s="6" t="str">
        <f>PROPER(TRIM(SUBSTITUTE(W782,"  "," ")))</f>
        <v>Office Supplies</v>
      </c>
      <c r="Y782" s="3" t="s">
        <v>31</v>
      </c>
      <c r="Z782" s="6" t="str">
        <f>PROPER(TRIM(SUBSTITUTE(Y782,"  "," ")))</f>
        <v>Paper</v>
      </c>
      <c r="AA782" s="3" t="s">
        <v>2555</v>
      </c>
      <c r="AB782" s="3" t="s">
        <v>56</v>
      </c>
      <c r="AC782" s="6" t="str">
        <f>PROPER(TRIM(SUBSTITUTE(AB782,"  "," ")))</f>
        <v>First Class</v>
      </c>
      <c r="AD782" s="3">
        <v>5</v>
      </c>
      <c r="AE782" s="3">
        <v>3247.56</v>
      </c>
      <c r="AF782" s="3">
        <v>0.15</v>
      </c>
      <c r="AG782" s="17">
        <v>0.15</v>
      </c>
      <c r="AH782" s="6" t="str">
        <f t="shared" si="100"/>
        <v>Valid</v>
      </c>
      <c r="AI782" s="3">
        <v>13802.13</v>
      </c>
      <c r="AJ782" s="3">
        <v>10075.93</v>
      </c>
      <c r="AK782" s="3">
        <v>3726.2</v>
      </c>
      <c r="AL782" s="3" t="s">
        <v>34</v>
      </c>
      <c r="AM782" s="6" t="str">
        <f>PROPER(TRIM(SUBSTITUTE(AL782,".","")))</f>
        <v>Paid</v>
      </c>
      <c r="AN782" s="3" t="s">
        <v>35</v>
      </c>
      <c r="AO782" s="8" t="str">
        <f>PROPER(TRIM(SUBSTITUTE(AN782,".","")))</f>
        <v>Completed</v>
      </c>
      <c r="AP782" t="str">
        <f>IF(COUNTIF($A$2:$A$933, A782) &gt; 1, "Duplicate ID", "Unique")</f>
        <v>Unique</v>
      </c>
      <c r="AR782">
        <f t="shared" si="101"/>
        <v>13802.13</v>
      </c>
      <c r="AS782">
        <f t="shared" si="102"/>
        <v>3726.1999999999989</v>
      </c>
      <c r="AT782" s="15">
        <f t="shared" si="103"/>
        <v>0.26997282303528508</v>
      </c>
      <c r="AU782" t="str">
        <f t="shared" si="104"/>
        <v>Clean</v>
      </c>
      <c r="AV782" s="8" t="str">
        <f t="shared" si="105"/>
        <v>Active</v>
      </c>
    </row>
    <row r="783" spans="1:48">
      <c r="A783" s="3" t="s">
        <v>3222</v>
      </c>
      <c r="B783" s="3" t="s">
        <v>3223</v>
      </c>
      <c r="C783" s="9">
        <f>IFERROR(DATEVALUE(TEXT(B783,"DD/MM/YYYY")), IF(ISNUMBER(B783), B783, ""))</f>
        <v>45931</v>
      </c>
      <c r="D783" s="9" t="str">
        <f>IF(B783="","Missing", IF(AND(ISNUMBER(B783)=FALSE, C783=""),"Invalid - Could Not Parse", IF(AND(ISNUMBER(B783)=FALSE, C783&lt;&gt;""),"Text - Converted to Date", IF(ISNUMBER(B783),"Valid","Check"))))</f>
        <v>Text - Converted to Date</v>
      </c>
      <c r="E783" s="5">
        <f t="shared" si="98"/>
        <v>10</v>
      </c>
      <c r="F783" s="5">
        <f t="shared" si="99"/>
        <v>2025</v>
      </c>
      <c r="G783" s="3" t="s">
        <v>499</v>
      </c>
      <c r="H783" s="9">
        <f>IFERROR(DATEVALUE(TEXT(G783,"DD/MM/YYYY")), IF(ISNUMBER(G783), G783, ""))</f>
        <v>45933</v>
      </c>
      <c r="I783" s="9" t="str">
        <f>IF(G783="","Missing", IF(AND(ISNUMBER(G783)=FALSE, H783=""),"Invalid - Could Not Parse", IF(AND(ISNUMBER(G783)=FALSE, H783&lt;&gt;""),"Text - Converted to Date", IF(ISNUMBER(G783),"Valid","Check"))))</f>
        <v>Text - Converted to Date</v>
      </c>
      <c r="J783" s="9" t="str">
        <f>IF(OR(C783="", H783=""), "Cannot Check - Date Missing", IF(H783&lt;C783, "Invalid - Ship Before Order", "Valid"))</f>
        <v>Valid</v>
      </c>
      <c r="K783" s="5">
        <f>IF(OR(C783="", H783=""), "", IF(H783&lt;C783, "", H783-C783))</f>
        <v>2</v>
      </c>
      <c r="L783" s="3" t="s">
        <v>2734</v>
      </c>
      <c r="M783" s="3" t="s">
        <v>93</v>
      </c>
      <c r="N783" s="4" t="str">
        <f>TRIM(SUBSTITUTE(M783,"_"," "))</f>
        <v>Neha Gupta</v>
      </c>
      <c r="O783" s="3" t="s">
        <v>108</v>
      </c>
      <c r="P783" s="6" t="str">
        <f>PROPER(TRIM(SUBSTITUTE(O783,".","")))</f>
        <v>Corporate</v>
      </c>
      <c r="Q783" s="3" t="s">
        <v>73</v>
      </c>
      <c r="R783" s="7" t="str">
        <f>PROPER(TRIM(SUBSTITUTE(Q783,"  "," ")))</f>
        <v>West</v>
      </c>
      <c r="S783" s="3" t="s">
        <v>249</v>
      </c>
      <c r="T783" s="6" t="str">
        <f>PROPER(TRIM(SUBSTITUTE(S783,"  "," ")))</f>
        <v>Goa</v>
      </c>
      <c r="U783" s="3" t="s">
        <v>250</v>
      </c>
      <c r="V783" s="6" t="str">
        <f>PROPER(TRIM(SUBSTITUTE(U783,"  "," ")))</f>
        <v>Panaji</v>
      </c>
      <c r="W783" s="3" t="s">
        <v>30</v>
      </c>
      <c r="X783" s="6" t="str">
        <f>PROPER(TRIM(SUBSTITUTE(W783,"  "," ")))</f>
        <v>Office Supplies</v>
      </c>
      <c r="Y783" s="3" t="s">
        <v>54</v>
      </c>
      <c r="Z783" s="6" t="str">
        <f>PROPER(TRIM(SUBSTITUTE(Y783,"  "," ")))</f>
        <v>Art</v>
      </c>
      <c r="AA783" s="3" t="s">
        <v>3224</v>
      </c>
      <c r="AB783" s="3" t="s">
        <v>67</v>
      </c>
      <c r="AC783" s="6" t="str">
        <f>PROPER(TRIM(SUBSTITUTE(AB783,"  "," ")))</f>
        <v>Standard Class</v>
      </c>
      <c r="AD783" s="3">
        <v>9</v>
      </c>
      <c r="AE783" s="3">
        <v>818.15</v>
      </c>
      <c r="AF783" s="3">
        <v>0.55000000000000004</v>
      </c>
      <c r="AG783" s="17">
        <v>0.55000000000000004</v>
      </c>
      <c r="AH783" s="6" t="str">
        <f t="shared" si="100"/>
        <v>Invalid - Above Range</v>
      </c>
      <c r="AI783" s="3">
        <v>6627.01</v>
      </c>
      <c r="AJ783" s="3">
        <v>5606.79</v>
      </c>
      <c r="AK783" s="3">
        <v>1020.22</v>
      </c>
      <c r="AL783" s="3" t="s">
        <v>200</v>
      </c>
      <c r="AM783" s="6" t="str">
        <f>PROPER(TRIM(SUBSTITUTE(AL783,".","")))</f>
        <v>Failed</v>
      </c>
      <c r="AN783" s="3" t="s">
        <v>78</v>
      </c>
      <c r="AO783" s="8" t="str">
        <f>PROPER(TRIM(SUBSTITUTE(AN783,".","")))</f>
        <v>Cancelled</v>
      </c>
      <c r="AP783" t="str">
        <f>IF(COUNTIF($A$2:$A$933, A783) &gt; 1, "Duplicate ID", "Unique")</f>
        <v>Unique</v>
      </c>
      <c r="AR783">
        <f t="shared" si="101"/>
        <v>3313.5074999999993</v>
      </c>
      <c r="AS783">
        <f t="shared" si="102"/>
        <v>-2293.2825000000007</v>
      </c>
      <c r="AT783" s="15">
        <f t="shared" si="103"/>
        <v>-0.69210119488185895</v>
      </c>
      <c r="AU783" t="str">
        <f t="shared" si="104"/>
        <v>Invalid</v>
      </c>
      <c r="AV783" s="8" t="str">
        <f t="shared" si="105"/>
        <v>Cancelled</v>
      </c>
    </row>
    <row r="784" spans="1:48">
      <c r="A784" s="3" t="s">
        <v>1396</v>
      </c>
      <c r="B784" s="3" t="s">
        <v>1335</v>
      </c>
      <c r="C784" s="9">
        <f>IFERROR(DATEVALUE(TEXT(B784,"DD/MM/YYYY")), IF(ISNUMBER(B784), B784, ""))</f>
        <v>45932</v>
      </c>
      <c r="D784" s="9" t="str">
        <f>IF(B784="","Missing", IF(AND(ISNUMBER(B784)=FALSE, C784=""),"Invalid - Could Not Parse", IF(AND(ISNUMBER(B784)=FALSE, C784&lt;&gt;""),"Text - Converted to Date", IF(ISNUMBER(B784),"Valid","Check"))))</f>
        <v>Text - Converted to Date</v>
      </c>
      <c r="E784" s="5">
        <f t="shared" si="98"/>
        <v>10</v>
      </c>
      <c r="F784" s="5">
        <f t="shared" si="99"/>
        <v>2025</v>
      </c>
      <c r="G784" s="3" t="s">
        <v>1397</v>
      </c>
      <c r="H784" s="9">
        <f>IFERROR(DATEVALUE(TEXT(G784,"DD/MM/YYYY")), IF(ISNUMBER(G784), G784, ""))</f>
        <v>45993</v>
      </c>
      <c r="I784" s="9" t="str">
        <f>IF(G784="","Missing", IF(AND(ISNUMBER(G784)=FALSE, H784=""),"Invalid - Could Not Parse", IF(AND(ISNUMBER(G784)=FALSE, H784&lt;&gt;""),"Text - Converted to Date", IF(ISNUMBER(G784),"Valid","Check"))))</f>
        <v>Text - Converted to Date</v>
      </c>
      <c r="J784" s="9" t="str">
        <f>IF(OR(C784="", H784=""), "Cannot Check - Date Missing", IF(H784&lt;C784, "Invalid - Ship Before Order", "Valid"))</f>
        <v>Valid</v>
      </c>
      <c r="K784" s="5">
        <f>IF(OR(C784="", H784=""), "", IF(H784&lt;C784, "", H784-C784))</f>
        <v>61</v>
      </c>
      <c r="L784" s="3" t="s">
        <v>1398</v>
      </c>
      <c r="M784" s="3" t="s">
        <v>148</v>
      </c>
      <c r="N784" s="4" t="str">
        <f>TRIM(SUBSTITUTE(M784,"_"," "))</f>
        <v>Rahul Verma</v>
      </c>
      <c r="O784" s="3" t="s">
        <v>41</v>
      </c>
      <c r="P784" s="6" t="str">
        <f>PROPER(TRIM(SUBSTITUTE(O784,".","")))</f>
        <v>Small Business</v>
      </c>
      <c r="Q784" s="3" t="s">
        <v>73</v>
      </c>
      <c r="R784" s="7" t="str">
        <f>PROPER(TRIM(SUBSTITUTE(Q784,"  "," ")))</f>
        <v>West</v>
      </c>
      <c r="S784" s="3" t="s">
        <v>28</v>
      </c>
      <c r="T784" s="6" t="str">
        <f>PROPER(TRIM(SUBSTITUTE(S784,"  "," ")))</f>
        <v>Rajasthan</v>
      </c>
      <c r="U784" s="3" t="s">
        <v>135</v>
      </c>
      <c r="V784" s="6" t="str">
        <f>PROPER(TRIM(SUBSTITUTE(U784,"  "," ")))</f>
        <v>Udaipur</v>
      </c>
      <c r="W784" s="3" t="s">
        <v>45</v>
      </c>
      <c r="X784" s="6" t="str">
        <f>PROPER(TRIM(SUBSTITUTE(W784,"  "," ")))</f>
        <v>Furniture</v>
      </c>
      <c r="Y784" s="3" t="s">
        <v>46</v>
      </c>
      <c r="Z784" s="6" t="str">
        <f>PROPER(TRIM(SUBSTITUTE(Y784,"  "," ")))</f>
        <v>Tables</v>
      </c>
      <c r="AA784" s="3" t="s">
        <v>1399</v>
      </c>
      <c r="AB784" s="3" t="s">
        <v>48</v>
      </c>
      <c r="AC784" s="6" t="str">
        <f>PROPER(TRIM(SUBSTITUTE(AB784,"  "," ")))</f>
        <v>Same Day</v>
      </c>
      <c r="AD784" s="3">
        <v>1</v>
      </c>
      <c r="AE784" s="3">
        <v>1925.86</v>
      </c>
      <c r="AF784" s="3">
        <v>0</v>
      </c>
      <c r="AG784" s="17">
        <v>0</v>
      </c>
      <c r="AH784" s="6" t="str">
        <f t="shared" si="100"/>
        <v>Valid</v>
      </c>
      <c r="AI784" s="3">
        <v>1925.86</v>
      </c>
      <c r="AJ784" s="3">
        <v>1321.89</v>
      </c>
      <c r="AK784" s="3">
        <v>603.97</v>
      </c>
      <c r="AL784" s="3" t="s">
        <v>34</v>
      </c>
      <c r="AM784" s="6" t="str">
        <f>PROPER(TRIM(SUBSTITUTE(AL784,".","")))</f>
        <v>Paid</v>
      </c>
      <c r="AN784" s="3" t="s">
        <v>35</v>
      </c>
      <c r="AO784" s="8" t="str">
        <f>PROPER(TRIM(SUBSTITUTE(AN784,".","")))</f>
        <v>Completed</v>
      </c>
      <c r="AP784" t="str">
        <f>IF(COUNTIF($A$2:$A$933, A784) &gt; 1, "Duplicate ID", "Unique")</f>
        <v>Unique</v>
      </c>
      <c r="AR784">
        <f t="shared" si="101"/>
        <v>1925.86</v>
      </c>
      <c r="AS784">
        <f t="shared" si="102"/>
        <v>603.9699999999998</v>
      </c>
      <c r="AT784" s="15">
        <f t="shared" si="103"/>
        <v>0.31361054282242729</v>
      </c>
      <c r="AU784" t="str">
        <f t="shared" si="104"/>
        <v>Clean</v>
      </c>
      <c r="AV784" s="8" t="str">
        <f t="shared" si="105"/>
        <v>Active</v>
      </c>
    </row>
    <row r="785" spans="1:48">
      <c r="A785" s="3" t="s">
        <v>1602</v>
      </c>
      <c r="B785" s="3" t="s">
        <v>1104</v>
      </c>
      <c r="C785" s="9">
        <f>IFERROR(DATEVALUE(MID(B785,4,2) &amp; "/" &amp; LEFT(B785,2) &amp; "/" &amp; RIGHT(B785,4)), IF(ISNUMBER(B785), B785, IFERROR(DATEVALUE(B785), "")))</f>
        <v>45795</v>
      </c>
      <c r="D785" s="9" t="str">
        <f>IF(B785="","Missing", IF(AND(ISNUMBER(B785)=FALSE, C785=""),"Invalid - Could Not Parse", IF(AND(ISNUMBER(B785)=FALSE, C785&lt;&gt;""),"Text - Converted to Date", IF(ISNUMBER(B785),"Valid","Check"))))</f>
        <v>Text - Converted to Date</v>
      </c>
      <c r="E785" s="5">
        <f t="shared" si="98"/>
        <v>5</v>
      </c>
      <c r="F785" s="5">
        <f t="shared" si="99"/>
        <v>2025</v>
      </c>
      <c r="G785" s="3" t="s">
        <v>118</v>
      </c>
      <c r="H785" s="9">
        <f>IFERROR(DATEVALUE(TEXT(G785,"DD/MM/YYYY")), IF(ISNUMBER(G785), G785, ""))</f>
        <v>45797</v>
      </c>
      <c r="I785" s="9" t="str">
        <f>IF(G785="","Missing", IF(AND(ISNUMBER(G785)=FALSE, H785=""),"Invalid - Could Not Parse", IF(AND(ISNUMBER(G785)=FALSE, H785&lt;&gt;""),"Text - Converted to Date", IF(ISNUMBER(G785),"Valid","Check"))))</f>
        <v>Text - Converted to Date</v>
      </c>
      <c r="J785" s="9" t="str">
        <f>IF(OR(C785="", H785=""), "Cannot Check - Date Missing", IF(H785&lt;C785, "Invalid - Ship Before Order", "Valid"))</f>
        <v>Valid</v>
      </c>
      <c r="K785" s="5">
        <f>IF(OR(C785="", H785=""), "", IF(H785&lt;C785, "", H785-C785))</f>
        <v>2</v>
      </c>
      <c r="L785" s="3" t="s">
        <v>1603</v>
      </c>
      <c r="M785" s="3" t="s">
        <v>53</v>
      </c>
      <c r="N785" s="4" t="str">
        <f>TRIM(SUBSTITUTE(M785,"_"," "))</f>
        <v>Isha Nair</v>
      </c>
      <c r="O785" s="3" t="s">
        <v>108</v>
      </c>
      <c r="P785" s="6" t="str">
        <f>PROPER(TRIM(SUBSTITUTE(O785,".","")))</f>
        <v>Corporate</v>
      </c>
      <c r="Q785" s="3" t="s">
        <v>73</v>
      </c>
      <c r="R785" s="7" t="str">
        <f>PROPER(TRIM(SUBSTITUTE(Q785,"  "," ")))</f>
        <v>West</v>
      </c>
      <c r="S785" s="3" t="s">
        <v>84</v>
      </c>
      <c r="T785" s="6" t="str">
        <f>PROPER(TRIM(SUBSTITUTE(S785,"  "," ")))</f>
        <v>Madhya Pradesh</v>
      </c>
      <c r="U785" s="3" t="s">
        <v>85</v>
      </c>
      <c r="V785" s="6" t="str">
        <f>PROPER(TRIM(SUBSTITUTE(U785,"  "," ")))</f>
        <v>Indore</v>
      </c>
      <c r="W785" s="3" t="s">
        <v>30</v>
      </c>
      <c r="X785" s="6" t="str">
        <f>PROPER(TRIM(SUBSTITUTE(W785,"  "," ")))</f>
        <v>Office Supplies</v>
      </c>
      <c r="Y785" s="3" t="s">
        <v>109</v>
      </c>
      <c r="Z785" s="6" t="str">
        <f>PROPER(TRIM(SUBSTITUTE(Y785,"  "," ")))</f>
        <v>Labels</v>
      </c>
      <c r="AA785" s="3" t="s">
        <v>1604</v>
      </c>
      <c r="AB785" s="3" t="s">
        <v>67</v>
      </c>
      <c r="AC785" s="6" t="str">
        <f>PROPER(TRIM(SUBSTITUTE(AB785,"  "," ")))</f>
        <v>Standard Class</v>
      </c>
      <c r="AD785" s="3">
        <v>9</v>
      </c>
      <c r="AE785" s="3">
        <v>847.76</v>
      </c>
      <c r="AF785" s="3">
        <v>0.15</v>
      </c>
      <c r="AG785" s="17">
        <v>0.15</v>
      </c>
      <c r="AH785" s="6" t="str">
        <f t="shared" si="100"/>
        <v>Valid</v>
      </c>
      <c r="AI785" s="3">
        <v>6485.36</v>
      </c>
      <c r="AJ785" s="3">
        <v>5376.17</v>
      </c>
      <c r="AK785" s="3">
        <v>1109.19</v>
      </c>
      <c r="AL785" s="3" t="s">
        <v>200</v>
      </c>
      <c r="AM785" s="6" t="str">
        <f>PROPER(TRIM(SUBSTITUTE(AL785,".","")))</f>
        <v>Failed</v>
      </c>
      <c r="AN785" s="3" t="s">
        <v>125</v>
      </c>
      <c r="AO785" s="8" t="str">
        <f>PROPER(TRIM(SUBSTITUTE(AN785,".","")))</f>
        <v>Returned</v>
      </c>
      <c r="AP785" t="str">
        <f>IF(COUNTIF($A$2:$A$933, A785) &gt; 1, "Duplicate ID", "Unique")</f>
        <v>Duplicate ID</v>
      </c>
      <c r="AQ785" t="s">
        <v>4106</v>
      </c>
      <c r="AR785">
        <f t="shared" si="101"/>
        <v>6485.3639999999996</v>
      </c>
      <c r="AS785">
        <f t="shared" si="102"/>
        <v>1109.1939999999995</v>
      </c>
      <c r="AT785" s="15">
        <f t="shared" si="103"/>
        <v>0.17103033846673826</v>
      </c>
      <c r="AU785" t="str">
        <f t="shared" si="104"/>
        <v>Invalid</v>
      </c>
      <c r="AV785" s="8" t="str">
        <f t="shared" si="105"/>
        <v>Active</v>
      </c>
    </row>
    <row r="786" spans="1:48">
      <c r="A786" s="3" t="s">
        <v>1152</v>
      </c>
      <c r="B786" s="3" t="s">
        <v>90</v>
      </c>
      <c r="C786" s="9">
        <f>IFERROR(DATEVALUE(TEXT(B786,"DD/MM/YYYY")), IF(ISNUMBER(B786), B786, ""))</f>
        <v>45934</v>
      </c>
      <c r="D786" s="9" t="str">
        <f>IF(B786="","Missing", IF(AND(ISNUMBER(B786)=FALSE, C786=""),"Invalid - Could Not Parse", IF(AND(ISNUMBER(B786)=FALSE, C786&lt;&gt;""),"Text - Converted to Date", IF(ISNUMBER(B786),"Valid","Check"))))</f>
        <v>Text - Converted to Date</v>
      </c>
      <c r="E786" s="5">
        <f t="shared" si="98"/>
        <v>10</v>
      </c>
      <c r="F786" s="5">
        <f t="shared" si="99"/>
        <v>2025</v>
      </c>
      <c r="G786" s="3" t="s">
        <v>1153</v>
      </c>
      <c r="H786" s="9">
        <f>IFERROR(DATEVALUE(TEXT(G786,"DD/MM/YYYY")), IF(ISNUMBER(G786), G786, ""))</f>
        <v>45762</v>
      </c>
      <c r="I786" s="9" t="str">
        <f>IF(G786="","Missing", IF(AND(ISNUMBER(G786)=FALSE, H786=""),"Invalid - Could Not Parse", IF(AND(ISNUMBER(G786)=FALSE, H786&lt;&gt;""),"Text - Converted to Date", IF(ISNUMBER(G786),"Valid","Check"))))</f>
        <v>Text - Converted to Date</v>
      </c>
      <c r="J786" s="9" t="str">
        <f>IF(OR(C786="", H786=""), "Cannot Check - Date Missing", IF(H786&lt;C786, "Invalid - Ship Before Order", "Valid"))</f>
        <v>Invalid - Ship Before Order</v>
      </c>
      <c r="K786" s="5" t="str">
        <f>IF(OR(C786="", H786=""), "", IF(H786&lt;C786, "", H786-C786))</f>
        <v/>
      </c>
      <c r="L786" s="3" t="s">
        <v>1154</v>
      </c>
      <c r="M786" s="3" t="s">
        <v>53</v>
      </c>
      <c r="N786" s="4" t="str">
        <f>TRIM(SUBSTITUTE(M786,"_"," "))</f>
        <v>Isha Nair</v>
      </c>
      <c r="O786" s="3" t="s">
        <v>26</v>
      </c>
      <c r="P786" s="6" t="str">
        <f>PROPER(TRIM(SUBSTITUTE(O786,".","")))</f>
        <v>Consumer</v>
      </c>
      <c r="Q786" s="3" t="s">
        <v>73</v>
      </c>
      <c r="R786" s="7" t="str">
        <f>PROPER(TRIM(SUBSTITUTE(Q786,"  "," ")))</f>
        <v>West</v>
      </c>
      <c r="S786" s="3" t="s">
        <v>235</v>
      </c>
      <c r="T786" s="6" t="str">
        <f>PROPER(TRIM(SUBSTITUTE(S786,"  "," ")))</f>
        <v>Gujarat</v>
      </c>
      <c r="U786" s="3" t="s">
        <v>236</v>
      </c>
      <c r="V786" s="6" t="str">
        <f>PROPER(TRIM(SUBSTITUTE(U786,"  "," ")))</f>
        <v>Ahmedabad</v>
      </c>
      <c r="W786" s="3" t="s">
        <v>45</v>
      </c>
      <c r="X786" s="6" t="str">
        <f>PROPER(TRIM(SUBSTITUTE(W786,"  "," ")))</f>
        <v>Furniture</v>
      </c>
      <c r="Y786" s="3" t="s">
        <v>46</v>
      </c>
      <c r="Z786" s="6" t="str">
        <f>PROPER(TRIM(SUBSTITUTE(Y786,"  "," ")))</f>
        <v>Tables</v>
      </c>
      <c r="AA786" s="3" t="s">
        <v>1155</v>
      </c>
      <c r="AB786" s="3" t="s">
        <v>67</v>
      </c>
      <c r="AC786" s="6" t="str">
        <f>PROPER(TRIM(SUBSTITUTE(AB786,"  "," ")))</f>
        <v>Standard Class</v>
      </c>
      <c r="AD786" s="3">
        <v>8</v>
      </c>
      <c r="AE786" s="3">
        <v>1839.87</v>
      </c>
      <c r="AF786" s="3">
        <v>0.25</v>
      </c>
      <c r="AG786" s="17">
        <v>0.25</v>
      </c>
      <c r="AH786" s="6" t="str">
        <f t="shared" si="100"/>
        <v>Valid</v>
      </c>
      <c r="AI786" s="3">
        <v>11039.22</v>
      </c>
      <c r="AJ786" s="3">
        <v>7642.91</v>
      </c>
      <c r="AK786" s="3">
        <v>3396.31</v>
      </c>
      <c r="AL786" s="3" t="s">
        <v>200</v>
      </c>
      <c r="AM786" s="6" t="str">
        <f>PROPER(TRIM(SUBSTITUTE(AL786,".","")))</f>
        <v>Failed</v>
      </c>
      <c r="AN786" s="3" t="s">
        <v>125</v>
      </c>
      <c r="AO786" s="8" t="str">
        <f>PROPER(TRIM(SUBSTITUTE(AN786,".","")))</f>
        <v>Returned</v>
      </c>
      <c r="AP786" t="str">
        <f>IF(COUNTIF($A$2:$A$933, A786) &gt; 1, "Duplicate ID", "Unique")</f>
        <v>Unique</v>
      </c>
      <c r="AR786">
        <f t="shared" si="101"/>
        <v>11039.22</v>
      </c>
      <c r="AS786">
        <f t="shared" si="102"/>
        <v>3396.3099999999995</v>
      </c>
      <c r="AT786" s="15">
        <f t="shared" si="103"/>
        <v>0.30765851210502188</v>
      </c>
      <c r="AU786" t="str">
        <f t="shared" si="104"/>
        <v>Invalid</v>
      </c>
      <c r="AV786" s="8" t="str">
        <f t="shared" si="105"/>
        <v>Active</v>
      </c>
    </row>
    <row r="787" spans="1:48">
      <c r="A787" s="3" t="s">
        <v>1602</v>
      </c>
      <c r="B787" s="3" t="s">
        <v>1104</v>
      </c>
      <c r="C787" s="9">
        <f>IFERROR(DATEVALUE(MID(B787,4,2) &amp; "/" &amp; LEFT(B787,2) &amp; "/" &amp; RIGHT(B787,4)), IF(ISNUMBER(B787), B787, IFERROR(DATEVALUE(B787), "")))</f>
        <v>45795</v>
      </c>
      <c r="D787" s="9" t="str">
        <f>IF(B787="","Missing", IF(AND(ISNUMBER(B787)=FALSE, C787=""),"Invalid - Could Not Parse", IF(AND(ISNUMBER(B787)=FALSE, C787&lt;&gt;""),"Text - Converted to Date", IF(ISNUMBER(B787),"Valid","Check"))))</f>
        <v>Text - Converted to Date</v>
      </c>
      <c r="E787" s="5">
        <f t="shared" si="98"/>
        <v>5</v>
      </c>
      <c r="F787" s="5">
        <f t="shared" si="99"/>
        <v>2025</v>
      </c>
      <c r="G787" s="3" t="s">
        <v>118</v>
      </c>
      <c r="H787" s="9">
        <f>IFERROR(DATEVALUE(TEXT(G787,"DD/MM/YYYY")), IF(ISNUMBER(G787), G787, ""))</f>
        <v>45797</v>
      </c>
      <c r="I787" s="9" t="str">
        <f>IF(G787="","Missing", IF(AND(ISNUMBER(G787)=FALSE, H787=""),"Invalid - Could Not Parse", IF(AND(ISNUMBER(G787)=FALSE, H787&lt;&gt;""),"Text - Converted to Date", IF(ISNUMBER(G787),"Valid","Check"))))</f>
        <v>Text - Converted to Date</v>
      </c>
      <c r="J787" s="9" t="str">
        <f>IF(OR(C787="", H787=""), "Cannot Check - Date Missing", IF(H787&lt;C787, "Invalid - Ship Before Order", "Valid"))</f>
        <v>Valid</v>
      </c>
      <c r="K787" s="5">
        <f>IF(OR(C787="", H787=""), "", IF(H787&lt;C787, "", H787-C787))</f>
        <v>2</v>
      </c>
      <c r="L787" s="3" t="s">
        <v>1603</v>
      </c>
      <c r="M787" s="3" t="s">
        <v>53</v>
      </c>
      <c r="N787" s="4" t="str">
        <f>TRIM(SUBSTITUTE(M787,"_"," "))</f>
        <v>Isha Nair</v>
      </c>
      <c r="O787" s="3" t="s">
        <v>108</v>
      </c>
      <c r="P787" s="6" t="str">
        <f>PROPER(TRIM(SUBSTITUTE(O787,".","")))</f>
        <v>Corporate</v>
      </c>
      <c r="Q787" s="3" t="s">
        <v>73</v>
      </c>
      <c r="R787" s="7" t="str">
        <f>PROPER(TRIM(SUBSTITUTE(Q787,"  "," ")))</f>
        <v>West</v>
      </c>
      <c r="S787" s="3" t="s">
        <v>84</v>
      </c>
      <c r="T787" s="6" t="str">
        <f>PROPER(TRIM(SUBSTITUTE(S787,"  "," ")))</f>
        <v>Madhya Pradesh</v>
      </c>
      <c r="U787" s="3" t="s">
        <v>85</v>
      </c>
      <c r="V787" s="6" t="str">
        <f>PROPER(TRIM(SUBSTITUTE(U787,"  "," ")))</f>
        <v>Indore</v>
      </c>
      <c r="W787" s="3" t="s">
        <v>30</v>
      </c>
      <c r="X787" s="6" t="str">
        <f>PROPER(TRIM(SUBSTITUTE(W787,"  "," ")))</f>
        <v>Office Supplies</v>
      </c>
      <c r="Y787" s="3" t="s">
        <v>109</v>
      </c>
      <c r="Z787" s="6" t="str">
        <f>PROPER(TRIM(SUBSTITUTE(Y787,"  "," ")))</f>
        <v>Labels</v>
      </c>
      <c r="AA787" s="3" t="s">
        <v>1604</v>
      </c>
      <c r="AB787" s="3" t="s">
        <v>67</v>
      </c>
      <c r="AC787" s="6" t="str">
        <f>PROPER(TRIM(SUBSTITUTE(AB787,"  "," ")))</f>
        <v>Standard Class</v>
      </c>
      <c r="AD787" s="3">
        <v>9</v>
      </c>
      <c r="AE787" s="3">
        <v>847.76</v>
      </c>
      <c r="AF787" s="3">
        <v>0.15</v>
      </c>
      <c r="AG787" s="17">
        <v>0.15</v>
      </c>
      <c r="AH787" s="6" t="str">
        <f t="shared" si="100"/>
        <v>Valid</v>
      </c>
      <c r="AI787" s="3">
        <v>6589.37</v>
      </c>
      <c r="AJ787" s="3">
        <v>5376.17</v>
      </c>
      <c r="AK787" s="3">
        <v>1109.19</v>
      </c>
      <c r="AL787" s="3" t="s">
        <v>200</v>
      </c>
      <c r="AM787" s="6" t="str">
        <f>PROPER(TRIM(SUBSTITUTE(AL787,".","")))</f>
        <v>Failed</v>
      </c>
      <c r="AN787" s="3" t="s">
        <v>35</v>
      </c>
      <c r="AO787" s="8" t="str">
        <f>PROPER(TRIM(SUBSTITUTE(AN787,".","")))</f>
        <v>Completed</v>
      </c>
      <c r="AP787" t="str">
        <f>IF(COUNTIF($A$2:$A$933, A787) &gt; 1, "Duplicate ID", "Unique")</f>
        <v>Duplicate ID</v>
      </c>
      <c r="AQ787" t="s">
        <v>4106</v>
      </c>
      <c r="AR787">
        <f t="shared" si="101"/>
        <v>6485.3639999999996</v>
      </c>
      <c r="AS787">
        <f t="shared" si="102"/>
        <v>1109.1939999999995</v>
      </c>
      <c r="AT787" s="15">
        <f t="shared" si="103"/>
        <v>0.17103033846673826</v>
      </c>
      <c r="AU787" t="str">
        <f t="shared" si="104"/>
        <v>Invalid</v>
      </c>
      <c r="AV787" s="8" t="str">
        <f t="shared" si="105"/>
        <v>Active</v>
      </c>
    </row>
    <row r="788" spans="1:48">
      <c r="A788" s="3" t="s">
        <v>2573</v>
      </c>
      <c r="B788" s="3" t="s">
        <v>2553</v>
      </c>
      <c r="C788" s="9">
        <f>IFERROR(DATEVALUE(TEXT(B788,"DD/MM/YYYY")), IF(ISNUMBER(B788), B788, ""))</f>
        <v>45935</v>
      </c>
      <c r="D788" s="9" t="str">
        <f>IF(B788="","Missing", IF(AND(ISNUMBER(B788)=FALSE, C788=""),"Invalid - Could Not Parse", IF(AND(ISNUMBER(B788)=FALSE, C788&lt;&gt;""),"Text - Converted to Date", IF(ISNUMBER(B788),"Valid","Check"))))</f>
        <v>Text - Converted to Date</v>
      </c>
      <c r="E788" s="5">
        <f t="shared" si="98"/>
        <v>10</v>
      </c>
      <c r="F788" s="5">
        <f t="shared" si="99"/>
        <v>2025</v>
      </c>
      <c r="G788" s="3" t="s">
        <v>308</v>
      </c>
      <c r="H788" s="9">
        <f>IFERROR(DATEVALUE(TEXT(G788,"DD/MM/YYYY")), IF(ISNUMBER(G788), G788, ""))</f>
        <v>45940</v>
      </c>
      <c r="I788" s="9" t="str">
        <f>IF(G788="","Missing", IF(AND(ISNUMBER(G788)=FALSE, H788=""),"Invalid - Could Not Parse", IF(AND(ISNUMBER(G788)=FALSE, H788&lt;&gt;""),"Text - Converted to Date", IF(ISNUMBER(G788),"Valid","Check"))))</f>
        <v>Text - Converted to Date</v>
      </c>
      <c r="J788" s="9" t="str">
        <f>IF(OR(C788="", H788=""), "Cannot Check - Date Missing", IF(H788&lt;C788, "Invalid - Ship Before Order", "Valid"))</f>
        <v>Valid</v>
      </c>
      <c r="K788" s="5">
        <f>IF(OR(C788="", H788=""), "", IF(H788&lt;C788, "", H788-C788))</f>
        <v>5</v>
      </c>
      <c r="L788" s="3" t="s">
        <v>2574</v>
      </c>
      <c r="M788" s="3" t="s">
        <v>142</v>
      </c>
      <c r="N788" s="4" t="str">
        <f>TRIM(SUBSTITUTE(M788,"_"," "))</f>
        <v>Priya Menon</v>
      </c>
      <c r="O788" s="3" t="s">
        <v>108</v>
      </c>
      <c r="P788" s="6" t="str">
        <f>PROPER(TRIM(SUBSTITUTE(O788,".","")))</f>
        <v>Corporate</v>
      </c>
      <c r="Q788" s="3" t="s">
        <v>42</v>
      </c>
      <c r="R788" s="7" t="str">
        <f>PROPER(TRIM(SUBSTITUTE(Q788,"  "," ")))</f>
        <v>East</v>
      </c>
      <c r="S788" s="3" t="s">
        <v>216</v>
      </c>
      <c r="T788" s="6" t="str">
        <f>PROPER(TRIM(SUBSTITUTE(S788,"  "," ")))</f>
        <v>Assam</v>
      </c>
      <c r="U788" s="3" t="s">
        <v>217</v>
      </c>
      <c r="V788" s="6" t="str">
        <f>PROPER(TRIM(SUBSTITUTE(U788,"  "," ")))</f>
        <v>Guwahati</v>
      </c>
      <c r="W788" s="3" t="s">
        <v>45</v>
      </c>
      <c r="X788" s="6" t="str">
        <f>PROPER(TRIM(SUBSTITUTE(W788,"  "," ")))</f>
        <v>Furniture</v>
      </c>
      <c r="Y788" s="3" t="s">
        <v>46</v>
      </c>
      <c r="Z788" s="6" t="str">
        <f>PROPER(TRIM(SUBSTITUTE(Y788,"  "," ")))</f>
        <v>Tables</v>
      </c>
      <c r="AA788" s="3" t="s">
        <v>2575</v>
      </c>
      <c r="AB788" s="3" t="s">
        <v>33</v>
      </c>
      <c r="AC788" s="6" t="str">
        <f>PROPER(TRIM(SUBSTITUTE(AB788,"  "," ")))</f>
        <v>Second Class</v>
      </c>
      <c r="AD788" s="3">
        <v>9</v>
      </c>
      <c r="AE788" s="3">
        <v>2089.14</v>
      </c>
      <c r="AF788" s="3">
        <v>0.05</v>
      </c>
      <c r="AG788" s="17">
        <v>0.05</v>
      </c>
      <c r="AH788" s="6" t="str">
        <f t="shared" si="100"/>
        <v>Valid</v>
      </c>
      <c r="AI788" s="3">
        <v>17862.150000000001</v>
      </c>
      <c r="AJ788" s="3">
        <v>9892.2099999999991</v>
      </c>
      <c r="AK788" s="3">
        <v>7969.94</v>
      </c>
      <c r="AL788" s="3" t="s">
        <v>200</v>
      </c>
      <c r="AM788" s="6" t="str">
        <f>PROPER(TRIM(SUBSTITUTE(AL788,".","")))</f>
        <v>Failed</v>
      </c>
      <c r="AN788" s="3" t="s">
        <v>78</v>
      </c>
      <c r="AO788" s="8" t="str">
        <f>PROPER(TRIM(SUBSTITUTE(AN788,".","")))</f>
        <v>Cancelled</v>
      </c>
      <c r="AP788" t="str">
        <f>IF(COUNTIF($A$2:$A$933, A788) &gt; 1, "Duplicate ID", "Unique")</f>
        <v>Unique</v>
      </c>
      <c r="AR788">
        <f t="shared" si="101"/>
        <v>17862.146999999997</v>
      </c>
      <c r="AS788">
        <f t="shared" si="102"/>
        <v>7969.9369999999981</v>
      </c>
      <c r="AT788" s="15">
        <f t="shared" si="103"/>
        <v>0.44619143488182017</v>
      </c>
      <c r="AU788" t="str">
        <f t="shared" si="104"/>
        <v>Clean</v>
      </c>
      <c r="AV788" s="8" t="str">
        <f t="shared" si="105"/>
        <v>Cancelled</v>
      </c>
    </row>
    <row r="789" spans="1:48">
      <c r="A789" s="3" t="s">
        <v>2980</v>
      </c>
      <c r="B789" s="3" t="s">
        <v>2553</v>
      </c>
      <c r="C789" s="9">
        <f>IFERROR(DATEVALUE(TEXT(B789,"DD/MM/YYYY")), IF(ISNUMBER(B789), B789, ""))</f>
        <v>45935</v>
      </c>
      <c r="D789" s="9" t="str">
        <f>IF(B789="","Missing", IF(AND(ISNUMBER(B789)=FALSE, C789=""),"Invalid - Could Not Parse", IF(AND(ISNUMBER(B789)=FALSE, C789&lt;&gt;""),"Text - Converted to Date", IF(ISNUMBER(B789),"Valid","Check"))))</f>
        <v>Text - Converted to Date</v>
      </c>
      <c r="E789" s="5">
        <f t="shared" si="98"/>
        <v>10</v>
      </c>
      <c r="F789" s="5">
        <f t="shared" si="99"/>
        <v>2025</v>
      </c>
      <c r="G789" s="3" t="s">
        <v>2981</v>
      </c>
      <c r="H789" s="9">
        <f>IFERROR(DATEVALUE(TEXT(G789,"DD/MM/YYYY")), IF(ISNUMBER(G789), G789, ""))</f>
        <v>45942</v>
      </c>
      <c r="I789" s="9" t="str">
        <f>IF(G789="","Missing", IF(AND(ISNUMBER(G789)=FALSE, H789=""),"Invalid - Could Not Parse", IF(AND(ISNUMBER(G789)=FALSE, H789&lt;&gt;""),"Text - Converted to Date", IF(ISNUMBER(G789),"Valid","Check"))))</f>
        <v>Text - Converted to Date</v>
      </c>
      <c r="J789" s="9" t="str">
        <f>IF(OR(C789="", H789=""), "Cannot Check - Date Missing", IF(H789&lt;C789, "Invalid - Ship Before Order", "Valid"))</f>
        <v>Valid</v>
      </c>
      <c r="K789" s="5">
        <f>IF(OR(C789="", H789=""), "", IF(H789&lt;C789, "", H789-C789))</f>
        <v>7</v>
      </c>
      <c r="L789" s="3" t="s">
        <v>2982</v>
      </c>
      <c r="M789" s="3" t="s">
        <v>72</v>
      </c>
      <c r="N789" s="4" t="str">
        <f>TRIM(SUBSTITUTE(M789,"_"," "))</f>
        <v>Ananya Rao</v>
      </c>
      <c r="O789" s="3" t="s">
        <v>115</v>
      </c>
      <c r="P789" s="6" t="str">
        <f>PROPER(TRIM(SUBSTITUTE(O789,".","")))</f>
        <v>Home Office</v>
      </c>
      <c r="Q789" s="3" t="s">
        <v>42</v>
      </c>
      <c r="R789" s="7" t="str">
        <f>PROPER(TRIM(SUBSTITUTE(Q789,"  "," ")))</f>
        <v>East</v>
      </c>
      <c r="S789" s="3" t="s">
        <v>311</v>
      </c>
      <c r="T789" s="6" t="str">
        <f>PROPER(TRIM(SUBSTITUTE(S789,"  "," ")))</f>
        <v>Jharkhand</v>
      </c>
      <c r="U789" s="3" t="s">
        <v>312</v>
      </c>
      <c r="V789" s="6" t="str">
        <f>PROPER(TRIM(SUBSTITUTE(U789,"  "," ")))</f>
        <v>Ranchi</v>
      </c>
      <c r="W789" s="3" t="s">
        <v>86</v>
      </c>
      <c r="X789" s="6" t="str">
        <f>PROPER(TRIM(SUBSTITUTE(W789,"  "," ")))</f>
        <v>Technology</v>
      </c>
      <c r="Y789" s="3" t="s">
        <v>87</v>
      </c>
      <c r="Z789" s="6" t="str">
        <f>PROPER(TRIM(SUBSTITUTE(Y789,"  "," ")))</f>
        <v>Accessories</v>
      </c>
      <c r="AA789" s="3" t="s">
        <v>2983</v>
      </c>
      <c r="AB789" s="3" t="s">
        <v>48</v>
      </c>
      <c r="AC789" s="6" t="str">
        <f>PROPER(TRIM(SUBSTITUTE(AB789,"  "," ")))</f>
        <v>Same Day</v>
      </c>
      <c r="AD789" s="3">
        <v>7</v>
      </c>
      <c r="AE789" s="3">
        <v>806.67</v>
      </c>
      <c r="AF789" s="3">
        <v>0.05</v>
      </c>
      <c r="AG789" s="17">
        <v>0.05</v>
      </c>
      <c r="AH789" s="6" t="str">
        <f t="shared" si="100"/>
        <v>Valid</v>
      </c>
      <c r="AI789" s="3">
        <v>5364.36</v>
      </c>
      <c r="AJ789" s="3">
        <v>4391.29</v>
      </c>
      <c r="AK789" s="3">
        <v>973.07</v>
      </c>
      <c r="AL789" s="3" t="s">
        <v>34</v>
      </c>
      <c r="AM789" s="6" t="str">
        <f>PROPER(TRIM(SUBSTITUTE(AL789,".","")))</f>
        <v>Paid</v>
      </c>
      <c r="AN789" s="3" t="s">
        <v>35</v>
      </c>
      <c r="AO789" s="8" t="str">
        <f>PROPER(TRIM(SUBSTITUTE(AN789,".","")))</f>
        <v>Completed</v>
      </c>
      <c r="AP789" t="str">
        <f>IF(COUNTIF($A$2:$A$933, A789) &gt; 1, "Duplicate ID", "Unique")</f>
        <v>Unique</v>
      </c>
      <c r="AR789">
        <f t="shared" si="101"/>
        <v>5364.3554999999997</v>
      </c>
      <c r="AS789">
        <f t="shared" si="102"/>
        <v>973.0654999999997</v>
      </c>
      <c r="AT789" s="15">
        <f t="shared" si="103"/>
        <v>0.18139467080434915</v>
      </c>
      <c r="AU789" t="str">
        <f t="shared" si="104"/>
        <v>Clean</v>
      </c>
      <c r="AV789" s="8" t="str">
        <f t="shared" si="105"/>
        <v>Active</v>
      </c>
    </row>
    <row r="790" spans="1:48">
      <c r="A790" s="3" t="s">
        <v>3250</v>
      </c>
      <c r="B790" s="3" t="s">
        <v>227</v>
      </c>
      <c r="C790" s="9">
        <f>IFERROR(DATEVALUE(TEXT(B790,"DD/MM/YYYY")), IF(ISNUMBER(B790), B790, ""))</f>
        <v>45935</v>
      </c>
      <c r="D790" s="9" t="str">
        <f>IF(B790="","Missing", IF(AND(ISNUMBER(B790)=FALSE, C790=""),"Invalid - Could Not Parse", IF(AND(ISNUMBER(B790)=FALSE, C790&lt;&gt;""),"Text - Converted to Date", IF(ISNUMBER(B790),"Valid","Check"))))</f>
        <v>Text - Converted to Date</v>
      </c>
      <c r="E790" s="5">
        <f t="shared" si="98"/>
        <v>10</v>
      </c>
      <c r="F790" s="5">
        <f t="shared" si="99"/>
        <v>2025</v>
      </c>
      <c r="G790" s="3" t="s">
        <v>3251</v>
      </c>
      <c r="H790" s="9">
        <f>IFERROR(DATEVALUE(TEXT(G790,"DD/MM/YYYY")), IF(ISNUMBER(G790), G790, ""))</f>
        <v>45940</v>
      </c>
      <c r="I790" s="9" t="str">
        <f>IF(G790="","Missing", IF(AND(ISNUMBER(G790)=FALSE, H790=""),"Invalid - Could Not Parse", IF(AND(ISNUMBER(G790)=FALSE, H790&lt;&gt;""),"Text - Converted to Date", IF(ISNUMBER(G790),"Valid","Check"))))</f>
        <v>Text - Converted to Date</v>
      </c>
      <c r="J790" s="9" t="str">
        <f>IF(OR(C790="", H790=""), "Cannot Check - Date Missing", IF(H790&lt;C790, "Invalid - Ship Before Order", "Valid"))</f>
        <v>Valid</v>
      </c>
      <c r="K790" s="5">
        <f>IF(OR(C790="", H790=""), "", IF(H790&lt;C790, "", H790-C790))</f>
        <v>5</v>
      </c>
      <c r="L790" s="3" t="s">
        <v>3252</v>
      </c>
      <c r="M790" s="3" t="s">
        <v>53</v>
      </c>
      <c r="N790" s="4" t="str">
        <f>TRIM(SUBSTITUTE(M790,"_"," "))</f>
        <v>Isha Nair</v>
      </c>
      <c r="O790" s="3" t="s">
        <v>1781</v>
      </c>
      <c r="P790" s="6" t="str">
        <f>PROPER(TRIM(SUBSTITUTE(O790,".","")))</f>
        <v>Corporate</v>
      </c>
      <c r="Q790" s="3" t="s">
        <v>62</v>
      </c>
      <c r="R790" s="7" t="str">
        <f>PROPER(TRIM(SUBSTITUTE(Q790,"  "," ")))</f>
        <v>South</v>
      </c>
      <c r="S790" s="3" t="s">
        <v>229</v>
      </c>
      <c r="T790" s="6" t="str">
        <f>PROPER(TRIM(SUBSTITUTE(S790,"  "," ")))</f>
        <v>Karnataka</v>
      </c>
      <c r="U790" s="3" t="s">
        <v>230</v>
      </c>
      <c r="V790" s="6" t="str">
        <f>PROPER(TRIM(SUBSTITUTE(U790,"  "," ")))</f>
        <v>Bengaluru</v>
      </c>
      <c r="W790" s="3" t="s">
        <v>45</v>
      </c>
      <c r="X790" s="6" t="str">
        <f>PROPER(TRIM(SUBSTITUTE(W790,"  "," ")))</f>
        <v>Furniture</v>
      </c>
      <c r="Y790" s="3" t="s">
        <v>65</v>
      </c>
      <c r="Z790" s="6" t="str">
        <f>PROPER(TRIM(SUBSTITUTE(Y790,"  "," ")))</f>
        <v>Furnishings</v>
      </c>
      <c r="AA790" s="3" t="s">
        <v>3253</v>
      </c>
      <c r="AB790" s="3" t="s">
        <v>33</v>
      </c>
      <c r="AC790" s="6" t="str">
        <f>PROPER(TRIM(SUBSTITUTE(AB790,"  "," ")))</f>
        <v>Second Class</v>
      </c>
      <c r="AD790" s="3">
        <v>4</v>
      </c>
      <c r="AE790" s="3">
        <v>2365.6799999999998</v>
      </c>
      <c r="AF790" s="3">
        <v>0.1</v>
      </c>
      <c r="AG790" s="17">
        <v>0.1</v>
      </c>
      <c r="AH790" s="6" t="str">
        <f t="shared" si="100"/>
        <v>Valid</v>
      </c>
      <c r="AI790" s="3">
        <v>8516.4500000000007</v>
      </c>
      <c r="AJ790" s="3">
        <v>5903.81</v>
      </c>
      <c r="AK790" s="3">
        <v>2612.64</v>
      </c>
      <c r="AL790" s="3" t="s">
        <v>34</v>
      </c>
      <c r="AM790" s="6" t="str">
        <f>PROPER(TRIM(SUBSTITUTE(AL790,".","")))</f>
        <v>Paid</v>
      </c>
      <c r="AN790" s="3" t="s">
        <v>35</v>
      </c>
      <c r="AO790" s="8" t="str">
        <f>PROPER(TRIM(SUBSTITUTE(AN790,".","")))</f>
        <v>Completed</v>
      </c>
      <c r="AP790" t="str">
        <f>IF(COUNTIF($A$2:$A$933, A790) &gt; 1, "Duplicate ID", "Unique")</f>
        <v>Unique</v>
      </c>
      <c r="AR790">
        <f t="shared" si="101"/>
        <v>8516.4480000000003</v>
      </c>
      <c r="AS790">
        <f t="shared" si="102"/>
        <v>2612.6379999999999</v>
      </c>
      <c r="AT790" s="15">
        <f t="shared" si="103"/>
        <v>0.30677554774009069</v>
      </c>
      <c r="AU790" t="str">
        <f t="shared" si="104"/>
        <v>Clean</v>
      </c>
      <c r="AV790" s="8" t="str">
        <f t="shared" si="105"/>
        <v>Active</v>
      </c>
    </row>
    <row r="791" spans="1:48">
      <c r="A791" s="3" t="s">
        <v>885</v>
      </c>
      <c r="B791" s="3" t="s">
        <v>886</v>
      </c>
      <c r="C791" s="9">
        <f>IFERROR(DATEVALUE(TEXT(B791,"DD/MM/YYYY")), IF(ISNUMBER(B791), B791, ""))</f>
        <v>45938</v>
      </c>
      <c r="D791" s="9" t="str">
        <f>IF(B791="","Missing", IF(AND(ISNUMBER(B791)=FALSE, C791=""),"Invalid - Could Not Parse", IF(AND(ISNUMBER(B791)=FALSE, C791&lt;&gt;""),"Text - Converted to Date", IF(ISNUMBER(B791),"Valid","Check"))))</f>
        <v>Text - Converted to Date</v>
      </c>
      <c r="E791" s="5">
        <f t="shared" si="98"/>
        <v>10</v>
      </c>
      <c r="F791" s="5">
        <f t="shared" si="99"/>
        <v>2025</v>
      </c>
      <c r="G791" s="3" t="s">
        <v>887</v>
      </c>
      <c r="H791" s="9">
        <f>IFERROR(DATEVALUE(TEXT(G791,"DD/MM/YYYY")), IF(ISNUMBER(G791), G791, ""))</f>
        <v>45818</v>
      </c>
      <c r="I791" s="9" t="str">
        <f>IF(G791="","Missing", IF(AND(ISNUMBER(G791)=FALSE, H791=""),"Invalid - Could Not Parse", IF(AND(ISNUMBER(G791)=FALSE, H791&lt;&gt;""),"Text - Converted to Date", IF(ISNUMBER(G791),"Valid","Check"))))</f>
        <v>Text - Converted to Date</v>
      </c>
      <c r="J791" s="9" t="str">
        <f>IF(OR(C791="", H791=""), "Cannot Check - Date Missing", IF(H791&lt;C791, "Invalid - Ship Before Order", "Valid"))</f>
        <v>Invalid - Ship Before Order</v>
      </c>
      <c r="K791" s="5" t="str">
        <f>IF(OR(C791="", H791=""), "", IF(H791&lt;C791, "", H791-C791))</f>
        <v/>
      </c>
      <c r="L791" s="3" t="s">
        <v>888</v>
      </c>
      <c r="M791" s="3" t="s">
        <v>83</v>
      </c>
      <c r="N791" s="4" t="str">
        <f>TRIM(SUBSTITUTE(M791,"_"," "))</f>
        <v>Vikram Iyer</v>
      </c>
      <c r="O791" s="3" t="s">
        <v>41</v>
      </c>
      <c r="P791" s="6" t="str">
        <f>PROPER(TRIM(SUBSTITUTE(O791,".","")))</f>
        <v>Small Business</v>
      </c>
      <c r="Q791" s="3" t="s">
        <v>73</v>
      </c>
      <c r="R791" s="7" t="str">
        <f>PROPER(TRIM(SUBSTITUTE(Q791,"  "," ")))</f>
        <v>West</v>
      </c>
      <c r="S791" s="3" t="s">
        <v>74</v>
      </c>
      <c r="T791" s="6" t="str">
        <f>PROPER(TRIM(SUBSTITUTE(S791,"  "," ")))</f>
        <v>Maharashtra</v>
      </c>
      <c r="U791" s="3" t="s">
        <v>75</v>
      </c>
      <c r="V791" s="6" t="str">
        <f>PROPER(TRIM(SUBSTITUTE(U791,"  "," ")))</f>
        <v>Mumbai</v>
      </c>
      <c r="W791" s="3" t="s">
        <v>30</v>
      </c>
      <c r="X791" s="6" t="str">
        <f>PROPER(TRIM(SUBSTITUTE(W791,"  "," ")))</f>
        <v>Office Supplies</v>
      </c>
      <c r="Y791" s="3" t="s">
        <v>31</v>
      </c>
      <c r="Z791" s="6" t="str">
        <f>PROPER(TRIM(SUBSTITUTE(Y791,"  "," ")))</f>
        <v>Paper</v>
      </c>
      <c r="AA791" s="3" t="s">
        <v>889</v>
      </c>
      <c r="AB791" s="3" t="s">
        <v>33</v>
      </c>
      <c r="AC791" s="6" t="str">
        <f>PROPER(TRIM(SUBSTITUTE(AB791,"  "," ")))</f>
        <v>Second Class</v>
      </c>
      <c r="AD791" s="3">
        <v>4</v>
      </c>
      <c r="AE791" s="3">
        <v>1260.42</v>
      </c>
      <c r="AF791" s="3">
        <v>0.05</v>
      </c>
      <c r="AG791" s="17">
        <v>0.05</v>
      </c>
      <c r="AH791" s="6" t="str">
        <f t="shared" si="100"/>
        <v>Valid</v>
      </c>
      <c r="AI791" s="3">
        <v>4789.6000000000004</v>
      </c>
      <c r="AJ791" s="3">
        <v>4037.64</v>
      </c>
      <c r="AK791" s="3">
        <v>751.96</v>
      </c>
      <c r="AL791" s="3" t="s">
        <v>137</v>
      </c>
      <c r="AM791" s="6" t="str">
        <f>PROPER(TRIM(SUBSTITUTE(AL791,".","")))</f>
        <v>Pending</v>
      </c>
      <c r="AN791" s="3" t="s">
        <v>78</v>
      </c>
      <c r="AO791" s="8" t="str">
        <f>PROPER(TRIM(SUBSTITUTE(AN791,".","")))</f>
        <v>Cancelled</v>
      </c>
      <c r="AP791" t="str">
        <f>IF(COUNTIF($A$2:$A$933, A791) &gt; 1, "Duplicate ID", "Unique")</f>
        <v>Unique</v>
      </c>
      <c r="AR791">
        <f t="shared" si="101"/>
        <v>4789.5960000000005</v>
      </c>
      <c r="AS791">
        <f t="shared" si="102"/>
        <v>751.95600000000059</v>
      </c>
      <c r="AT791" s="15">
        <f t="shared" si="103"/>
        <v>0.1569977927157114</v>
      </c>
      <c r="AU791" t="str">
        <f t="shared" si="104"/>
        <v>Invalid</v>
      </c>
      <c r="AV791" s="8" t="str">
        <f t="shared" si="105"/>
        <v>Cancelled</v>
      </c>
    </row>
    <row r="792" spans="1:48">
      <c r="A792" s="3" t="s">
        <v>3229</v>
      </c>
      <c r="B792" s="3" t="s">
        <v>1191</v>
      </c>
      <c r="C792" s="9">
        <f>IFERROR(DATEVALUE(TEXT(B792,"DD/MM/YYYY")), IF(ISNUMBER(B792), B792, ""))</f>
        <v>45938</v>
      </c>
      <c r="D792" s="9" t="str">
        <f>IF(B792="","Missing", IF(AND(ISNUMBER(B792)=FALSE, C792=""),"Invalid - Could Not Parse", IF(AND(ISNUMBER(B792)=FALSE, C792&lt;&gt;""),"Text - Converted to Date", IF(ISNUMBER(B792),"Valid","Check"))))</f>
        <v>Text - Converted to Date</v>
      </c>
      <c r="E792" s="5">
        <f t="shared" si="98"/>
        <v>10</v>
      </c>
      <c r="F792" s="5">
        <f t="shared" si="99"/>
        <v>2025</v>
      </c>
      <c r="G792" s="3" t="s">
        <v>3230</v>
      </c>
      <c r="H792" s="9">
        <f>IFERROR(DATEVALUE(TEXT(G792,"DD/MM/YYYY")), IF(ISNUMBER(G792), G792, ""))</f>
        <v>45943</v>
      </c>
      <c r="I792" s="9" t="str">
        <f>IF(G792="","Missing", IF(AND(ISNUMBER(G792)=FALSE, H792=""),"Invalid - Could Not Parse", IF(AND(ISNUMBER(G792)=FALSE, H792&lt;&gt;""),"Text - Converted to Date", IF(ISNUMBER(G792),"Valid","Check"))))</f>
        <v>Text - Converted to Date</v>
      </c>
      <c r="J792" s="9" t="str">
        <f>IF(OR(C792="", H792=""), "Cannot Check - Date Missing", IF(H792&lt;C792, "Invalid - Ship Before Order", "Valid"))</f>
        <v>Valid</v>
      </c>
      <c r="K792" s="5">
        <f>IF(OR(C792="", H792=""), "", IF(H792&lt;C792, "", H792-C792))</f>
        <v>5</v>
      </c>
      <c r="L792" s="3" t="s">
        <v>3231</v>
      </c>
      <c r="M792" s="3" t="s">
        <v>40</v>
      </c>
      <c r="N792" s="4" t="str">
        <f>TRIM(SUBSTITUTE(M792,"_"," "))</f>
        <v>Mira Das</v>
      </c>
      <c r="O792" s="3" t="s">
        <v>115</v>
      </c>
      <c r="P792" s="6" t="str">
        <f>PROPER(TRIM(SUBSTITUTE(O792,".","")))</f>
        <v>Home Office</v>
      </c>
      <c r="Q792" s="3" t="s">
        <v>27</v>
      </c>
      <c r="R792" s="7" t="str">
        <f>PROPER(TRIM(SUBSTITUTE(Q792,"  "," ")))</f>
        <v>North</v>
      </c>
      <c r="S792" s="3" t="s">
        <v>154</v>
      </c>
      <c r="T792" s="6" t="str">
        <f>PROPER(TRIM(SUBSTITUTE(S792,"  "," ")))</f>
        <v>Punjab</v>
      </c>
      <c r="U792" s="3" t="s">
        <v>155</v>
      </c>
      <c r="V792" s="6" t="str">
        <f>PROPER(TRIM(SUBSTITUTE(U792,"  "," ")))</f>
        <v>Ludhiana</v>
      </c>
      <c r="W792" s="3" t="s">
        <v>45</v>
      </c>
      <c r="X792" s="6" t="str">
        <f>PROPER(TRIM(SUBSTITUTE(W792,"  "," ")))</f>
        <v>Furniture</v>
      </c>
      <c r="Y792" s="3" t="s">
        <v>46</v>
      </c>
      <c r="Z792" s="6" t="str">
        <f>PROPER(TRIM(SUBSTITUTE(Y792,"  "," ")))</f>
        <v>Tables</v>
      </c>
      <c r="AA792" s="3" t="s">
        <v>3232</v>
      </c>
      <c r="AB792" s="3" t="s">
        <v>56</v>
      </c>
      <c r="AC792" s="6" t="str">
        <f>PROPER(TRIM(SUBSTITUTE(AB792,"  "," ")))</f>
        <v>First Class</v>
      </c>
      <c r="AD792" s="3">
        <v>4</v>
      </c>
      <c r="AE792" s="3">
        <v>172.05</v>
      </c>
      <c r="AF792" s="3">
        <v>0</v>
      </c>
      <c r="AG792" s="17">
        <v>0</v>
      </c>
      <c r="AH792" s="6" t="str">
        <f t="shared" si="100"/>
        <v>Valid</v>
      </c>
      <c r="AI792" s="3">
        <v>688.2</v>
      </c>
      <c r="AJ792" s="3">
        <v>497.68</v>
      </c>
      <c r="AK792" s="3">
        <v>190.52</v>
      </c>
      <c r="AL792" s="3" t="s">
        <v>200</v>
      </c>
      <c r="AM792" s="6" t="str">
        <f>PROPER(TRIM(SUBSTITUTE(AL792,".","")))</f>
        <v>Failed</v>
      </c>
      <c r="AN792" s="3" t="s">
        <v>78</v>
      </c>
      <c r="AO792" s="8" t="str">
        <f>PROPER(TRIM(SUBSTITUTE(AN792,".","")))</f>
        <v>Cancelled</v>
      </c>
      <c r="AP792" t="str">
        <f>IF(COUNTIF($A$2:$A$933, A792) &gt; 1, "Duplicate ID", "Unique")</f>
        <v>Unique</v>
      </c>
      <c r="AR792">
        <f t="shared" si="101"/>
        <v>688.2</v>
      </c>
      <c r="AS792">
        <f t="shared" si="102"/>
        <v>190.52000000000004</v>
      </c>
      <c r="AT792" s="15">
        <f t="shared" si="103"/>
        <v>0.27683812845103173</v>
      </c>
      <c r="AU792" t="str">
        <f t="shared" si="104"/>
        <v>Clean</v>
      </c>
      <c r="AV792" s="8" t="str">
        <f t="shared" si="105"/>
        <v>Cancelled</v>
      </c>
    </row>
    <row r="793" spans="1:48">
      <c r="A793" s="3" t="s">
        <v>3688</v>
      </c>
      <c r="B793" s="3" t="s">
        <v>3689</v>
      </c>
      <c r="C793" s="9">
        <f>IFERROR(DATEVALUE(TEXT(B793,"DD/MM/YYYY")), IF(ISNUMBER(B793), B793, ""))</f>
        <v>45938</v>
      </c>
      <c r="D793" s="9" t="str">
        <f>IF(B793="","Missing", IF(AND(ISNUMBER(B793)=FALSE, C793=""),"Invalid - Could Not Parse", IF(AND(ISNUMBER(B793)=FALSE, C793&lt;&gt;""),"Text - Converted to Date", IF(ISNUMBER(B793),"Valid","Check"))))</f>
        <v>Text - Converted to Date</v>
      </c>
      <c r="E793" s="5">
        <f t="shared" si="98"/>
        <v>10</v>
      </c>
      <c r="F793" s="5">
        <f t="shared" si="99"/>
        <v>2025</v>
      </c>
      <c r="G793" s="3" t="s">
        <v>309</v>
      </c>
      <c r="H793" s="9">
        <f>IFERROR(DATEVALUE(TEXT(G793,"DD/MM/YYYY")), IF(ISNUMBER(G793), G793, ""))</f>
        <v>45945</v>
      </c>
      <c r="I793" s="9" t="str">
        <f>IF(G793="","Missing", IF(AND(ISNUMBER(G793)=FALSE, H793=""),"Invalid - Could Not Parse", IF(AND(ISNUMBER(G793)=FALSE, H793&lt;&gt;""),"Text - Converted to Date", IF(ISNUMBER(G793),"Valid","Check"))))</f>
        <v>Text - Converted to Date</v>
      </c>
      <c r="J793" s="9" t="str">
        <f>IF(OR(C793="", H793=""), "Cannot Check - Date Missing", IF(H793&lt;C793, "Invalid - Ship Before Order", "Valid"))</f>
        <v>Valid</v>
      </c>
      <c r="K793" s="5">
        <f>IF(OR(C793="", H793=""), "", IF(H793&lt;C793, "", H793-C793))</f>
        <v>7</v>
      </c>
      <c r="L793" s="3" t="s">
        <v>3690</v>
      </c>
      <c r="M793" s="3" t="s">
        <v>162</v>
      </c>
      <c r="N793" s="4" t="str">
        <f>TRIM(SUBSTITUTE(M793,"_"," "))</f>
        <v>Aarav Sharma</v>
      </c>
      <c r="O793" s="3" t="s">
        <v>115</v>
      </c>
      <c r="P793" s="6" t="str">
        <f>PROPER(TRIM(SUBSTITUTE(O793,".","")))</f>
        <v>Home Office</v>
      </c>
      <c r="Q793" s="3" t="s">
        <v>42</v>
      </c>
      <c r="R793" s="7" t="str">
        <f>PROPER(TRIM(SUBSTITUTE(Q793,"  "," ")))</f>
        <v>East</v>
      </c>
      <c r="S793" s="3" t="s">
        <v>43</v>
      </c>
      <c r="T793" s="6" t="str">
        <f>PROPER(TRIM(SUBSTITUTE(S793,"  "," ")))</f>
        <v>Odisha</v>
      </c>
      <c r="U793" s="3" t="s">
        <v>44</v>
      </c>
      <c r="V793" s="6" t="str">
        <f>PROPER(TRIM(SUBSTITUTE(U793,"  "," ")))</f>
        <v>Bhubaneswar</v>
      </c>
      <c r="W793" s="3" t="s">
        <v>86</v>
      </c>
      <c r="X793" s="6" t="str">
        <f>PROPER(TRIM(SUBSTITUTE(W793,"  "," ")))</f>
        <v>Technology</v>
      </c>
      <c r="Y793" s="3" t="s">
        <v>87</v>
      </c>
      <c r="Z793" s="6" t="str">
        <f>PROPER(TRIM(SUBSTITUTE(Y793,"  "," ")))</f>
        <v>Accessories</v>
      </c>
      <c r="AA793" s="3" t="s">
        <v>3691</v>
      </c>
      <c r="AB793" s="3" t="s">
        <v>33</v>
      </c>
      <c r="AC793" s="6" t="str">
        <f>PROPER(TRIM(SUBSTITUTE(AB793,"  "," ")))</f>
        <v>Second Class</v>
      </c>
      <c r="AD793" s="3">
        <v>3</v>
      </c>
      <c r="AE793" s="3">
        <v>3372.21</v>
      </c>
      <c r="AF793" s="3">
        <v>0.2</v>
      </c>
      <c r="AG793" s="17">
        <v>0.2</v>
      </c>
      <c r="AH793" s="6" t="str">
        <f t="shared" si="100"/>
        <v>Valid</v>
      </c>
      <c r="AI793" s="3">
        <v>8093.3</v>
      </c>
      <c r="AJ793" s="3">
        <v>6052.43</v>
      </c>
      <c r="AK793" s="3">
        <v>2040.87</v>
      </c>
      <c r="AL793" s="3" t="s">
        <v>137</v>
      </c>
      <c r="AM793" s="6" t="str">
        <f>PROPER(TRIM(SUBSTITUTE(AL793,".","")))</f>
        <v>Pending</v>
      </c>
      <c r="AN793" s="3" t="s">
        <v>78</v>
      </c>
      <c r="AO793" s="8" t="str">
        <f>PROPER(TRIM(SUBSTITUTE(AN793,".","")))</f>
        <v>Cancelled</v>
      </c>
      <c r="AP793" t="str">
        <f>IF(COUNTIF($A$2:$A$933, A793) &gt; 1, "Duplicate ID", "Unique")</f>
        <v>Unique</v>
      </c>
      <c r="AR793">
        <f t="shared" si="101"/>
        <v>8093.304000000001</v>
      </c>
      <c r="AS793">
        <f t="shared" si="102"/>
        <v>2040.8740000000007</v>
      </c>
      <c r="AT793" s="15">
        <f t="shared" si="103"/>
        <v>0.25216821214179036</v>
      </c>
      <c r="AU793" t="str">
        <f t="shared" si="104"/>
        <v>Clean</v>
      </c>
      <c r="AV793" s="8" t="str">
        <f t="shared" si="105"/>
        <v>Cancelled</v>
      </c>
    </row>
    <row r="794" spans="1:48">
      <c r="A794" s="3" t="s">
        <v>2984</v>
      </c>
      <c r="B794" s="3" t="s">
        <v>573</v>
      </c>
      <c r="C794" s="9">
        <f>IFERROR(DATEVALUE(TEXT(B794,"DD/MM/YYYY")), IF(ISNUMBER(B794), B794, ""))</f>
        <v>45939</v>
      </c>
      <c r="D794" s="9" t="str">
        <f>IF(B794="","Missing", IF(AND(ISNUMBER(B794)=FALSE, C794=""),"Invalid - Could Not Parse", IF(AND(ISNUMBER(B794)=FALSE, C794&lt;&gt;""),"Text - Converted to Date", IF(ISNUMBER(B794),"Valid","Check"))))</f>
        <v>Text - Converted to Date</v>
      </c>
      <c r="E794" s="5">
        <f t="shared" si="98"/>
        <v>10</v>
      </c>
      <c r="F794" s="5">
        <f t="shared" si="99"/>
        <v>2025</v>
      </c>
      <c r="G794" s="3" t="s">
        <v>2985</v>
      </c>
      <c r="H794" s="9">
        <f>IFERROR(DATEVALUE(TEXT(G794,"DD/MM/YYYY")), IF(ISNUMBER(G794), G794, ""))</f>
        <v>45914</v>
      </c>
      <c r="I794" s="9" t="str">
        <f>IF(G794="","Missing", IF(AND(ISNUMBER(G794)=FALSE, H794=""),"Invalid - Could Not Parse", IF(AND(ISNUMBER(G794)=FALSE, H794&lt;&gt;""),"Text - Converted to Date", IF(ISNUMBER(G794),"Valid","Check"))))</f>
        <v>Text - Converted to Date</v>
      </c>
      <c r="J794" s="9" t="str">
        <f>IF(OR(C794="", H794=""), "Cannot Check - Date Missing", IF(H794&lt;C794, "Invalid - Ship Before Order", "Valid"))</f>
        <v>Invalid - Ship Before Order</v>
      </c>
      <c r="K794" s="5" t="str">
        <f>IF(OR(C794="", H794=""), "", IF(H794&lt;C794, "", H794-C794))</f>
        <v/>
      </c>
      <c r="L794" s="3" t="s">
        <v>2986</v>
      </c>
      <c r="M794" s="3" t="s">
        <v>61</v>
      </c>
      <c r="N794" s="4" t="str">
        <f>TRIM(SUBSTITUTE(M794,"_"," "))</f>
        <v>Arjun Bose</v>
      </c>
      <c r="O794" s="3" t="s">
        <v>115</v>
      </c>
      <c r="P794" s="6" t="str">
        <f>PROPER(TRIM(SUBSTITUTE(O794,".","")))</f>
        <v>Home Office</v>
      </c>
      <c r="Q794" s="3" t="s">
        <v>73</v>
      </c>
      <c r="R794" s="7" t="str">
        <f>PROPER(TRIM(SUBSTITUTE(Q794,"  "," ")))</f>
        <v>West</v>
      </c>
      <c r="S794" s="3" t="s">
        <v>235</v>
      </c>
      <c r="T794" s="6" t="str">
        <f>PROPER(TRIM(SUBSTITUTE(S794,"  "," ")))</f>
        <v>Gujarat</v>
      </c>
      <c r="U794" s="3" t="s">
        <v>236</v>
      </c>
      <c r="V794" s="6" t="str">
        <f>PROPER(TRIM(SUBSTITUTE(U794,"  "," ")))</f>
        <v>Ahmedabad</v>
      </c>
      <c r="W794" s="3" t="s">
        <v>45</v>
      </c>
      <c r="X794" s="6" t="str">
        <f>PROPER(TRIM(SUBSTITUTE(W794,"  "," ")))</f>
        <v>Furniture</v>
      </c>
      <c r="Y794" s="3" t="s">
        <v>46</v>
      </c>
      <c r="Z794" s="6" t="str">
        <f>PROPER(TRIM(SUBSTITUTE(Y794,"  "," ")))</f>
        <v>Tables</v>
      </c>
      <c r="AA794" s="3" t="s">
        <v>2987</v>
      </c>
      <c r="AB794" s="3" t="s">
        <v>48</v>
      </c>
      <c r="AC794" s="6" t="str">
        <f>PROPER(TRIM(SUBSTITUTE(AB794,"  "," ")))</f>
        <v>Same Day</v>
      </c>
      <c r="AD794" s="3">
        <v>3</v>
      </c>
      <c r="AE794" s="3">
        <v>4198.46</v>
      </c>
      <c r="AF794" s="3">
        <v>0.15</v>
      </c>
      <c r="AG794" s="17">
        <v>0.15</v>
      </c>
      <c r="AH794" s="6" t="str">
        <f t="shared" si="100"/>
        <v>Valid</v>
      </c>
      <c r="AI794" s="3">
        <v>10706.07</v>
      </c>
      <c r="AJ794" s="3">
        <v>5927.1</v>
      </c>
      <c r="AK794" s="3">
        <v>4778.97</v>
      </c>
      <c r="AL794" s="3" t="s">
        <v>34</v>
      </c>
      <c r="AM794" s="6" t="str">
        <f>PROPER(TRIM(SUBSTITUTE(AL794,".","")))</f>
        <v>Paid</v>
      </c>
      <c r="AN794" s="3" t="s">
        <v>35</v>
      </c>
      <c r="AO794" s="8" t="str">
        <f>PROPER(TRIM(SUBSTITUTE(AN794,".","")))</f>
        <v>Completed</v>
      </c>
      <c r="AP794" t="str">
        <f>IF(COUNTIF($A$2:$A$933, A794) &gt; 1, "Duplicate ID", "Unique")</f>
        <v>Unique</v>
      </c>
      <c r="AR794">
        <f t="shared" si="101"/>
        <v>10706.073</v>
      </c>
      <c r="AS794">
        <f t="shared" si="102"/>
        <v>4778.973</v>
      </c>
      <c r="AT794" s="15">
        <f t="shared" si="103"/>
        <v>0.44637963892082555</v>
      </c>
      <c r="AU794" t="str">
        <f t="shared" si="104"/>
        <v>Invalid</v>
      </c>
      <c r="AV794" s="8" t="str">
        <f t="shared" si="105"/>
        <v>Active</v>
      </c>
    </row>
    <row r="795" spans="1:48">
      <c r="A795" s="3" t="s">
        <v>307</v>
      </c>
      <c r="B795" s="3" t="s">
        <v>308</v>
      </c>
      <c r="C795" s="9">
        <f>IFERROR(DATEVALUE(TEXT(B795,"DD/MM/YYYY")), IF(ISNUMBER(B795), B795, ""))</f>
        <v>45940</v>
      </c>
      <c r="D795" s="9" t="str">
        <f>IF(B795="","Missing", IF(AND(ISNUMBER(B795)=FALSE, C795=""),"Invalid - Could Not Parse", IF(AND(ISNUMBER(B795)=FALSE, C795&lt;&gt;""),"Text - Converted to Date", IF(ISNUMBER(B795),"Valid","Check"))))</f>
        <v>Text - Converted to Date</v>
      </c>
      <c r="E795" s="5">
        <f t="shared" si="98"/>
        <v>10</v>
      </c>
      <c r="F795" s="5">
        <f t="shared" si="99"/>
        <v>2025</v>
      </c>
      <c r="G795" s="3" t="s">
        <v>309</v>
      </c>
      <c r="H795" s="9">
        <f>IFERROR(DATEVALUE(TEXT(G795,"DD/MM/YYYY")), IF(ISNUMBER(G795), G795, ""))</f>
        <v>45945</v>
      </c>
      <c r="I795" s="9" t="str">
        <f>IF(G795="","Missing", IF(AND(ISNUMBER(G795)=FALSE, H795=""),"Invalid - Could Not Parse", IF(AND(ISNUMBER(G795)=FALSE, H795&lt;&gt;""),"Text - Converted to Date", IF(ISNUMBER(G795),"Valid","Check"))))</f>
        <v>Text - Converted to Date</v>
      </c>
      <c r="J795" s="9" t="str">
        <f>IF(OR(C795="", H795=""), "Cannot Check - Date Missing", IF(H795&lt;C795, "Invalid - Ship Before Order", "Valid"))</f>
        <v>Valid</v>
      </c>
      <c r="K795" s="5">
        <f>IF(OR(C795="", H795=""), "", IF(H795&lt;C795, "", H795-C795))</f>
        <v>5</v>
      </c>
      <c r="L795" s="3" t="s">
        <v>310</v>
      </c>
      <c r="M795" s="3" t="s">
        <v>61</v>
      </c>
      <c r="N795" s="4" t="str">
        <f>TRIM(SUBSTITUTE(M795,"_"," "))</f>
        <v>Arjun Bose</v>
      </c>
      <c r="O795" s="3" t="s">
        <v>108</v>
      </c>
      <c r="P795" s="6" t="str">
        <f>PROPER(TRIM(SUBSTITUTE(O795,".","")))</f>
        <v>Corporate</v>
      </c>
      <c r="Q795" s="3" t="s">
        <v>42</v>
      </c>
      <c r="R795" s="7" t="str">
        <f>PROPER(TRIM(SUBSTITUTE(Q795,"  "," ")))</f>
        <v>East</v>
      </c>
      <c r="S795" s="3" t="s">
        <v>311</v>
      </c>
      <c r="T795" s="6" t="str">
        <f>PROPER(TRIM(SUBSTITUTE(S795,"  "," ")))</f>
        <v>Jharkhand</v>
      </c>
      <c r="U795" s="3" t="s">
        <v>312</v>
      </c>
      <c r="V795" s="6" t="str">
        <f>PROPER(TRIM(SUBSTITUTE(U795,"  "," ")))</f>
        <v>Ranchi</v>
      </c>
      <c r="W795" s="3" t="s">
        <v>86</v>
      </c>
      <c r="X795" s="6" t="str">
        <f>PROPER(TRIM(SUBSTITUTE(W795,"  "," ")))</f>
        <v>Technology</v>
      </c>
      <c r="Y795" s="3" t="s">
        <v>223</v>
      </c>
      <c r="Z795" s="6" t="str">
        <f>PROPER(TRIM(SUBSTITUTE(Y795,"  "," ")))</f>
        <v>Phones</v>
      </c>
      <c r="AA795" s="3" t="s">
        <v>313</v>
      </c>
      <c r="AB795" s="3" t="s">
        <v>67</v>
      </c>
      <c r="AC795" s="6" t="str">
        <f>PROPER(TRIM(SUBSTITUTE(AB795,"  "," ")))</f>
        <v>Standard Class</v>
      </c>
      <c r="AD795" s="3">
        <v>8</v>
      </c>
      <c r="AE795" s="3">
        <v>979.87</v>
      </c>
      <c r="AF795" s="3">
        <v>0.05</v>
      </c>
      <c r="AG795" s="17">
        <v>0.05</v>
      </c>
      <c r="AH795" s="6" t="str">
        <f t="shared" si="100"/>
        <v>Valid</v>
      </c>
      <c r="AI795" s="3">
        <v>7447.01</v>
      </c>
      <c r="AJ795" s="3">
        <v>4496.22</v>
      </c>
      <c r="AK795" s="3">
        <v>2950.79</v>
      </c>
      <c r="AL795" s="3" t="s">
        <v>34</v>
      </c>
      <c r="AM795" s="6" t="str">
        <f>PROPER(TRIM(SUBSTITUTE(AL795,".","")))</f>
        <v>Paid</v>
      </c>
      <c r="AN795" s="3" t="s">
        <v>35</v>
      </c>
      <c r="AO795" s="8" t="str">
        <f>PROPER(TRIM(SUBSTITUTE(AN795,".","")))</f>
        <v>Completed</v>
      </c>
      <c r="AP795" t="str">
        <f>IF(COUNTIF($A$2:$A$933, A795) &gt; 1, "Duplicate ID", "Unique")</f>
        <v>Unique</v>
      </c>
      <c r="AR795">
        <f t="shared" si="101"/>
        <v>7447.0119999999997</v>
      </c>
      <c r="AS795">
        <f t="shared" si="102"/>
        <v>2950.7919999999995</v>
      </c>
      <c r="AT795" s="15">
        <f t="shared" si="103"/>
        <v>0.39623838393170302</v>
      </c>
      <c r="AU795" t="str">
        <f t="shared" si="104"/>
        <v>Clean</v>
      </c>
      <c r="AV795" s="8" t="str">
        <f t="shared" si="105"/>
        <v>Active</v>
      </c>
    </row>
    <row r="796" spans="1:48">
      <c r="A796" s="3" t="s">
        <v>3801</v>
      </c>
      <c r="B796" s="3" t="s">
        <v>3802</v>
      </c>
      <c r="C796" s="9">
        <f>IFERROR(DATEVALUE(TEXT(B796,"DD/MM/YYYY")), IF(ISNUMBER(B796), B796, ""))</f>
        <v>45940</v>
      </c>
      <c r="D796" s="9" t="str">
        <f>IF(B796="","Missing", IF(AND(ISNUMBER(B796)=FALSE, C796=""),"Invalid - Could Not Parse", IF(AND(ISNUMBER(B796)=FALSE, C796&lt;&gt;""),"Text - Converted to Date", IF(ISNUMBER(B796),"Valid","Check"))))</f>
        <v>Text - Converted to Date</v>
      </c>
      <c r="E796" s="5">
        <f t="shared" si="98"/>
        <v>10</v>
      </c>
      <c r="F796" s="5">
        <f t="shared" si="99"/>
        <v>2025</v>
      </c>
      <c r="G796" s="3" t="s">
        <v>3803</v>
      </c>
      <c r="H796" s="9">
        <f>IFERROR(DATEVALUE(TEXT(G796,"DD/MM/YYYY")), IF(ISNUMBER(G796), G796, ""))</f>
        <v>45941</v>
      </c>
      <c r="I796" s="9" t="str">
        <f>IF(G796="","Missing", IF(AND(ISNUMBER(G796)=FALSE, H796=""),"Invalid - Could Not Parse", IF(AND(ISNUMBER(G796)=FALSE, H796&lt;&gt;""),"Text - Converted to Date", IF(ISNUMBER(G796),"Valid","Check"))))</f>
        <v>Text - Converted to Date</v>
      </c>
      <c r="J796" s="9" t="str">
        <f>IF(OR(C796="", H796=""), "Cannot Check - Date Missing", IF(H796&lt;C796, "Invalid - Ship Before Order", "Valid"))</f>
        <v>Valid</v>
      </c>
      <c r="K796" s="5">
        <f>IF(OR(C796="", H796=""), "", IF(H796&lt;C796, "", H796-C796))</f>
        <v>1</v>
      </c>
      <c r="L796" s="3" t="s">
        <v>3804</v>
      </c>
      <c r="M796" s="3" t="s">
        <v>25</v>
      </c>
      <c r="N796" s="4" t="str">
        <f>TRIM(SUBSTITUTE(M796,"_"," "))</f>
        <v>Karan Malhotra</v>
      </c>
      <c r="O796" s="3" t="s">
        <v>108</v>
      </c>
      <c r="P796" s="6" t="str">
        <f>PROPER(TRIM(SUBSTITUTE(O796,".","")))</f>
        <v>Corporate</v>
      </c>
      <c r="Q796" s="3" t="s">
        <v>42</v>
      </c>
      <c r="R796" s="7" t="str">
        <f>PROPER(TRIM(SUBSTITUTE(Q796,"  "," ")))</f>
        <v>East</v>
      </c>
      <c r="S796" s="3" t="s">
        <v>43</v>
      </c>
      <c r="T796" s="6" t="str">
        <f>PROPER(TRIM(SUBSTITUTE(S796,"  "," ")))</f>
        <v>Odisha</v>
      </c>
      <c r="U796" s="3" t="s">
        <v>44</v>
      </c>
      <c r="V796" s="6" t="str">
        <f>PROPER(TRIM(SUBSTITUTE(U796,"  "," ")))</f>
        <v>Bhubaneswar</v>
      </c>
      <c r="W796" s="3" t="s">
        <v>45</v>
      </c>
      <c r="X796" s="6" t="str">
        <f>PROPER(TRIM(SUBSTITUTE(W796,"  "," ")))</f>
        <v>Furniture</v>
      </c>
      <c r="Y796" s="3" t="s">
        <v>76</v>
      </c>
      <c r="Z796" s="6" t="str">
        <f>PROPER(TRIM(SUBSTITUTE(Y796,"  "," ")))</f>
        <v>Chairs</v>
      </c>
      <c r="AA796" s="3" t="s">
        <v>3805</v>
      </c>
      <c r="AB796" s="3" t="s">
        <v>33</v>
      </c>
      <c r="AC796" s="6" t="str">
        <f>PROPER(TRIM(SUBSTITUTE(AB796,"  "," ")))</f>
        <v>Second Class</v>
      </c>
      <c r="AD796" s="3">
        <v>7</v>
      </c>
      <c r="AE796" s="3">
        <v>3791.96</v>
      </c>
      <c r="AF796" s="3">
        <v>0.05</v>
      </c>
      <c r="AG796" s="17">
        <v>0.05</v>
      </c>
      <c r="AH796" s="6" t="str">
        <f t="shared" si="100"/>
        <v>Valid</v>
      </c>
      <c r="AI796" s="3">
        <v>25216.53</v>
      </c>
      <c r="AJ796" s="3">
        <v>14216.94</v>
      </c>
      <c r="AK796" s="3">
        <v>10999.59</v>
      </c>
      <c r="AL796" s="3" t="s">
        <v>200</v>
      </c>
      <c r="AM796" s="6" t="str">
        <f>PROPER(TRIM(SUBSTITUTE(AL796,".","")))</f>
        <v>Failed</v>
      </c>
      <c r="AN796" s="3" t="s">
        <v>78</v>
      </c>
      <c r="AO796" s="8" t="str">
        <f>PROPER(TRIM(SUBSTITUTE(AN796,".","")))</f>
        <v>Cancelled</v>
      </c>
      <c r="AP796" t="str">
        <f>IF(COUNTIF($A$2:$A$933, A796) &gt; 1, "Duplicate ID", "Unique")</f>
        <v>Unique</v>
      </c>
      <c r="AR796">
        <f t="shared" si="101"/>
        <v>25216.534</v>
      </c>
      <c r="AS796">
        <f t="shared" si="102"/>
        <v>10999.593999999999</v>
      </c>
      <c r="AT796" s="15">
        <f t="shared" si="103"/>
        <v>0.4362056260388521</v>
      </c>
      <c r="AU796" t="str">
        <f t="shared" si="104"/>
        <v>Clean</v>
      </c>
      <c r="AV796" s="8" t="str">
        <f t="shared" si="105"/>
        <v>Cancelled</v>
      </c>
    </row>
    <row r="797" spans="1:48">
      <c r="A797" s="3" t="s">
        <v>138</v>
      </c>
      <c r="B797" s="3" t="s">
        <v>139</v>
      </c>
      <c r="C797" s="9">
        <f>IFERROR(DATEVALUE(TEXT(B797,"DD/MM/YYYY")), IF(ISNUMBER(B797), B797, ""))</f>
        <v>45942</v>
      </c>
      <c r="D797" s="9" t="str">
        <f>IF(B797="","Missing", IF(AND(ISNUMBER(B797)=FALSE, C797=""),"Invalid - Could Not Parse", IF(AND(ISNUMBER(B797)=FALSE, C797&lt;&gt;""),"Text - Converted to Date", IF(ISNUMBER(B797),"Valid","Check"))))</f>
        <v>Text - Converted to Date</v>
      </c>
      <c r="E797" s="5">
        <f t="shared" si="98"/>
        <v>10</v>
      </c>
      <c r="F797" s="5">
        <f t="shared" si="99"/>
        <v>2025</v>
      </c>
      <c r="G797" s="3" t="s">
        <v>140</v>
      </c>
      <c r="H797" s="9">
        <f>IFERROR(DATEVALUE(TEXT(G797,"DD/MM/YYYY")), IF(ISNUMBER(G797), G797, ""))</f>
        <v>45946</v>
      </c>
      <c r="I797" s="9" t="str">
        <f>IF(G797="","Missing", IF(AND(ISNUMBER(G797)=FALSE, H797=""),"Invalid - Could Not Parse", IF(AND(ISNUMBER(G797)=FALSE, H797&lt;&gt;""),"Text - Converted to Date", IF(ISNUMBER(G797),"Valid","Check"))))</f>
        <v>Text - Converted to Date</v>
      </c>
      <c r="J797" s="9" t="str">
        <f>IF(OR(C797="", H797=""), "Cannot Check - Date Missing", IF(H797&lt;C797, "Invalid - Ship Before Order", "Valid"))</f>
        <v>Valid</v>
      </c>
      <c r="K797" s="5">
        <f>IF(OR(C797="", H797=""), "", IF(H797&lt;C797, "", H797-C797))</f>
        <v>4</v>
      </c>
      <c r="L797" s="3" t="s">
        <v>141</v>
      </c>
      <c r="M797" s="3" t="s">
        <v>142</v>
      </c>
      <c r="N797" s="4" t="str">
        <f>TRIM(SUBSTITUTE(M797,"_"," "))</f>
        <v>Priya Menon</v>
      </c>
      <c r="O797" s="3" t="s">
        <v>41</v>
      </c>
      <c r="P797" s="6" t="str">
        <f>PROPER(TRIM(SUBSTITUTE(O797,".","")))</f>
        <v>Small Business</v>
      </c>
      <c r="Q797" s="3" t="s">
        <v>73</v>
      </c>
      <c r="R797" s="7" t="str">
        <f>PROPER(TRIM(SUBSTITUTE(Q797,"  "," ")))</f>
        <v>West</v>
      </c>
      <c r="S797" s="3" t="s">
        <v>74</v>
      </c>
      <c r="T797" s="6" t="str">
        <f>PROPER(TRIM(SUBSTITUTE(S797,"  "," ")))</f>
        <v>Maharashtra</v>
      </c>
      <c r="U797" s="3" t="s">
        <v>75</v>
      </c>
      <c r="V797" s="6" t="str">
        <f>PROPER(TRIM(SUBSTITUTE(U797,"  "," ")))</f>
        <v>Mumbai</v>
      </c>
      <c r="W797" s="3" t="s">
        <v>30</v>
      </c>
      <c r="X797" s="6" t="str">
        <f>PROPER(TRIM(SUBSTITUTE(W797,"  "," ")))</f>
        <v>Office Supplies</v>
      </c>
      <c r="Y797" s="3" t="s">
        <v>54</v>
      </c>
      <c r="Z797" s="6" t="str">
        <f>PROPER(TRIM(SUBSTITUTE(Y797,"  "," ")))</f>
        <v>Art</v>
      </c>
      <c r="AA797" s="3" t="s">
        <v>143</v>
      </c>
      <c r="AB797" s="3" t="s">
        <v>33</v>
      </c>
      <c r="AC797" s="6" t="str">
        <f>PROPER(TRIM(SUBSTITUTE(AB797,"  "," ")))</f>
        <v>Second Class</v>
      </c>
      <c r="AD797" s="3">
        <v>7</v>
      </c>
      <c r="AE797" s="3">
        <v>3964.72</v>
      </c>
      <c r="AF797" s="3">
        <v>0.05</v>
      </c>
      <c r="AG797" s="17">
        <v>0.05</v>
      </c>
      <c r="AH797" s="6" t="str">
        <f t="shared" si="100"/>
        <v>Valid</v>
      </c>
      <c r="AI797" s="3">
        <v>26365.39</v>
      </c>
      <c r="AJ797" s="3">
        <v>22306.240000000002</v>
      </c>
      <c r="AK797" s="3">
        <v>4059.15</v>
      </c>
      <c r="AL797" s="3" t="s">
        <v>34</v>
      </c>
      <c r="AM797" s="6" t="str">
        <f>PROPER(TRIM(SUBSTITUTE(AL797,".","")))</f>
        <v>Paid</v>
      </c>
      <c r="AN797" s="3" t="s">
        <v>35</v>
      </c>
      <c r="AO797" s="8" t="str">
        <f>PROPER(TRIM(SUBSTITUTE(AN797,".","")))</f>
        <v>Completed</v>
      </c>
      <c r="AP797" t="str">
        <f>IF(COUNTIF($A$2:$A$933, A797) &gt; 1, "Duplicate ID", "Unique")</f>
        <v>Unique</v>
      </c>
      <c r="AR797">
        <f t="shared" si="101"/>
        <v>26365.387999999995</v>
      </c>
      <c r="AS797">
        <f t="shared" si="102"/>
        <v>4059.1479999999938</v>
      </c>
      <c r="AT797" s="15">
        <f t="shared" si="103"/>
        <v>0.15395745361304733</v>
      </c>
      <c r="AU797" t="str">
        <f t="shared" si="104"/>
        <v>Clean</v>
      </c>
      <c r="AV797" s="8" t="str">
        <f t="shared" si="105"/>
        <v>Active</v>
      </c>
    </row>
    <row r="798" spans="1:48">
      <c r="A798" s="3" t="s">
        <v>3347</v>
      </c>
      <c r="B798" s="3" t="s">
        <v>3348</v>
      </c>
      <c r="C798" s="9">
        <f>IFERROR(DATEVALUE(TEXT(B798,"DD/MM/YYYY")), IF(ISNUMBER(B798), B798, ""))</f>
        <v>45942</v>
      </c>
      <c r="D798" s="9" t="str">
        <f>IF(B798="","Missing", IF(AND(ISNUMBER(B798)=FALSE, C798=""),"Invalid - Could Not Parse", IF(AND(ISNUMBER(B798)=FALSE, C798&lt;&gt;""),"Text - Converted to Date", IF(ISNUMBER(B798),"Valid","Check"))))</f>
        <v>Text - Converted to Date</v>
      </c>
      <c r="E798" s="5">
        <f t="shared" si="98"/>
        <v>10</v>
      </c>
      <c r="F798" s="5">
        <f t="shared" si="99"/>
        <v>2025</v>
      </c>
      <c r="G798" s="3" t="s">
        <v>309</v>
      </c>
      <c r="H798" s="9">
        <f>IFERROR(DATEVALUE(TEXT(G798,"DD/MM/YYYY")), IF(ISNUMBER(G798), G798, ""))</f>
        <v>45945</v>
      </c>
      <c r="I798" s="9" t="str">
        <f>IF(G798="","Missing", IF(AND(ISNUMBER(G798)=FALSE, H798=""),"Invalid - Could Not Parse", IF(AND(ISNUMBER(G798)=FALSE, H798&lt;&gt;""),"Text - Converted to Date", IF(ISNUMBER(G798),"Valid","Check"))))</f>
        <v>Text - Converted to Date</v>
      </c>
      <c r="J798" s="9" t="str">
        <f>IF(OR(C798="", H798=""), "Cannot Check - Date Missing", IF(H798&lt;C798, "Invalid - Ship Before Order", "Valid"))</f>
        <v>Valid</v>
      </c>
      <c r="K798" s="5">
        <f>IF(OR(C798="", H798=""), "", IF(H798&lt;C798, "", H798-C798))</f>
        <v>3</v>
      </c>
      <c r="L798" s="3" t="s">
        <v>3349</v>
      </c>
      <c r="M798" s="3" t="s">
        <v>366</v>
      </c>
      <c r="N798" s="4" t="str">
        <f>TRIM(SUBSTITUTE(M798,"_"," "))</f>
        <v>Kabir Singh</v>
      </c>
      <c r="O798" s="3" t="s">
        <v>41</v>
      </c>
      <c r="P798" s="6" t="str">
        <f>PROPER(TRIM(SUBSTITUTE(O798,".","")))</f>
        <v>Small Business</v>
      </c>
      <c r="Q798" s="3" t="s">
        <v>27</v>
      </c>
      <c r="R798" s="7" t="str">
        <f>PROPER(TRIM(SUBSTITUTE(Q798,"  "," ")))</f>
        <v>North</v>
      </c>
      <c r="S798" s="3" t="s">
        <v>323</v>
      </c>
      <c r="T798" s="6" t="str">
        <f>PROPER(TRIM(SUBSTITUTE(S798,"  "," ")))</f>
        <v>Haryana</v>
      </c>
      <c r="U798" s="3" t="s">
        <v>324</v>
      </c>
      <c r="V798" s="6" t="str">
        <f>PROPER(TRIM(SUBSTITUTE(U798,"  "," ")))</f>
        <v>Gurugram</v>
      </c>
      <c r="W798" s="3" t="s">
        <v>86</v>
      </c>
      <c r="X798" s="6" t="str">
        <f>PROPER(TRIM(SUBSTITUTE(W798,"  "," ")))</f>
        <v>Technology</v>
      </c>
      <c r="Y798" s="3" t="s">
        <v>382</v>
      </c>
      <c r="Z798" s="6" t="str">
        <f>PROPER(TRIM(SUBSTITUTE(Y798,"  "," ")))</f>
        <v>Machines</v>
      </c>
      <c r="AA798" s="3" t="s">
        <v>3350</v>
      </c>
      <c r="AB798" s="3" t="s">
        <v>67</v>
      </c>
      <c r="AC798" s="6" t="str">
        <f>PROPER(TRIM(SUBSTITUTE(AB798,"  "," ")))</f>
        <v>Standard Class</v>
      </c>
      <c r="AD798" s="3">
        <v>9</v>
      </c>
      <c r="AE798" s="3">
        <v>2598.92</v>
      </c>
      <c r="AF798" s="3">
        <v>0.2</v>
      </c>
      <c r="AG798" s="17">
        <v>0.2</v>
      </c>
      <c r="AH798" s="6" t="str">
        <f t="shared" si="100"/>
        <v>Valid</v>
      </c>
      <c r="AI798" s="3">
        <v>18712.22</v>
      </c>
      <c r="AJ798" s="3">
        <v>11852.22</v>
      </c>
      <c r="AK798" s="3">
        <v>6860</v>
      </c>
      <c r="AL798" s="3" t="s">
        <v>137</v>
      </c>
      <c r="AM798" s="6" t="str">
        <f>PROPER(TRIM(SUBSTITUTE(AL798,".","")))</f>
        <v>Pending</v>
      </c>
      <c r="AN798" s="3" t="s">
        <v>78</v>
      </c>
      <c r="AO798" s="8" t="str">
        <f>PROPER(TRIM(SUBSTITUTE(AN798,".","")))</f>
        <v>Cancelled</v>
      </c>
      <c r="AP798" t="str">
        <f>IF(COUNTIF($A$2:$A$933, A798) &gt; 1, "Duplicate ID", "Unique")</f>
        <v>Unique</v>
      </c>
      <c r="AR798">
        <f t="shared" si="101"/>
        <v>18712.223999999998</v>
      </c>
      <c r="AS798">
        <f t="shared" si="102"/>
        <v>6860.003999999999</v>
      </c>
      <c r="AT798" s="15">
        <f t="shared" si="103"/>
        <v>0.3666054874075898</v>
      </c>
      <c r="AU798" t="str">
        <f t="shared" si="104"/>
        <v>Clean</v>
      </c>
      <c r="AV798" s="8" t="str">
        <f t="shared" si="105"/>
        <v>Cancelled</v>
      </c>
    </row>
    <row r="799" spans="1:48">
      <c r="A799" s="3" t="s">
        <v>3004</v>
      </c>
      <c r="B799" s="3" t="s">
        <v>3005</v>
      </c>
      <c r="C799" s="9">
        <f>IFERROR(DATEVALUE(TEXT(B799,"DD/MM/YYYY")), IF(ISNUMBER(B799), B799, ""))</f>
        <v>45962</v>
      </c>
      <c r="D799" s="9" t="str">
        <f>IF(B799="","Missing", IF(AND(ISNUMBER(B799)=FALSE, C799=""),"Invalid - Could Not Parse", IF(AND(ISNUMBER(B799)=FALSE, C799&lt;&gt;""),"Text - Converted to Date", IF(ISNUMBER(B799),"Valid","Check"))))</f>
        <v>Text - Converted to Date</v>
      </c>
      <c r="E799" s="5">
        <f t="shared" si="98"/>
        <v>11</v>
      </c>
      <c r="F799" s="5">
        <f t="shared" si="99"/>
        <v>2025</v>
      </c>
      <c r="G799" s="3" t="s">
        <v>2178</v>
      </c>
      <c r="H799" s="9">
        <f>IFERROR(DATEVALUE(TEXT(G799,"DD/MM/YYYY")), IF(ISNUMBER(G799), G799, ""))</f>
        <v>45669</v>
      </c>
      <c r="I799" s="9" t="str">
        <f>IF(G799="","Missing", IF(AND(ISNUMBER(G799)=FALSE, H799=""),"Invalid - Could Not Parse", IF(AND(ISNUMBER(G799)=FALSE, H799&lt;&gt;""),"Text - Converted to Date", IF(ISNUMBER(G799),"Valid","Check"))))</f>
        <v>Text - Converted to Date</v>
      </c>
      <c r="J799" s="9" t="str">
        <f>IF(OR(C799="", H799=""), "Cannot Check - Date Missing", IF(H799&lt;C799, "Invalid - Ship Before Order", "Valid"))</f>
        <v>Invalid - Ship Before Order</v>
      </c>
      <c r="K799" s="5" t="str">
        <f>IF(OR(C799="", H799=""), "", IF(H799&lt;C799, "", H799-C799))</f>
        <v/>
      </c>
      <c r="L799" s="3" t="s">
        <v>3006</v>
      </c>
      <c r="M799" s="3" t="s">
        <v>107</v>
      </c>
      <c r="N799" s="4" t="str">
        <f>TRIM(SUBSTITUTE(M799,"_"," "))</f>
        <v>Aditi Sen</v>
      </c>
      <c r="O799" s="3" t="s">
        <v>26</v>
      </c>
      <c r="P799" s="6" t="str">
        <f>PROPER(TRIM(SUBSTITUTE(O799,".","")))</f>
        <v>Consumer</v>
      </c>
      <c r="Q799" s="3" t="s">
        <v>62</v>
      </c>
      <c r="R799" s="7" t="str">
        <f>PROPER(TRIM(SUBSTITUTE(Q799,"  "," ")))</f>
        <v>South</v>
      </c>
      <c r="S799" s="3" t="s">
        <v>63</v>
      </c>
      <c r="T799" s="6" t="str">
        <f>PROPER(TRIM(SUBSTITUTE(S799,"  "," ")))</f>
        <v>Telangana</v>
      </c>
      <c r="U799" s="3" t="s">
        <v>64</v>
      </c>
      <c r="V799" s="6" t="str">
        <f>PROPER(TRIM(SUBSTITUTE(U799,"  "," ")))</f>
        <v>Hyderabad</v>
      </c>
      <c r="W799" s="3" t="s">
        <v>45</v>
      </c>
      <c r="X799" s="6" t="str">
        <f>PROPER(TRIM(SUBSTITUTE(W799,"  "," ")))</f>
        <v>Furniture</v>
      </c>
      <c r="Y799" s="3" t="s">
        <v>76</v>
      </c>
      <c r="Z799" s="6" t="str">
        <f>PROPER(TRIM(SUBSTITUTE(Y799,"  "," ")))</f>
        <v>Chairs</v>
      </c>
      <c r="AA799" s="3" t="s">
        <v>3007</v>
      </c>
      <c r="AB799" s="3" t="s">
        <v>33</v>
      </c>
      <c r="AC799" s="6" t="str">
        <f>PROPER(TRIM(SUBSTITUTE(AB799,"  "," ")))</f>
        <v>Second Class</v>
      </c>
      <c r="AD799" s="3">
        <v>4</v>
      </c>
      <c r="AE799" s="3">
        <v>2427.15</v>
      </c>
      <c r="AF799" s="3">
        <v>0.05</v>
      </c>
      <c r="AG799" s="17">
        <v>0.05</v>
      </c>
      <c r="AH799" s="6" t="str">
        <f t="shared" si="100"/>
        <v>Valid</v>
      </c>
      <c r="AI799" s="3">
        <v>9223.17</v>
      </c>
      <c r="AJ799" s="3">
        <v>5103.7</v>
      </c>
      <c r="AK799" s="3">
        <v>4119.47</v>
      </c>
      <c r="AL799" s="3" t="s">
        <v>34</v>
      </c>
      <c r="AM799" s="6" t="str">
        <f>PROPER(TRIM(SUBSTITUTE(AL799,".","")))</f>
        <v>Paid</v>
      </c>
      <c r="AN799" s="3" t="s">
        <v>35</v>
      </c>
      <c r="AO799" s="8" t="str">
        <f>PROPER(TRIM(SUBSTITUTE(AN799,".","")))</f>
        <v>Completed</v>
      </c>
      <c r="AP799" t="str">
        <f>IF(COUNTIF($A$2:$A$933, A799) &gt; 1, "Duplicate ID", "Unique")</f>
        <v>Unique</v>
      </c>
      <c r="AR799">
        <f t="shared" si="101"/>
        <v>9223.17</v>
      </c>
      <c r="AS799">
        <f t="shared" si="102"/>
        <v>4119.47</v>
      </c>
      <c r="AT799" s="15">
        <f t="shared" si="103"/>
        <v>0.44664361602355807</v>
      </c>
      <c r="AU799" t="str">
        <f t="shared" si="104"/>
        <v>Invalid</v>
      </c>
      <c r="AV799" s="8" t="str">
        <f t="shared" si="105"/>
        <v>Active</v>
      </c>
    </row>
    <row r="800" spans="1:48">
      <c r="A800" s="3" t="s">
        <v>2844</v>
      </c>
      <c r="B800" s="3" t="s">
        <v>2845</v>
      </c>
      <c r="C800" s="9">
        <f>IFERROR(DATEVALUE(TEXT(B800,"DD/MM/YYYY")), IF(ISNUMBER(B800), B800, ""))</f>
        <v>45963</v>
      </c>
      <c r="D800" s="9" t="str">
        <f>IF(B800="","Missing", IF(AND(ISNUMBER(B800)=FALSE, C800=""),"Invalid - Could Not Parse", IF(AND(ISNUMBER(B800)=FALSE, C800&lt;&gt;""),"Text - Converted to Date", IF(ISNUMBER(B800),"Valid","Check"))))</f>
        <v>Text - Converted to Date</v>
      </c>
      <c r="E800" s="5">
        <f t="shared" si="98"/>
        <v>11</v>
      </c>
      <c r="F800" s="5">
        <f t="shared" si="99"/>
        <v>2025</v>
      </c>
      <c r="G800" s="3" t="s">
        <v>2846</v>
      </c>
      <c r="H800" s="9">
        <f>IFERROR(DATEVALUE(TEXT(G800,"DD/MM/YYYY")), IF(ISNUMBER(G800), G800, ""))</f>
        <v>45704</v>
      </c>
      <c r="I800" s="9" t="str">
        <f>IF(G800="","Missing", IF(AND(ISNUMBER(G800)=FALSE, H800=""),"Invalid - Could Not Parse", IF(AND(ISNUMBER(G800)=FALSE, H800&lt;&gt;""),"Text - Converted to Date", IF(ISNUMBER(G800),"Valid","Check"))))</f>
        <v>Text - Converted to Date</v>
      </c>
      <c r="J800" s="9" t="str">
        <f>IF(OR(C800="", H800=""), "Cannot Check - Date Missing", IF(H800&lt;C800, "Invalid - Ship Before Order", "Valid"))</f>
        <v>Invalid - Ship Before Order</v>
      </c>
      <c r="K800" s="5" t="str">
        <f>IF(OR(C800="", H800=""), "", IF(H800&lt;C800, "", H800-C800))</f>
        <v/>
      </c>
      <c r="L800" s="3" t="s">
        <v>2847</v>
      </c>
      <c r="M800" s="3" t="s">
        <v>40</v>
      </c>
      <c r="N800" s="4" t="str">
        <f>TRIM(SUBSTITUTE(M800,"_"," "))</f>
        <v>Mira Das</v>
      </c>
      <c r="O800" s="3" t="s">
        <v>108</v>
      </c>
      <c r="P800" s="6" t="str">
        <f>PROPER(TRIM(SUBSTITUTE(O800,".","")))</f>
        <v>Corporate</v>
      </c>
      <c r="Q800" s="3" t="s">
        <v>27</v>
      </c>
      <c r="R800" s="7" t="str">
        <f>PROPER(TRIM(SUBSTITUTE(Q800,"  "," ")))</f>
        <v>North</v>
      </c>
      <c r="S800" s="3" t="s">
        <v>174</v>
      </c>
      <c r="T800" s="6" t="str">
        <f>PROPER(TRIM(SUBSTITUTE(S800,"  "," ")))</f>
        <v>Uttar Pradesh</v>
      </c>
      <c r="U800" s="3" t="s">
        <v>175</v>
      </c>
      <c r="V800" s="6" t="str">
        <f>PROPER(TRIM(SUBSTITUTE(U800,"  "," ")))</f>
        <v>Noida</v>
      </c>
      <c r="W800" s="3" t="s">
        <v>86</v>
      </c>
      <c r="X800" s="6" t="str">
        <f>PROPER(TRIM(SUBSTITUTE(W800,"  "," ")))</f>
        <v>Technology</v>
      </c>
      <c r="Y800" s="3" t="s">
        <v>223</v>
      </c>
      <c r="Z800" s="6" t="str">
        <f>PROPER(TRIM(SUBSTITUTE(Y800,"  "," ")))</f>
        <v>Phones</v>
      </c>
      <c r="AA800" s="3" t="s">
        <v>2848</v>
      </c>
      <c r="AB800" s="3" t="s">
        <v>56</v>
      </c>
      <c r="AC800" s="6" t="str">
        <f>PROPER(TRIM(SUBSTITUTE(AB800,"  "," ")))</f>
        <v>First Class</v>
      </c>
      <c r="AD800" s="3">
        <v>8</v>
      </c>
      <c r="AE800" s="3">
        <v>1825.56</v>
      </c>
      <c r="AF800" s="3">
        <v>0.1</v>
      </c>
      <c r="AG800" s="17">
        <v>0.1</v>
      </c>
      <c r="AH800" s="6" t="str">
        <f t="shared" si="100"/>
        <v>Valid</v>
      </c>
      <c r="AI800" s="3">
        <v>13144.03</v>
      </c>
      <c r="AJ800" s="3">
        <v>9764</v>
      </c>
      <c r="AK800" s="3">
        <v>3380.03</v>
      </c>
      <c r="AL800" s="3" t="s">
        <v>34</v>
      </c>
      <c r="AM800" s="6" t="str">
        <f>PROPER(TRIM(SUBSTITUTE(AL800,".","")))</f>
        <v>Paid</v>
      </c>
      <c r="AN800" s="3" t="s">
        <v>35</v>
      </c>
      <c r="AO800" s="8" t="str">
        <f>PROPER(TRIM(SUBSTITUTE(AN800,".","")))</f>
        <v>Completed</v>
      </c>
      <c r="AP800" t="str">
        <f>IF(COUNTIF($A$2:$A$933, A800) &gt; 1, "Duplicate ID", "Unique")</f>
        <v>Unique</v>
      </c>
      <c r="AR800">
        <f t="shared" si="101"/>
        <v>13144.031999999999</v>
      </c>
      <c r="AS800">
        <f t="shared" si="102"/>
        <v>3380.0319999999992</v>
      </c>
      <c r="AT800" s="15">
        <f t="shared" si="103"/>
        <v>0.25715336055176974</v>
      </c>
      <c r="AU800" t="str">
        <f t="shared" si="104"/>
        <v>Invalid</v>
      </c>
      <c r="AV800" s="8" t="str">
        <f t="shared" si="105"/>
        <v>Active</v>
      </c>
    </row>
    <row r="801" spans="1:48">
      <c r="A801" s="3" t="s">
        <v>2141</v>
      </c>
      <c r="B801" s="3" t="s">
        <v>2142</v>
      </c>
      <c r="C801" s="9">
        <f>IFERROR(DATEVALUE(TEXT(B801,"DD/MM/YYYY")), IF(ISNUMBER(B801), B801, ""))</f>
        <v>45965</v>
      </c>
      <c r="D801" s="9" t="str">
        <f>IF(B801="","Missing", IF(AND(ISNUMBER(B801)=FALSE, C801=""),"Invalid - Could Not Parse", IF(AND(ISNUMBER(B801)=FALSE, C801&lt;&gt;""),"Text - Converted to Date", IF(ISNUMBER(B801),"Valid","Check"))))</f>
        <v>Text - Converted to Date</v>
      </c>
      <c r="E801" s="5">
        <f t="shared" si="98"/>
        <v>11</v>
      </c>
      <c r="F801" s="5">
        <f t="shared" si="99"/>
        <v>2025</v>
      </c>
      <c r="G801" s="3" t="s">
        <v>2143</v>
      </c>
      <c r="H801" s="9">
        <f>IFERROR(DATEVALUE(TEXT(G801,"DD/MM/YYYY")), IF(ISNUMBER(G801), G801, ""))</f>
        <v>45762</v>
      </c>
      <c r="I801" s="9" t="str">
        <f>IF(G801="","Missing", IF(AND(ISNUMBER(G801)=FALSE, H801=""),"Invalid - Could Not Parse", IF(AND(ISNUMBER(G801)=FALSE, H801&lt;&gt;""),"Text - Converted to Date", IF(ISNUMBER(G801),"Valid","Check"))))</f>
        <v>Text - Converted to Date</v>
      </c>
      <c r="J801" s="9" t="str">
        <f>IF(OR(C801="", H801=""), "Cannot Check - Date Missing", IF(H801&lt;C801, "Invalid - Ship Before Order", "Valid"))</f>
        <v>Invalid - Ship Before Order</v>
      </c>
      <c r="K801" s="5" t="str">
        <f>IF(OR(C801="", H801=""), "", IF(H801&lt;C801, "", H801-C801))</f>
        <v/>
      </c>
      <c r="L801" s="3" t="s">
        <v>2144</v>
      </c>
      <c r="M801" s="3" t="s">
        <v>40</v>
      </c>
      <c r="N801" s="4" t="str">
        <f>TRIM(SUBSTITUTE(M801,"_"," "))</f>
        <v>Mira Das</v>
      </c>
      <c r="O801" s="3" t="s">
        <v>115</v>
      </c>
      <c r="P801" s="6" t="str">
        <f>PROPER(TRIM(SUBSTITUTE(O801,".","")))</f>
        <v>Home Office</v>
      </c>
      <c r="Q801" s="3" t="s">
        <v>27</v>
      </c>
      <c r="R801" s="7" t="str">
        <f>PROPER(TRIM(SUBSTITUTE(Q801,"  "," ")))</f>
        <v>North</v>
      </c>
      <c r="S801" s="3" t="s">
        <v>174</v>
      </c>
      <c r="T801" s="6" t="str">
        <f>PROPER(TRIM(SUBSTITUTE(S801,"  "," ")))</f>
        <v>Uttar Pradesh</v>
      </c>
      <c r="U801" s="3" t="s">
        <v>175</v>
      </c>
      <c r="V801" s="6" t="str">
        <f>PROPER(TRIM(SUBSTITUTE(U801,"  "," ")))</f>
        <v>Noida</v>
      </c>
      <c r="W801" s="3" t="s">
        <v>86</v>
      </c>
      <c r="X801" s="6" t="str">
        <f>PROPER(TRIM(SUBSTITUTE(W801,"  "," ")))</f>
        <v>Technology</v>
      </c>
      <c r="Y801" s="3" t="s">
        <v>87</v>
      </c>
      <c r="Z801" s="6" t="str">
        <f>PROPER(TRIM(SUBSTITUTE(Y801,"  "," ")))</f>
        <v>Accessories</v>
      </c>
      <c r="AA801" s="3" t="s">
        <v>2145</v>
      </c>
      <c r="AB801" s="3" t="s">
        <v>33</v>
      </c>
      <c r="AC801" s="6" t="str">
        <f>PROPER(TRIM(SUBSTITUTE(AB801,"  "," ")))</f>
        <v>Second Class</v>
      </c>
      <c r="AD801" s="3">
        <v>5</v>
      </c>
      <c r="AE801" s="3">
        <v>652.78</v>
      </c>
      <c r="AF801" s="3">
        <v>0</v>
      </c>
      <c r="AG801" s="17">
        <v>0</v>
      </c>
      <c r="AH801" s="6" t="str">
        <f t="shared" si="100"/>
        <v>Valid</v>
      </c>
      <c r="AI801" s="3">
        <v>3263.9</v>
      </c>
      <c r="AJ801" s="3">
        <v>2068.44</v>
      </c>
      <c r="AK801" s="3">
        <v>1195.46</v>
      </c>
      <c r="AL801" s="3" t="s">
        <v>34</v>
      </c>
      <c r="AM801" s="6" t="str">
        <f>PROPER(TRIM(SUBSTITUTE(AL801,".","")))</f>
        <v>Paid</v>
      </c>
      <c r="AN801" s="3" t="s">
        <v>35</v>
      </c>
      <c r="AO801" s="8" t="str">
        <f>PROPER(TRIM(SUBSTITUTE(AN801,".","")))</f>
        <v>Completed</v>
      </c>
      <c r="AP801" t="str">
        <f>IF(COUNTIF($A$2:$A$933, A801) &gt; 1, "Duplicate ID", "Unique")</f>
        <v>Unique</v>
      </c>
      <c r="AR801">
        <f t="shared" si="101"/>
        <v>3263.8999999999996</v>
      </c>
      <c r="AS801">
        <f t="shared" si="102"/>
        <v>1195.4599999999996</v>
      </c>
      <c r="AT801" s="15">
        <f t="shared" si="103"/>
        <v>0.3662673488771101</v>
      </c>
      <c r="AU801" t="str">
        <f t="shared" si="104"/>
        <v>Invalid</v>
      </c>
      <c r="AV801" s="8" t="str">
        <f t="shared" si="105"/>
        <v>Active</v>
      </c>
    </row>
    <row r="802" spans="1:48">
      <c r="A802" s="3" t="s">
        <v>2497</v>
      </c>
      <c r="B802" s="3" t="s">
        <v>2142</v>
      </c>
      <c r="C802" s="9">
        <f>IFERROR(DATEVALUE(TEXT(B802,"DD/MM/YYYY")), IF(ISNUMBER(B802), B802, ""))</f>
        <v>45965</v>
      </c>
      <c r="D802" s="9" t="str">
        <f>IF(B802="","Missing", IF(AND(ISNUMBER(B802)=FALSE, C802=""),"Invalid - Could Not Parse", IF(AND(ISNUMBER(B802)=FALSE, C802&lt;&gt;""),"Text - Converted to Date", IF(ISNUMBER(B802),"Valid","Check"))))</f>
        <v>Text - Converted to Date</v>
      </c>
      <c r="E802" s="5">
        <f t="shared" si="98"/>
        <v>11</v>
      </c>
      <c r="F802" s="5">
        <f t="shared" si="99"/>
        <v>2025</v>
      </c>
      <c r="G802" s="3" t="s">
        <v>2498</v>
      </c>
      <c r="H802" s="9">
        <f>IFERROR(DATEVALUE(TEXT(G802,"DD/MM/YYYY")), IF(ISNUMBER(G802), G802, ""))</f>
        <v>45758</v>
      </c>
      <c r="I802" s="9" t="str">
        <f>IF(G802="","Missing", IF(AND(ISNUMBER(G802)=FALSE, H802=""),"Invalid - Could Not Parse", IF(AND(ISNUMBER(G802)=FALSE, H802&lt;&gt;""),"Text - Converted to Date", IF(ISNUMBER(G802),"Valid","Check"))))</f>
        <v>Text - Converted to Date</v>
      </c>
      <c r="J802" s="9" t="str">
        <f>IF(OR(C802="", H802=""), "Cannot Check - Date Missing", IF(H802&lt;C802, "Invalid - Ship Before Order", "Valid"))</f>
        <v>Invalid - Ship Before Order</v>
      </c>
      <c r="K802" s="5" t="str">
        <f>IF(OR(C802="", H802=""), "", IF(H802&lt;C802, "", H802-C802))</f>
        <v/>
      </c>
      <c r="L802" s="3" t="s">
        <v>2499</v>
      </c>
      <c r="M802" s="3" t="s">
        <v>148</v>
      </c>
      <c r="N802" s="4" t="str">
        <f>TRIM(SUBSTITUTE(M802,"_"," "))</f>
        <v>Rahul Verma</v>
      </c>
      <c r="O802" s="3" t="s">
        <v>108</v>
      </c>
      <c r="P802" s="6" t="str">
        <f>PROPER(TRIM(SUBSTITUTE(O802,".","")))</f>
        <v>Corporate</v>
      </c>
      <c r="Q802" s="3" t="s">
        <v>27</v>
      </c>
      <c r="R802" s="7" t="str">
        <f>PROPER(TRIM(SUBSTITUTE(Q802,"  "," ")))</f>
        <v>North</v>
      </c>
      <c r="S802" s="3" t="s">
        <v>506</v>
      </c>
      <c r="T802" s="6" t="str">
        <f>PROPER(TRIM(SUBSTITUTE(S802,"  "," ")))</f>
        <v>Delhi</v>
      </c>
      <c r="U802" s="3" t="s">
        <v>507</v>
      </c>
      <c r="V802" s="6" t="str">
        <f>PROPER(TRIM(SUBSTITUTE(U802,"  "," ")))</f>
        <v>New Delhi</v>
      </c>
      <c r="W802" s="3" t="s">
        <v>30</v>
      </c>
      <c r="X802" s="6" t="str">
        <f>PROPER(TRIM(SUBSTITUTE(W802,"  "," ")))</f>
        <v>Office Supplies</v>
      </c>
      <c r="Y802" s="3" t="s">
        <v>31</v>
      </c>
      <c r="Z802" s="6" t="str">
        <f>PROPER(TRIM(SUBSTITUTE(Y802,"  "," ")))</f>
        <v>Paper</v>
      </c>
      <c r="AA802" s="3" t="s">
        <v>2500</v>
      </c>
      <c r="AB802" s="3" t="s">
        <v>67</v>
      </c>
      <c r="AC802" s="6" t="str">
        <f>PROPER(TRIM(SUBSTITUTE(AB802,"  "," ")))</f>
        <v>Standard Class</v>
      </c>
      <c r="AD802" s="3">
        <v>1</v>
      </c>
      <c r="AE802" s="3">
        <v>4458.49</v>
      </c>
      <c r="AF802" s="3">
        <v>-7.0000000000000007E-2</v>
      </c>
      <c r="AG802" s="17">
        <v>-7.0000000000000007E-2</v>
      </c>
      <c r="AH802" s="6" t="str">
        <f t="shared" si="100"/>
        <v>Invalid - Negative</v>
      </c>
      <c r="AI802" s="3">
        <v>3566.79</v>
      </c>
      <c r="AJ802" s="3">
        <v>2083.41</v>
      </c>
      <c r="AK802" s="3">
        <v>1483.38</v>
      </c>
      <c r="AL802" s="3" t="s">
        <v>34</v>
      </c>
      <c r="AM802" s="6" t="str">
        <f>PROPER(TRIM(SUBSTITUTE(AL802,".","")))</f>
        <v>Paid</v>
      </c>
      <c r="AN802" s="3" t="s">
        <v>35</v>
      </c>
      <c r="AO802" s="8" t="str">
        <f>PROPER(TRIM(SUBSTITUTE(AN802,".","")))</f>
        <v>Completed</v>
      </c>
      <c r="AP802" t="str">
        <f>IF(COUNTIF($A$2:$A$933, A802) &gt; 1, "Duplicate ID", "Unique")</f>
        <v>Unique</v>
      </c>
      <c r="AR802">
        <f t="shared" si="101"/>
        <v>4770.5843000000004</v>
      </c>
      <c r="AS802">
        <f t="shared" si="102"/>
        <v>2687.1743000000006</v>
      </c>
      <c r="AT802" s="15">
        <f t="shared" si="103"/>
        <v>0.56327991101635089</v>
      </c>
      <c r="AU802" t="str">
        <f t="shared" si="104"/>
        <v>Invalid</v>
      </c>
      <c r="AV802" s="8" t="str">
        <f t="shared" si="105"/>
        <v>Active</v>
      </c>
    </row>
    <row r="803" spans="1:48">
      <c r="A803" s="3" t="s">
        <v>352</v>
      </c>
      <c r="B803" s="3" t="s">
        <v>353</v>
      </c>
      <c r="C803" s="9">
        <f>IFERROR(DATEVALUE(TEXT(B803,"DD/MM/YYYY")), IF(ISNUMBER(B803), B803, ""))</f>
        <v>45966</v>
      </c>
      <c r="D803" s="9" t="str">
        <f>IF(B803="","Missing", IF(AND(ISNUMBER(B803)=FALSE, C803=""),"Invalid - Could Not Parse", IF(AND(ISNUMBER(B803)=FALSE, C803&lt;&gt;""),"Text - Converted to Date", IF(ISNUMBER(B803),"Valid","Check"))))</f>
        <v>Text - Converted to Date</v>
      </c>
      <c r="E803" s="5">
        <f t="shared" si="98"/>
        <v>11</v>
      </c>
      <c r="F803" s="5">
        <f t="shared" si="99"/>
        <v>2025</v>
      </c>
      <c r="G803" s="3" t="s">
        <v>354</v>
      </c>
      <c r="H803" s="9">
        <f>IFERROR(DATEVALUE(TEXT(G803,"DD/MM/YYYY")), IF(ISNUMBER(G803), G803, ""))</f>
        <v>45796</v>
      </c>
      <c r="I803" s="9" t="str">
        <f>IF(G803="","Missing", IF(AND(ISNUMBER(G803)=FALSE, H803=""),"Invalid - Could Not Parse", IF(AND(ISNUMBER(G803)=FALSE, H803&lt;&gt;""),"Text - Converted to Date", IF(ISNUMBER(G803),"Valid","Check"))))</f>
        <v>Text - Converted to Date</v>
      </c>
      <c r="J803" s="9" t="str">
        <f>IF(OR(C803="", H803=""), "Cannot Check - Date Missing", IF(H803&lt;C803, "Invalid - Ship Before Order", "Valid"))</f>
        <v>Invalid - Ship Before Order</v>
      </c>
      <c r="K803" s="5" t="str">
        <f>IF(OR(C803="", H803=""), "", IF(H803&lt;C803, "", H803-C803))</f>
        <v/>
      </c>
      <c r="L803" s="3" t="s">
        <v>355</v>
      </c>
      <c r="M803" s="3" t="s">
        <v>168</v>
      </c>
      <c r="N803" s="4" t="str">
        <f>TRIM(SUBSTITUTE(M803,"_"," "))</f>
        <v>Sneha Kapoor</v>
      </c>
      <c r="O803" s="3" t="s">
        <v>26</v>
      </c>
      <c r="P803" s="6" t="str">
        <f>PROPER(TRIM(SUBSTITUTE(O803,".","")))</f>
        <v>Consumer</v>
      </c>
      <c r="Q803" s="3" t="s">
        <v>42</v>
      </c>
      <c r="R803" s="7" t="str">
        <f>PROPER(TRIM(SUBSTITUTE(Q803,"  "," ")))</f>
        <v>East</v>
      </c>
      <c r="S803" s="3" t="s">
        <v>121</v>
      </c>
      <c r="T803" s="6" t="str">
        <f>PROPER(TRIM(SUBSTITUTE(S803,"  "," ")))</f>
        <v>West Bengal</v>
      </c>
      <c r="U803" s="3" t="s">
        <v>122</v>
      </c>
      <c r="V803" s="6" t="str">
        <f>PROPER(TRIM(SUBSTITUTE(U803,"  "," ")))</f>
        <v>Kolkata</v>
      </c>
      <c r="W803" s="3" t="s">
        <v>86</v>
      </c>
      <c r="X803" s="6" t="str">
        <f>PROPER(TRIM(SUBSTITUTE(W803,"  "," ")))</f>
        <v>Technology</v>
      </c>
      <c r="Y803" s="3" t="s">
        <v>94</v>
      </c>
      <c r="Z803" s="6" t="str">
        <f>PROPER(TRIM(SUBSTITUTE(Y803,"  "," ")))</f>
        <v>Copiers</v>
      </c>
      <c r="AA803" s="3" t="s">
        <v>356</v>
      </c>
      <c r="AB803" s="3" t="s">
        <v>67</v>
      </c>
      <c r="AC803" s="6" t="str">
        <f>PROPER(TRIM(SUBSTITUTE(AB803,"  "," ")))</f>
        <v>Standard Class</v>
      </c>
      <c r="AD803" s="3">
        <v>1</v>
      </c>
      <c r="AE803" s="3">
        <v>2382.8000000000002</v>
      </c>
      <c r="AF803" s="3">
        <v>0.15</v>
      </c>
      <c r="AG803" s="17">
        <v>0.15</v>
      </c>
      <c r="AH803" s="6" t="str">
        <f t="shared" si="100"/>
        <v>Valid</v>
      </c>
      <c r="AI803" s="3">
        <v>2025.38</v>
      </c>
      <c r="AJ803" s="3">
        <v>1140.6500000000001</v>
      </c>
      <c r="AK803" s="3">
        <v>884.73</v>
      </c>
      <c r="AL803" s="3" t="s">
        <v>34</v>
      </c>
      <c r="AM803" s="6" t="str">
        <f>PROPER(TRIM(SUBSTITUTE(AL803,".","")))</f>
        <v>Paid</v>
      </c>
      <c r="AN803" s="3" t="s">
        <v>35</v>
      </c>
      <c r="AO803" s="8" t="str">
        <f>PROPER(TRIM(SUBSTITUTE(AN803,".","")))</f>
        <v>Completed</v>
      </c>
      <c r="AP803" t="str">
        <f>IF(COUNTIF($A$2:$A$933, A803) &gt; 1, "Duplicate ID", "Unique")</f>
        <v>Unique</v>
      </c>
      <c r="AR803">
        <f t="shared" si="101"/>
        <v>2025.38</v>
      </c>
      <c r="AS803">
        <f t="shared" si="102"/>
        <v>884.73</v>
      </c>
      <c r="AT803" s="15">
        <f t="shared" si="103"/>
        <v>0.43682173221815163</v>
      </c>
      <c r="AU803" t="str">
        <f t="shared" si="104"/>
        <v>Invalid</v>
      </c>
      <c r="AV803" s="8" t="str">
        <f t="shared" si="105"/>
        <v>Active</v>
      </c>
    </row>
    <row r="804" spans="1:48">
      <c r="A804" s="3" t="s">
        <v>1697</v>
      </c>
      <c r="B804" s="3" t="s">
        <v>1698</v>
      </c>
      <c r="C804" s="9">
        <f>IFERROR(DATEVALUE(MID(B804,4,2) &amp; "/" &amp; LEFT(B804,2) &amp; "/" &amp; RIGHT(B804,4)), IF(ISNUMBER(B804), B804, IFERROR(DATEVALUE(B804), "")))</f>
        <v>45824</v>
      </c>
      <c r="D804" s="9" t="str">
        <f>IF(B804="","Missing", IF(AND(ISNUMBER(B804)=FALSE, C804=""),"Invalid - Could Not Parse", IF(AND(ISNUMBER(B804)=FALSE, C804&lt;&gt;""),"Text - Converted to Date", IF(ISNUMBER(B804),"Valid","Check"))))</f>
        <v>Text - Converted to Date</v>
      </c>
      <c r="E804" s="5">
        <f t="shared" si="98"/>
        <v>6</v>
      </c>
      <c r="F804" s="5">
        <f t="shared" si="99"/>
        <v>2025</v>
      </c>
      <c r="G804" s="3" t="s">
        <v>1699</v>
      </c>
      <c r="H804" s="9">
        <f>IFERROR(DATEVALUE(TEXT(G804,"DD/MM/YYYY")), IF(ISNUMBER(G804), G804, ""))</f>
        <v>45826</v>
      </c>
      <c r="I804" s="9" t="str">
        <f>IF(G804="","Missing", IF(AND(ISNUMBER(G804)=FALSE, H804=""),"Invalid - Could Not Parse", IF(AND(ISNUMBER(G804)=FALSE, H804&lt;&gt;""),"Text - Converted to Date", IF(ISNUMBER(G804),"Valid","Check"))))</f>
        <v>Text - Converted to Date</v>
      </c>
      <c r="J804" s="9" t="str">
        <f>IF(OR(C804="", H804=""), "Cannot Check - Date Missing", IF(H804&lt;C804, "Invalid - Ship Before Order", "Valid"))</f>
        <v>Valid</v>
      </c>
      <c r="K804" s="5">
        <f>IF(OR(C804="", H804=""), "", IF(H804&lt;C804, "", H804-C804))</f>
        <v>2</v>
      </c>
      <c r="L804" s="3" t="s">
        <v>1700</v>
      </c>
      <c r="M804" s="3" t="s">
        <v>148</v>
      </c>
      <c r="N804" s="4" t="str">
        <f>TRIM(SUBSTITUTE(M804,"_"," "))</f>
        <v>Rahul Verma</v>
      </c>
      <c r="O804" s="3" t="s">
        <v>115</v>
      </c>
      <c r="P804" s="6" t="str">
        <f>PROPER(TRIM(SUBSTITUTE(O804,".","")))</f>
        <v>Home Office</v>
      </c>
      <c r="Q804" s="3" t="s">
        <v>73</v>
      </c>
      <c r="R804" s="7" t="str">
        <f>PROPER(TRIM(SUBSTITUTE(Q804,"  "," ")))</f>
        <v>West</v>
      </c>
      <c r="S804" s="3" t="s">
        <v>84</v>
      </c>
      <c r="T804" s="6" t="str">
        <f>PROPER(TRIM(SUBSTITUTE(S804,"  "," ")))</f>
        <v>Madhya Pradesh</v>
      </c>
      <c r="U804" s="3" t="s">
        <v>85</v>
      </c>
      <c r="V804" s="6" t="str">
        <f>PROPER(TRIM(SUBSTITUTE(U804,"  "," ")))</f>
        <v>Indore</v>
      </c>
      <c r="W804" s="3" t="s">
        <v>30</v>
      </c>
      <c r="X804" s="6" t="str">
        <f>PROPER(TRIM(SUBSTITUTE(W804,"  "," ")))</f>
        <v>Office Supplies</v>
      </c>
      <c r="Y804" s="3" t="s">
        <v>31</v>
      </c>
      <c r="Z804" s="6" t="str">
        <f>PROPER(TRIM(SUBSTITUTE(Y804,"  "," ")))</f>
        <v>Paper</v>
      </c>
      <c r="AA804" s="3" t="s">
        <v>1701</v>
      </c>
      <c r="AB804" s="3" t="s">
        <v>56</v>
      </c>
      <c r="AC804" s="6" t="str">
        <f>PROPER(TRIM(SUBSTITUTE(AB804,"  "," ")))</f>
        <v>First Class</v>
      </c>
      <c r="AD804" s="3">
        <v>3</v>
      </c>
      <c r="AE804" s="3">
        <v>4289.37</v>
      </c>
      <c r="AF804" s="3">
        <v>0.1</v>
      </c>
      <c r="AG804" s="17">
        <v>0.1</v>
      </c>
      <c r="AH804" s="6" t="str">
        <f t="shared" si="100"/>
        <v>Valid</v>
      </c>
      <c r="AI804" s="3">
        <v>11581.3</v>
      </c>
      <c r="AJ804" s="3">
        <v>6829.43</v>
      </c>
      <c r="AK804" s="3">
        <v>4751.87</v>
      </c>
      <c r="AL804" s="3" t="s">
        <v>34</v>
      </c>
      <c r="AM804" s="6" t="str">
        <f>PROPER(TRIM(SUBSTITUTE(AL804,".","")))</f>
        <v>Paid</v>
      </c>
      <c r="AN804" s="3" t="s">
        <v>35</v>
      </c>
      <c r="AO804" s="8" t="str">
        <f>PROPER(TRIM(SUBSTITUTE(AN804,".","")))</f>
        <v>Completed</v>
      </c>
      <c r="AP804" t="str">
        <f>IF(COUNTIF($A$2:$A$933, A804) &gt; 1, "Duplicate ID", "Unique")</f>
        <v>Duplicate ID</v>
      </c>
      <c r="AQ804" t="s">
        <v>4106</v>
      </c>
      <c r="AR804">
        <f t="shared" si="101"/>
        <v>11581.299000000001</v>
      </c>
      <c r="AS804">
        <f t="shared" si="102"/>
        <v>4751.8690000000006</v>
      </c>
      <c r="AT804" s="15">
        <f t="shared" si="103"/>
        <v>0.41030535521101735</v>
      </c>
      <c r="AU804" t="str">
        <f t="shared" si="104"/>
        <v>Invalid</v>
      </c>
      <c r="AV804" s="8" t="str">
        <f t="shared" si="105"/>
        <v>Active</v>
      </c>
    </row>
    <row r="805" spans="1:48">
      <c r="A805" s="3" t="s">
        <v>1697</v>
      </c>
      <c r="B805" s="3" t="s">
        <v>1698</v>
      </c>
      <c r="C805" s="9">
        <f>IFERROR(DATEVALUE(MID(B805,4,2) &amp; "/" &amp; LEFT(B805,2) &amp; "/" &amp; RIGHT(B805,4)), IF(ISNUMBER(B805), B805, IFERROR(DATEVALUE(B805), "")))</f>
        <v>45824</v>
      </c>
      <c r="D805" s="9" t="str">
        <f>IF(B805="","Missing", IF(AND(ISNUMBER(B805)=FALSE, C805=""),"Invalid - Could Not Parse", IF(AND(ISNUMBER(B805)=FALSE, C805&lt;&gt;""),"Text - Converted to Date", IF(ISNUMBER(B805),"Valid","Check"))))</f>
        <v>Text - Converted to Date</v>
      </c>
      <c r="E805" s="5">
        <f t="shared" si="98"/>
        <v>6</v>
      </c>
      <c r="F805" s="5">
        <f t="shared" si="99"/>
        <v>2025</v>
      </c>
      <c r="G805" s="3" t="s">
        <v>1699</v>
      </c>
      <c r="H805" s="9">
        <f>IFERROR(DATEVALUE(TEXT(G805,"DD/MM/YYYY")), IF(ISNUMBER(G805), G805, ""))</f>
        <v>45826</v>
      </c>
      <c r="I805" s="9" t="str">
        <f>IF(G805="","Missing", IF(AND(ISNUMBER(G805)=FALSE, H805=""),"Invalid - Could Not Parse", IF(AND(ISNUMBER(G805)=FALSE, H805&lt;&gt;""),"Text - Converted to Date", IF(ISNUMBER(G805),"Valid","Check"))))</f>
        <v>Text - Converted to Date</v>
      </c>
      <c r="J805" s="9" t="str">
        <f>IF(OR(C805="", H805=""), "Cannot Check - Date Missing", IF(H805&lt;C805, "Invalid - Ship Before Order", "Valid"))</f>
        <v>Valid</v>
      </c>
      <c r="K805" s="5">
        <f>IF(OR(C805="", H805=""), "", IF(H805&lt;C805, "", H805-C805))</f>
        <v>2</v>
      </c>
      <c r="L805" s="3" t="s">
        <v>1700</v>
      </c>
      <c r="M805" s="3" t="s">
        <v>148</v>
      </c>
      <c r="N805" s="4" t="str">
        <f>TRIM(SUBSTITUTE(M805,"_"," "))</f>
        <v>Rahul Verma</v>
      </c>
      <c r="O805" s="3" t="s">
        <v>115</v>
      </c>
      <c r="P805" s="6" t="str">
        <f>PROPER(TRIM(SUBSTITUTE(O805,".","")))</f>
        <v>Home Office</v>
      </c>
      <c r="Q805" s="3" t="s">
        <v>73</v>
      </c>
      <c r="R805" s="7" t="str">
        <f>PROPER(TRIM(SUBSTITUTE(Q805,"  "," ")))</f>
        <v>West</v>
      </c>
      <c r="S805" s="3" t="s">
        <v>84</v>
      </c>
      <c r="T805" s="6" t="str">
        <f>PROPER(TRIM(SUBSTITUTE(S805,"  "," ")))</f>
        <v>Madhya Pradesh</v>
      </c>
      <c r="U805" s="3" t="s">
        <v>85</v>
      </c>
      <c r="V805" s="6" t="str">
        <f>PROPER(TRIM(SUBSTITUTE(U805,"  "," ")))</f>
        <v>Indore</v>
      </c>
      <c r="W805" s="3" t="s">
        <v>30</v>
      </c>
      <c r="X805" s="6" t="str">
        <f>PROPER(TRIM(SUBSTITUTE(W805,"  "," ")))</f>
        <v>Office Supplies</v>
      </c>
      <c r="Y805" s="3" t="s">
        <v>31</v>
      </c>
      <c r="Z805" s="6" t="str">
        <f>PROPER(TRIM(SUBSTITUTE(Y805,"  "," ")))</f>
        <v>Paper</v>
      </c>
      <c r="AA805" s="3" t="s">
        <v>1701</v>
      </c>
      <c r="AB805" s="3" t="s">
        <v>56</v>
      </c>
      <c r="AC805" s="6" t="str">
        <f>PROPER(TRIM(SUBSTITUTE(AB805,"  "," ")))</f>
        <v>First Class</v>
      </c>
      <c r="AD805" s="3">
        <v>3</v>
      </c>
      <c r="AE805" s="3">
        <v>4289.37</v>
      </c>
      <c r="AF805" s="3">
        <v>0.1</v>
      </c>
      <c r="AG805" s="17">
        <v>0.1</v>
      </c>
      <c r="AH805" s="6" t="str">
        <f t="shared" si="100"/>
        <v>Valid</v>
      </c>
      <c r="AI805" s="3">
        <v>11778.71</v>
      </c>
      <c r="AJ805" s="3">
        <v>6829.43</v>
      </c>
      <c r="AK805" s="3">
        <v>4751.87</v>
      </c>
      <c r="AL805" s="3" t="s">
        <v>34</v>
      </c>
      <c r="AM805" s="6" t="str">
        <f>PROPER(TRIM(SUBSTITUTE(AL805,".","")))</f>
        <v>Paid</v>
      </c>
      <c r="AN805" s="3" t="s">
        <v>125</v>
      </c>
      <c r="AO805" s="8" t="str">
        <f>PROPER(TRIM(SUBSTITUTE(AN805,".","")))</f>
        <v>Returned</v>
      </c>
      <c r="AP805" t="str">
        <f>IF(COUNTIF($A$2:$A$933, A805) &gt; 1, "Duplicate ID", "Unique")</f>
        <v>Duplicate ID</v>
      </c>
      <c r="AQ805" t="s">
        <v>4106</v>
      </c>
      <c r="AR805">
        <f t="shared" si="101"/>
        <v>11581.299000000001</v>
      </c>
      <c r="AS805">
        <f t="shared" si="102"/>
        <v>4751.8690000000006</v>
      </c>
      <c r="AT805" s="15">
        <f t="shared" si="103"/>
        <v>0.41030535521101735</v>
      </c>
      <c r="AU805" t="str">
        <f t="shared" si="104"/>
        <v>Invalid</v>
      </c>
      <c r="AV805" s="8" t="str">
        <f t="shared" si="105"/>
        <v>Active</v>
      </c>
    </row>
    <row r="806" spans="1:48">
      <c r="A806" s="3" t="s">
        <v>1861</v>
      </c>
      <c r="B806" s="3" t="s">
        <v>1862</v>
      </c>
      <c r="C806" s="9">
        <f>IFERROR(DATEVALUE(TEXT(B806,"DD/MM/YYYY")), IF(ISNUMBER(B806), B806, ""))</f>
        <v>45760</v>
      </c>
      <c r="D806" s="9" t="str">
        <f>IF(B806="","Missing", IF(AND(ISNUMBER(B806)=FALSE, C806=""),"Invalid - Could Not Parse", IF(AND(ISNUMBER(B806)=FALSE, C806&lt;&gt;""),"Text - Converted to Date", IF(ISNUMBER(B806),"Valid","Check"))))</f>
        <v>Text - Converted to Date</v>
      </c>
      <c r="E806" s="5">
        <f t="shared" si="98"/>
        <v>4</v>
      </c>
      <c r="F806" s="5">
        <f t="shared" si="99"/>
        <v>2025</v>
      </c>
      <c r="G806" s="3" t="s">
        <v>1862</v>
      </c>
      <c r="H806" s="9">
        <f>IFERROR(DATEVALUE(TEXT(G806,"DD/MM/YYYY")), IF(ISNUMBER(G806), G806, ""))</f>
        <v>45760</v>
      </c>
      <c r="I806" s="9" t="str">
        <f>IF(G806="","Missing", IF(AND(ISNUMBER(G806)=FALSE, H806=""),"Invalid - Could Not Parse", IF(AND(ISNUMBER(G806)=FALSE, H806&lt;&gt;""),"Text - Converted to Date", IF(ISNUMBER(G806),"Valid","Check"))))</f>
        <v>Text - Converted to Date</v>
      </c>
      <c r="J806" s="9" t="str">
        <f>IF(OR(C806="", H806=""), "Cannot Check - Date Missing", IF(H806&lt;C806, "Invalid - Ship Before Order", "Valid"))</f>
        <v>Valid</v>
      </c>
      <c r="K806" s="5">
        <f>IF(OR(C806="", H806=""), "", IF(H806&lt;C806, "", H806-C806))</f>
        <v>0</v>
      </c>
      <c r="L806" s="3" t="s">
        <v>1863</v>
      </c>
      <c r="M806" s="3" t="s">
        <v>168</v>
      </c>
      <c r="N806" s="4" t="str">
        <f>TRIM(SUBSTITUTE(M806,"_"," "))</f>
        <v>Sneha Kapoor</v>
      </c>
      <c r="O806" s="3" t="s">
        <v>41</v>
      </c>
      <c r="P806" s="6" t="str">
        <f>PROPER(TRIM(SUBSTITUTE(O806,".","")))</f>
        <v>Small Business</v>
      </c>
      <c r="Q806" s="3" t="s">
        <v>27</v>
      </c>
      <c r="R806" s="7" t="str">
        <f>PROPER(TRIM(SUBSTITUTE(Q806,"  "," ")))</f>
        <v>North</v>
      </c>
      <c r="S806" s="3" t="s">
        <v>174</v>
      </c>
      <c r="T806" s="6" t="str">
        <f>PROPER(TRIM(SUBSTITUTE(S806,"  "," ")))</f>
        <v>Uttar Pradesh</v>
      </c>
      <c r="U806" s="3" t="s">
        <v>175</v>
      </c>
      <c r="V806" s="6" t="str">
        <f>PROPER(TRIM(SUBSTITUTE(U806,"  "," ")))</f>
        <v>Noida</v>
      </c>
      <c r="W806" s="3" t="s">
        <v>30</v>
      </c>
      <c r="X806" s="6" t="str">
        <f>PROPER(TRIM(SUBSTITUTE(W806,"  "," ")))</f>
        <v>Office Supplies</v>
      </c>
      <c r="Y806" s="3" t="s">
        <v>156</v>
      </c>
      <c r="Z806" s="6" t="str">
        <f>PROPER(TRIM(SUBSTITUTE(Y806,"  "," ")))</f>
        <v>Storage</v>
      </c>
      <c r="AA806" s="3" t="s">
        <v>1864</v>
      </c>
      <c r="AB806" s="3" t="s">
        <v>33</v>
      </c>
      <c r="AC806" s="6" t="str">
        <f>PROPER(TRIM(SUBSTITUTE(AB806,"  "," ")))</f>
        <v>Second Class</v>
      </c>
      <c r="AD806" s="3">
        <v>9</v>
      </c>
      <c r="AE806" s="3">
        <v>1118.68</v>
      </c>
      <c r="AF806" s="3">
        <v>0</v>
      </c>
      <c r="AG806" s="17">
        <v>0</v>
      </c>
      <c r="AH806" s="6" t="str">
        <f t="shared" si="100"/>
        <v>Valid</v>
      </c>
      <c r="AI806" s="3">
        <v>10068.120000000001</v>
      </c>
      <c r="AJ806" s="3">
        <v>8595.3700000000008</v>
      </c>
      <c r="AK806" s="3">
        <v>1472.75</v>
      </c>
      <c r="AL806" s="3" t="s">
        <v>34</v>
      </c>
      <c r="AM806" s="6" t="str">
        <f>PROPER(TRIM(SUBSTITUTE(AL806,".","")))</f>
        <v>Paid</v>
      </c>
      <c r="AN806" s="3" t="s">
        <v>35</v>
      </c>
      <c r="AO806" s="8" t="str">
        <f>PROPER(TRIM(SUBSTITUTE(AN806,".","")))</f>
        <v>Completed</v>
      </c>
      <c r="AP806" t="str">
        <f>IF(COUNTIF($A$2:$A$933, A806) &gt; 1, "Duplicate ID", "Unique")</f>
        <v>Duplicate ID</v>
      </c>
      <c r="AQ806" t="s">
        <v>4106</v>
      </c>
      <c r="AR806">
        <f t="shared" si="101"/>
        <v>10068.120000000001</v>
      </c>
      <c r="AS806">
        <f t="shared" si="102"/>
        <v>1472.75</v>
      </c>
      <c r="AT806" s="15">
        <f t="shared" si="103"/>
        <v>0.14627855051389932</v>
      </c>
      <c r="AU806" t="str">
        <f t="shared" si="104"/>
        <v>Invalid</v>
      </c>
      <c r="AV806" s="8" t="str">
        <f t="shared" si="105"/>
        <v>Active</v>
      </c>
    </row>
    <row r="807" spans="1:48">
      <c r="A807" s="3" t="s">
        <v>1861</v>
      </c>
      <c r="B807" s="3" t="s">
        <v>1862</v>
      </c>
      <c r="C807" s="9">
        <f>IFERROR(DATEVALUE(TEXT(B807,"DD/MM/YYYY")), IF(ISNUMBER(B807), B807, ""))</f>
        <v>45760</v>
      </c>
      <c r="D807" s="9" t="str">
        <f>IF(B807="","Missing", IF(AND(ISNUMBER(B807)=FALSE, C807=""),"Invalid - Could Not Parse", IF(AND(ISNUMBER(B807)=FALSE, C807&lt;&gt;""),"Text - Converted to Date", IF(ISNUMBER(B807),"Valid","Check"))))</f>
        <v>Text - Converted to Date</v>
      </c>
      <c r="E807" s="5">
        <f t="shared" si="98"/>
        <v>4</v>
      </c>
      <c r="F807" s="5">
        <f t="shared" si="99"/>
        <v>2025</v>
      </c>
      <c r="G807" s="3" t="s">
        <v>1862</v>
      </c>
      <c r="H807" s="9">
        <f>IFERROR(DATEVALUE(TEXT(G807,"DD/MM/YYYY")), IF(ISNUMBER(G807), G807, ""))</f>
        <v>45760</v>
      </c>
      <c r="I807" s="9" t="str">
        <f>IF(G807="","Missing", IF(AND(ISNUMBER(G807)=FALSE, H807=""),"Invalid - Could Not Parse", IF(AND(ISNUMBER(G807)=FALSE, H807&lt;&gt;""),"Text - Converted to Date", IF(ISNUMBER(G807),"Valid","Check"))))</f>
        <v>Text - Converted to Date</v>
      </c>
      <c r="J807" s="9" t="str">
        <f>IF(OR(C807="", H807=""), "Cannot Check - Date Missing", IF(H807&lt;C807, "Invalid - Ship Before Order", "Valid"))</f>
        <v>Valid</v>
      </c>
      <c r="K807" s="5">
        <f>IF(OR(C807="", H807=""), "", IF(H807&lt;C807, "", H807-C807))</f>
        <v>0</v>
      </c>
      <c r="L807" s="3" t="s">
        <v>1863</v>
      </c>
      <c r="M807" s="3" t="s">
        <v>168</v>
      </c>
      <c r="N807" s="4" t="str">
        <f>TRIM(SUBSTITUTE(M807,"_"," "))</f>
        <v>Sneha Kapoor</v>
      </c>
      <c r="O807" s="3" t="s">
        <v>41</v>
      </c>
      <c r="P807" s="6" t="str">
        <f>PROPER(TRIM(SUBSTITUTE(O807,".","")))</f>
        <v>Small Business</v>
      </c>
      <c r="Q807" s="3" t="s">
        <v>27</v>
      </c>
      <c r="R807" s="7" t="str">
        <f>PROPER(TRIM(SUBSTITUTE(Q807,"  "," ")))</f>
        <v>North</v>
      </c>
      <c r="S807" s="3" t="s">
        <v>174</v>
      </c>
      <c r="T807" s="6" t="str">
        <f>PROPER(TRIM(SUBSTITUTE(S807,"  "," ")))</f>
        <v>Uttar Pradesh</v>
      </c>
      <c r="U807" s="3" t="s">
        <v>175</v>
      </c>
      <c r="V807" s="6" t="str">
        <f>PROPER(TRIM(SUBSTITUTE(U807,"  "," ")))</f>
        <v>Noida</v>
      </c>
      <c r="W807" s="3" t="s">
        <v>30</v>
      </c>
      <c r="X807" s="6" t="str">
        <f>PROPER(TRIM(SUBSTITUTE(W807,"  "," ")))</f>
        <v>Office Supplies</v>
      </c>
      <c r="Y807" s="3" t="s">
        <v>156</v>
      </c>
      <c r="Z807" s="6" t="str">
        <f>PROPER(TRIM(SUBSTITUTE(Y807,"  "," ")))</f>
        <v>Storage</v>
      </c>
      <c r="AA807" s="3" t="s">
        <v>1864</v>
      </c>
      <c r="AB807" s="3" t="s">
        <v>33</v>
      </c>
      <c r="AC807" s="6" t="str">
        <f>PROPER(TRIM(SUBSTITUTE(AB807,"  "," ")))</f>
        <v>Second Class</v>
      </c>
      <c r="AD807" s="3">
        <v>9</v>
      </c>
      <c r="AE807" s="3">
        <v>1118.68</v>
      </c>
      <c r="AF807" s="3">
        <v>0</v>
      </c>
      <c r="AG807" s="17">
        <v>0</v>
      </c>
      <c r="AH807" s="6" t="str">
        <f t="shared" si="100"/>
        <v>Valid</v>
      </c>
      <c r="AI807" s="3">
        <v>10348.43</v>
      </c>
      <c r="AJ807" s="3">
        <v>8595.3700000000008</v>
      </c>
      <c r="AK807" s="3">
        <v>1472.75</v>
      </c>
      <c r="AL807" s="3" t="s">
        <v>34</v>
      </c>
      <c r="AM807" s="6" t="str">
        <f>PROPER(TRIM(SUBSTITUTE(AL807,".","")))</f>
        <v>Paid</v>
      </c>
      <c r="AN807" s="3" t="s">
        <v>125</v>
      </c>
      <c r="AO807" s="8" t="str">
        <f>PROPER(TRIM(SUBSTITUTE(AN807,".","")))</f>
        <v>Returned</v>
      </c>
      <c r="AP807" t="str">
        <f>IF(COUNTIF($A$2:$A$933, A807) &gt; 1, "Duplicate ID", "Unique")</f>
        <v>Duplicate ID</v>
      </c>
      <c r="AQ807" t="s">
        <v>4106</v>
      </c>
      <c r="AR807">
        <f t="shared" si="101"/>
        <v>10068.120000000001</v>
      </c>
      <c r="AS807">
        <f t="shared" si="102"/>
        <v>1472.75</v>
      </c>
      <c r="AT807" s="15">
        <f t="shared" si="103"/>
        <v>0.14627855051389932</v>
      </c>
      <c r="AU807" t="str">
        <f t="shared" si="104"/>
        <v>Invalid</v>
      </c>
      <c r="AV807" s="8" t="str">
        <f t="shared" si="105"/>
        <v>Active</v>
      </c>
    </row>
    <row r="808" spans="1:48">
      <c r="A808" s="3" t="s">
        <v>1919</v>
      </c>
      <c r="B808" s="3" t="s">
        <v>1397</v>
      </c>
      <c r="C808" s="9">
        <f>IFERROR(DATEVALUE(TEXT(B808,"DD/MM/YYYY")), IF(ISNUMBER(B808), B808, ""))</f>
        <v>45993</v>
      </c>
      <c r="D808" s="9" t="str">
        <f>IF(B808="","Missing", IF(AND(ISNUMBER(B808)=FALSE, C808=""),"Invalid - Could Not Parse", IF(AND(ISNUMBER(B808)=FALSE, C808&lt;&gt;""),"Text - Converted to Date", IF(ISNUMBER(B808),"Valid","Check"))))</f>
        <v>Text - Converted to Date</v>
      </c>
      <c r="E808" s="5">
        <f t="shared" si="98"/>
        <v>12</v>
      </c>
      <c r="F808" s="5">
        <f t="shared" si="99"/>
        <v>2025</v>
      </c>
      <c r="G808" s="3" t="s">
        <v>1920</v>
      </c>
      <c r="H808" s="9">
        <f>IFERROR(DATEVALUE(TEXT(G808,"DD/MM/YYYY")), IF(ISNUMBER(G808), G808, ""))</f>
        <v>45702</v>
      </c>
      <c r="I808" s="9" t="str">
        <f>IF(G808="","Missing", IF(AND(ISNUMBER(G808)=FALSE, H808=""),"Invalid - Could Not Parse", IF(AND(ISNUMBER(G808)=FALSE, H808&lt;&gt;""),"Text - Converted to Date", IF(ISNUMBER(G808),"Valid","Check"))))</f>
        <v>Text - Converted to Date</v>
      </c>
      <c r="J808" s="9" t="str">
        <f>IF(OR(C808="", H808=""), "Cannot Check - Date Missing", IF(H808&lt;C808, "Invalid - Ship Before Order", "Valid"))</f>
        <v>Invalid - Ship Before Order</v>
      </c>
      <c r="K808" s="5" t="str">
        <f>IF(OR(C808="", H808=""), "", IF(H808&lt;C808, "", H808-C808))</f>
        <v/>
      </c>
      <c r="L808" s="3" t="s">
        <v>1921</v>
      </c>
      <c r="M808" s="3" t="s">
        <v>168</v>
      </c>
      <c r="N808" s="4" t="str">
        <f>TRIM(SUBSTITUTE(M808,"_"," "))</f>
        <v>Sneha Kapoor</v>
      </c>
      <c r="O808" s="3" t="s">
        <v>26</v>
      </c>
      <c r="P808" s="6" t="str">
        <f>PROPER(TRIM(SUBSTITUTE(O808,".","")))</f>
        <v>Consumer</v>
      </c>
      <c r="Q808" s="3" t="s">
        <v>73</v>
      </c>
      <c r="R808" s="7" t="str">
        <f>PROPER(TRIM(SUBSTITUTE(Q808,"  "," ")))</f>
        <v>West</v>
      </c>
      <c r="S808" s="3" t="s">
        <v>74</v>
      </c>
      <c r="T808" s="6" t="str">
        <f>PROPER(TRIM(SUBSTITUTE(S808,"  "," ")))</f>
        <v>Maharashtra</v>
      </c>
      <c r="U808" s="3" t="s">
        <v>75</v>
      </c>
      <c r="V808" s="6" t="str">
        <f>PROPER(TRIM(SUBSTITUTE(U808,"  "," ")))</f>
        <v>Mumbai</v>
      </c>
      <c r="W808" s="3" t="s">
        <v>45</v>
      </c>
      <c r="X808" s="6" t="str">
        <f>PROPER(TRIM(SUBSTITUTE(W808,"  "," ")))</f>
        <v>Furniture</v>
      </c>
      <c r="Y808" s="3" t="s">
        <v>65</v>
      </c>
      <c r="Z808" s="6" t="str">
        <f>PROPER(TRIM(SUBSTITUTE(Y808,"  "," ")))</f>
        <v>Furnishings</v>
      </c>
      <c r="AA808" s="3" t="s">
        <v>1922</v>
      </c>
      <c r="AB808" s="3" t="s">
        <v>33</v>
      </c>
      <c r="AC808" s="6" t="str">
        <f>PROPER(TRIM(SUBSTITUTE(AB808,"  "," ")))</f>
        <v>Second Class</v>
      </c>
      <c r="AD808" s="3">
        <v>8</v>
      </c>
      <c r="AE808" s="3">
        <v>2786.66</v>
      </c>
      <c r="AF808" s="3">
        <v>0.1</v>
      </c>
      <c r="AG808" s="17">
        <v>0.1</v>
      </c>
      <c r="AH808" s="6" t="str">
        <f t="shared" si="100"/>
        <v>Valid</v>
      </c>
      <c r="AI808" s="3">
        <v>20063.95</v>
      </c>
      <c r="AJ808" s="3">
        <v>14363.38</v>
      </c>
      <c r="AK808" s="3">
        <v>5700.57</v>
      </c>
      <c r="AL808" s="3" t="s">
        <v>34</v>
      </c>
      <c r="AM808" s="6" t="str">
        <f>PROPER(TRIM(SUBSTITUTE(AL808,".","")))</f>
        <v>Paid</v>
      </c>
      <c r="AN808" s="3" t="s">
        <v>35</v>
      </c>
      <c r="AO808" s="8" t="str">
        <f>PROPER(TRIM(SUBSTITUTE(AN808,".","")))</f>
        <v>Completed</v>
      </c>
      <c r="AP808" t="str">
        <f>IF(COUNTIF($A$2:$A$933, A808) &gt; 1, "Duplicate ID", "Unique")</f>
        <v>Unique</v>
      </c>
      <c r="AR808">
        <f t="shared" si="101"/>
        <v>20063.952000000001</v>
      </c>
      <c r="AS808">
        <f t="shared" si="102"/>
        <v>5700.5720000000019</v>
      </c>
      <c r="AT808" s="15">
        <f t="shared" si="103"/>
        <v>0.2841200975759911</v>
      </c>
      <c r="AU808" t="str">
        <f t="shared" si="104"/>
        <v>Invalid</v>
      </c>
      <c r="AV808" s="8" t="str">
        <f t="shared" si="105"/>
        <v>Active</v>
      </c>
    </row>
    <row r="809" spans="1:48">
      <c r="A809" s="3" t="s">
        <v>3453</v>
      </c>
      <c r="B809" s="3" t="s">
        <v>1397</v>
      </c>
      <c r="C809" s="9">
        <f>IFERROR(DATEVALUE(TEXT(B809,"DD/MM/YYYY")), IF(ISNUMBER(B809), B809, ""))</f>
        <v>45993</v>
      </c>
      <c r="D809" s="9" t="str">
        <f>IF(B809="","Missing", IF(AND(ISNUMBER(B809)=FALSE, C809=""),"Invalid - Could Not Parse", IF(AND(ISNUMBER(B809)=FALSE, C809&lt;&gt;""),"Text - Converted to Date", IF(ISNUMBER(B809),"Valid","Check"))))</f>
        <v>Text - Converted to Date</v>
      </c>
      <c r="E809" s="5">
        <f t="shared" si="98"/>
        <v>12</v>
      </c>
      <c r="F809" s="5">
        <f t="shared" si="99"/>
        <v>2025</v>
      </c>
      <c r="G809" s="3" t="s">
        <v>1940</v>
      </c>
      <c r="H809" s="9">
        <f>IFERROR(DATEVALUE(TEXT(G809,"DD/MM/YYYY")), IF(ISNUMBER(G809), G809, ""))</f>
        <v>45702</v>
      </c>
      <c r="I809" s="9" t="str">
        <f>IF(G809="","Missing", IF(AND(ISNUMBER(G809)=FALSE, H809=""),"Invalid - Could Not Parse", IF(AND(ISNUMBER(G809)=FALSE, H809&lt;&gt;""),"Text - Converted to Date", IF(ISNUMBER(G809),"Valid","Check"))))</f>
        <v>Text - Converted to Date</v>
      </c>
      <c r="J809" s="9" t="str">
        <f>IF(OR(C809="", H809=""), "Cannot Check - Date Missing", IF(H809&lt;C809, "Invalid - Ship Before Order", "Valid"))</f>
        <v>Invalid - Ship Before Order</v>
      </c>
      <c r="K809" s="5" t="str">
        <f>IF(OR(C809="", H809=""), "", IF(H809&lt;C809, "", H809-C809))</f>
        <v/>
      </c>
      <c r="L809" s="3" t="s">
        <v>3454</v>
      </c>
      <c r="M809" s="3" t="s">
        <v>168</v>
      </c>
      <c r="N809" s="4" t="str">
        <f>TRIM(SUBSTITUTE(M809,"_"," "))</f>
        <v>Sneha Kapoor</v>
      </c>
      <c r="O809" s="3" t="s">
        <v>26</v>
      </c>
      <c r="P809" s="6" t="str">
        <f>PROPER(TRIM(SUBSTITUTE(O809,".","")))</f>
        <v>Consumer</v>
      </c>
      <c r="Q809" s="3" t="s">
        <v>27</v>
      </c>
      <c r="R809" s="7" t="str">
        <f>PROPER(TRIM(SUBSTITUTE(Q809,"  "," ")))</f>
        <v>North</v>
      </c>
      <c r="S809" s="3" t="s">
        <v>174</v>
      </c>
      <c r="T809" s="6" t="str">
        <f>PROPER(TRIM(SUBSTITUTE(S809,"  "," ")))</f>
        <v>Uttar Pradesh</v>
      </c>
      <c r="U809" s="3" t="s">
        <v>175</v>
      </c>
      <c r="V809" s="6" t="str">
        <f>PROPER(TRIM(SUBSTITUTE(U809,"  "," ")))</f>
        <v>Noida</v>
      </c>
      <c r="W809" s="3" t="s">
        <v>30</v>
      </c>
      <c r="X809" s="6" t="str">
        <f>PROPER(TRIM(SUBSTITUTE(W809,"  "," ")))</f>
        <v>Office Supplies</v>
      </c>
      <c r="Y809" s="3" t="s">
        <v>54</v>
      </c>
      <c r="Z809" s="6" t="str">
        <f>PROPER(TRIM(SUBSTITUTE(Y809,"  "," ")))</f>
        <v>Art</v>
      </c>
      <c r="AA809" s="3" t="s">
        <v>3455</v>
      </c>
      <c r="AB809" s="3" t="s">
        <v>67</v>
      </c>
      <c r="AC809" s="6" t="str">
        <f>PROPER(TRIM(SUBSTITUTE(AB809,"  "," ")))</f>
        <v>Standard Class</v>
      </c>
      <c r="AD809" s="3">
        <v>6</v>
      </c>
      <c r="AE809" s="3">
        <v>491.4</v>
      </c>
      <c r="AF809" s="3">
        <v>0.25</v>
      </c>
      <c r="AG809" s="17">
        <v>0.25</v>
      </c>
      <c r="AH809" s="6" t="str">
        <f t="shared" si="100"/>
        <v>Valid</v>
      </c>
      <c r="AI809" s="3">
        <v>2211.3000000000002</v>
      </c>
      <c r="AJ809" s="3">
        <v>1735.64</v>
      </c>
      <c r="AK809" s="3">
        <v>475.66</v>
      </c>
      <c r="AL809" s="3" t="s">
        <v>34</v>
      </c>
      <c r="AM809" s="6" t="str">
        <f>PROPER(TRIM(SUBSTITUTE(AL809,".","")))</f>
        <v>Paid</v>
      </c>
      <c r="AN809" s="3" t="s">
        <v>35</v>
      </c>
      <c r="AO809" s="8" t="str">
        <f>PROPER(TRIM(SUBSTITUTE(AN809,".","")))</f>
        <v>Completed</v>
      </c>
      <c r="AP809" t="str">
        <f>IF(COUNTIF($A$2:$A$933, A809) &gt; 1, "Duplicate ID", "Unique")</f>
        <v>Unique</v>
      </c>
      <c r="AR809">
        <f t="shared" si="101"/>
        <v>2211.2999999999997</v>
      </c>
      <c r="AS809">
        <f t="shared" si="102"/>
        <v>475.65999999999963</v>
      </c>
      <c r="AT809" s="15">
        <f t="shared" si="103"/>
        <v>0.21510423732645942</v>
      </c>
      <c r="AU809" t="str">
        <f t="shared" si="104"/>
        <v>Invalid</v>
      </c>
      <c r="AV809" s="8" t="str">
        <f t="shared" si="105"/>
        <v>Active</v>
      </c>
    </row>
    <row r="810" spans="1:48">
      <c r="A810" s="3" t="s">
        <v>4057</v>
      </c>
      <c r="B810" s="3" t="s">
        <v>4058</v>
      </c>
      <c r="C810" s="9">
        <f>IFERROR(DATEVALUE(TEXT(B810,"DD/MM/YYYY")), IF(ISNUMBER(B810), B810, ""))</f>
        <v>45995</v>
      </c>
      <c r="D810" s="9" t="str">
        <f>IF(B810="","Missing", IF(AND(ISNUMBER(B810)=FALSE, C810=""),"Invalid - Could Not Parse", IF(AND(ISNUMBER(B810)=FALSE, C810&lt;&gt;""),"Text - Converted to Date", IF(ISNUMBER(B810),"Valid","Check"))))</f>
        <v>Text - Converted to Date</v>
      </c>
      <c r="E810" s="5">
        <f t="shared" si="98"/>
        <v>12</v>
      </c>
      <c r="F810" s="5">
        <f t="shared" si="99"/>
        <v>2025</v>
      </c>
      <c r="G810" s="3" t="s">
        <v>3000</v>
      </c>
      <c r="H810" s="9">
        <f>IFERROR(DATEVALUE(MID(G810,4,2) &amp; "/" &amp; LEFT(G810,2) &amp; "/" &amp; RIGHT(G810,4)), IF(ISNUMBER(G810), G810, IFERROR(DATEVALUE(G810), "")))</f>
        <v>45765</v>
      </c>
      <c r="I810" s="9" t="str">
        <f>IF(G810="","Missing", IF(AND(ISNUMBER(G810)=FALSE, H810=""),"Invalid - Could Not Parse", IF(AND(ISNUMBER(G810)=FALSE, H810&lt;&gt;""),"Text - Converted to Date", IF(ISNUMBER(G810),"Valid","Check"))))</f>
        <v>Text - Converted to Date</v>
      </c>
      <c r="J810" s="9" t="str">
        <f>IF(OR(C810="", H810=""), "Cannot Check - Date Missing", IF(H810&lt;C810, "Invalid - Ship Before Order", "Valid"))</f>
        <v>Invalid - Ship Before Order</v>
      </c>
      <c r="K810" s="5" t="str">
        <f>IF(OR(C810="", H810=""), "", IF(H810&lt;C810, "", H810-C810))</f>
        <v/>
      </c>
      <c r="L810" s="3" t="s">
        <v>4059</v>
      </c>
      <c r="M810" s="3" t="s">
        <v>53</v>
      </c>
      <c r="N810" s="4" t="str">
        <f>TRIM(SUBSTITUTE(M810,"_"," "))</f>
        <v>Isha Nair</v>
      </c>
      <c r="O810" s="3" t="s">
        <v>41</v>
      </c>
      <c r="P810" s="6" t="str">
        <f>PROPER(TRIM(SUBSTITUTE(O810,".","")))</f>
        <v>Small Business</v>
      </c>
      <c r="Q810" s="3" t="s">
        <v>42</v>
      </c>
      <c r="R810" s="7" t="str">
        <f>PROPER(TRIM(SUBSTITUTE(Q810,"  "," ")))</f>
        <v>East</v>
      </c>
      <c r="S810" s="3" t="s">
        <v>311</v>
      </c>
      <c r="T810" s="6" t="str">
        <f>PROPER(TRIM(SUBSTITUTE(S810,"  "," ")))</f>
        <v>Jharkhand</v>
      </c>
      <c r="U810" s="3" t="s">
        <v>312</v>
      </c>
      <c r="V810" s="6" t="str">
        <f>PROPER(TRIM(SUBSTITUTE(U810,"  "," ")))</f>
        <v>Ranchi</v>
      </c>
      <c r="W810" s="3" t="s">
        <v>86</v>
      </c>
      <c r="X810" s="6" t="str">
        <f>PROPER(TRIM(SUBSTITUTE(W810,"  "," ")))</f>
        <v>Technology</v>
      </c>
      <c r="Y810" s="3" t="s">
        <v>94</v>
      </c>
      <c r="Z810" s="6" t="str">
        <f>PROPER(TRIM(SUBSTITUTE(Y810,"  "," ")))</f>
        <v>Copiers</v>
      </c>
      <c r="AA810" s="3" t="s">
        <v>4060</v>
      </c>
      <c r="AB810" s="3" t="s">
        <v>48</v>
      </c>
      <c r="AC810" s="6" t="str">
        <f>PROPER(TRIM(SUBSTITUTE(AB810,"  "," ")))</f>
        <v>Same Day</v>
      </c>
      <c r="AD810" s="3">
        <v>1</v>
      </c>
      <c r="AE810" s="3">
        <v>726.89</v>
      </c>
      <c r="AF810" s="3">
        <v>0.2</v>
      </c>
      <c r="AG810" s="17">
        <v>0.2</v>
      </c>
      <c r="AH810" s="6" t="str">
        <f t="shared" si="100"/>
        <v>Valid</v>
      </c>
      <c r="AI810" s="3">
        <v>581.51</v>
      </c>
      <c r="AJ810" s="3">
        <v>423.86</v>
      </c>
      <c r="AK810" s="3">
        <v>157.65</v>
      </c>
      <c r="AL810" s="3" t="s">
        <v>34</v>
      </c>
      <c r="AM810" s="6" t="str">
        <f>PROPER(TRIM(SUBSTITUTE(AL810,".","")))</f>
        <v>Paid</v>
      </c>
      <c r="AN810" s="3" t="s">
        <v>35</v>
      </c>
      <c r="AO810" s="8" t="str">
        <f>PROPER(TRIM(SUBSTITUTE(AN810,".","")))</f>
        <v>Completed</v>
      </c>
      <c r="AP810" t="str">
        <f>IF(COUNTIF($A$2:$A$933, A810) &gt; 1, "Duplicate ID", "Unique")</f>
        <v>Unique</v>
      </c>
      <c r="AR810">
        <f t="shared" si="101"/>
        <v>581.51200000000006</v>
      </c>
      <c r="AS810">
        <f t="shared" si="102"/>
        <v>157.65200000000004</v>
      </c>
      <c r="AT810" s="15">
        <f t="shared" si="103"/>
        <v>0.27110704508247468</v>
      </c>
      <c r="AU810" t="str">
        <f t="shared" si="104"/>
        <v>Invalid</v>
      </c>
      <c r="AV810" s="8" t="str">
        <f t="shared" si="105"/>
        <v>Active</v>
      </c>
    </row>
    <row r="811" spans="1:48">
      <c r="A811" s="3" t="s">
        <v>2212</v>
      </c>
      <c r="B811" s="3" t="s">
        <v>2213</v>
      </c>
      <c r="C811" s="9">
        <f>IFERROR(DATEVALUE(TEXT(B811,"DD/MM/YYYY")), IF(ISNUMBER(B811), B811, ""))</f>
        <v>45997</v>
      </c>
      <c r="D811" s="9" t="str">
        <f>IF(B811="","Missing", IF(AND(ISNUMBER(B811)=FALSE, C811=""),"Invalid - Could Not Parse", IF(AND(ISNUMBER(B811)=FALSE, C811&lt;&gt;""),"Text - Converted to Date", IF(ISNUMBER(B811),"Valid","Check"))))</f>
        <v>Text - Converted to Date</v>
      </c>
      <c r="E811" s="5">
        <f t="shared" si="98"/>
        <v>12</v>
      </c>
      <c r="F811" s="5">
        <f t="shared" si="99"/>
        <v>2025</v>
      </c>
      <c r="G811" s="3" t="s">
        <v>1577</v>
      </c>
      <c r="H811" s="9">
        <f>IFERROR(DATEVALUE(TEXT(G811,"DD/MM/YYYY")), IF(ISNUMBER(G811), G811, ""))</f>
        <v>45827</v>
      </c>
      <c r="I811" s="9" t="str">
        <f>IF(G811="","Missing", IF(AND(ISNUMBER(G811)=FALSE, H811=""),"Invalid - Could Not Parse", IF(AND(ISNUMBER(G811)=FALSE, H811&lt;&gt;""),"Text - Converted to Date", IF(ISNUMBER(G811),"Valid","Check"))))</f>
        <v>Text - Converted to Date</v>
      </c>
      <c r="J811" s="9" t="str">
        <f>IF(OR(C811="", H811=""), "Cannot Check - Date Missing", IF(H811&lt;C811, "Invalid - Ship Before Order", "Valid"))</f>
        <v>Invalid - Ship Before Order</v>
      </c>
      <c r="K811" s="5" t="str">
        <f>IF(OR(C811="", H811=""), "", IF(H811&lt;C811, "", H811-C811))</f>
        <v/>
      </c>
      <c r="L811" s="3" t="s">
        <v>2214</v>
      </c>
      <c r="M811" s="3" t="s">
        <v>72</v>
      </c>
      <c r="N811" s="4" t="str">
        <f>TRIM(SUBSTITUTE(M811,"_"," "))</f>
        <v>Ananya Rao</v>
      </c>
      <c r="O811" s="3" t="s">
        <v>108</v>
      </c>
      <c r="P811" s="6" t="str">
        <f>PROPER(TRIM(SUBSTITUTE(O811,".","")))</f>
        <v>Corporate</v>
      </c>
      <c r="Q811" s="3" t="s">
        <v>27</v>
      </c>
      <c r="R811" s="7" t="str">
        <f>PROPER(TRIM(SUBSTITUTE(Q811,"  "," ")))</f>
        <v>North</v>
      </c>
      <c r="S811" s="3" t="s">
        <v>506</v>
      </c>
      <c r="T811" s="6" t="str">
        <f>PROPER(TRIM(SUBSTITUTE(S811,"  "," ")))</f>
        <v>Delhi</v>
      </c>
      <c r="U811" s="3" t="s">
        <v>507</v>
      </c>
      <c r="V811" s="6" t="str">
        <f>PROPER(TRIM(SUBSTITUTE(U811,"  "," ")))</f>
        <v>New Delhi</v>
      </c>
      <c r="W811" s="3" t="s">
        <v>45</v>
      </c>
      <c r="X811" s="6" t="str">
        <f>PROPER(TRIM(SUBSTITUTE(W811,"  "," ")))</f>
        <v>Furniture</v>
      </c>
      <c r="Y811" s="3" t="s">
        <v>76</v>
      </c>
      <c r="Z811" s="6" t="str">
        <f>PROPER(TRIM(SUBSTITUTE(Y811,"  "," ")))</f>
        <v>Chairs</v>
      </c>
      <c r="AA811" s="3" t="s">
        <v>2215</v>
      </c>
      <c r="AB811" s="3" t="s">
        <v>67</v>
      </c>
      <c r="AC811" s="6" t="str">
        <f>PROPER(TRIM(SUBSTITUTE(AB811,"  "," ")))</f>
        <v>Standard Class</v>
      </c>
      <c r="AD811" s="3">
        <v>9</v>
      </c>
      <c r="AE811" s="3">
        <v>2278.5700000000002</v>
      </c>
      <c r="AF811" s="3">
        <v>0.25</v>
      </c>
      <c r="AG811" s="17">
        <v>0.25</v>
      </c>
      <c r="AH811" s="6" t="str">
        <f t="shared" si="100"/>
        <v>Valid</v>
      </c>
      <c r="AI811" s="3">
        <v>15380.35</v>
      </c>
      <c r="AJ811" s="3">
        <v>9907.3700000000008</v>
      </c>
      <c r="AK811" s="3">
        <v>5472.98</v>
      </c>
      <c r="AL811" s="3" t="s">
        <v>34</v>
      </c>
      <c r="AM811" s="6" t="str">
        <f>PROPER(TRIM(SUBSTITUTE(AL811,".","")))</f>
        <v>Paid</v>
      </c>
      <c r="AN811" s="3" t="s">
        <v>35</v>
      </c>
      <c r="AO811" s="8" t="str">
        <f>PROPER(TRIM(SUBSTITUTE(AN811,".","")))</f>
        <v>Completed</v>
      </c>
      <c r="AP811" t="str">
        <f>IF(COUNTIF($A$2:$A$933, A811) &gt; 1, "Duplicate ID", "Unique")</f>
        <v>Unique</v>
      </c>
      <c r="AR811">
        <f t="shared" si="101"/>
        <v>15380.3475</v>
      </c>
      <c r="AS811">
        <f t="shared" si="102"/>
        <v>5472.9774999999991</v>
      </c>
      <c r="AT811" s="15">
        <f t="shared" si="103"/>
        <v>0.35584225258889624</v>
      </c>
      <c r="AU811" t="str">
        <f t="shared" si="104"/>
        <v>Invalid</v>
      </c>
      <c r="AV811" s="8" t="str">
        <f t="shared" si="105"/>
        <v>Active</v>
      </c>
    </row>
    <row r="812" spans="1:48">
      <c r="A812" s="3" t="s">
        <v>3091</v>
      </c>
      <c r="B812" s="3" t="s">
        <v>3092</v>
      </c>
      <c r="C812" s="9">
        <f>IFERROR(DATEVALUE(TEXT(B812,"DD/MM/YYYY")), IF(ISNUMBER(B812), B812, ""))</f>
        <v>46001</v>
      </c>
      <c r="D812" s="9" t="str">
        <f>IF(B812="","Missing", IF(AND(ISNUMBER(B812)=FALSE, C812=""),"Invalid - Could Not Parse", IF(AND(ISNUMBER(B812)=FALSE, C812&lt;&gt;""),"Text - Converted to Date", IF(ISNUMBER(B812),"Valid","Check"))))</f>
        <v>Text - Converted to Date</v>
      </c>
      <c r="E812" s="5">
        <f t="shared" si="98"/>
        <v>12</v>
      </c>
      <c r="F812" s="5">
        <f t="shared" si="99"/>
        <v>2025</v>
      </c>
      <c r="G812" s="3" t="s">
        <v>140</v>
      </c>
      <c r="H812" s="9">
        <f>IFERROR(DATEVALUE(TEXT(G812,"DD/MM/YYYY")), IF(ISNUMBER(G812), G812, ""))</f>
        <v>45946</v>
      </c>
      <c r="I812" s="9" t="str">
        <f>IF(G812="","Missing", IF(AND(ISNUMBER(G812)=FALSE, H812=""),"Invalid - Could Not Parse", IF(AND(ISNUMBER(G812)=FALSE, H812&lt;&gt;""),"Text - Converted to Date", IF(ISNUMBER(G812),"Valid","Check"))))</f>
        <v>Text - Converted to Date</v>
      </c>
      <c r="J812" s="9" t="str">
        <f>IF(OR(C812="", H812=""), "Cannot Check - Date Missing", IF(H812&lt;C812, "Invalid - Ship Before Order", "Valid"))</f>
        <v>Invalid - Ship Before Order</v>
      </c>
      <c r="K812" s="5" t="str">
        <f>IF(OR(C812="", H812=""), "", IF(H812&lt;C812, "", H812-C812))</f>
        <v/>
      </c>
      <c r="L812" s="3" t="s">
        <v>1416</v>
      </c>
      <c r="M812" s="3" t="s">
        <v>210</v>
      </c>
      <c r="N812" s="4" t="str">
        <f>TRIM(SUBSTITUTE(M812,"_"," "))</f>
        <v>Diya Patel</v>
      </c>
      <c r="O812" s="3" t="s">
        <v>108</v>
      </c>
      <c r="P812" s="6" t="str">
        <f>PROPER(TRIM(SUBSTITUTE(O812,".","")))</f>
        <v>Corporate</v>
      </c>
      <c r="Q812" s="3" t="s">
        <v>42</v>
      </c>
      <c r="R812" s="7" t="str">
        <f>PROPER(TRIM(SUBSTITUTE(Q812,"  "," ")))</f>
        <v>East</v>
      </c>
      <c r="S812" s="3" t="s">
        <v>186</v>
      </c>
      <c r="T812" s="6" t="str">
        <f>PROPER(TRIM(SUBSTITUTE(S812,"  "," ")))</f>
        <v>Bihar</v>
      </c>
      <c r="U812" s="3" t="s">
        <v>187</v>
      </c>
      <c r="V812" s="6" t="str">
        <f>PROPER(TRIM(SUBSTITUTE(U812,"  "," ")))</f>
        <v>Patna</v>
      </c>
      <c r="W812" s="3" t="s">
        <v>86</v>
      </c>
      <c r="X812" s="6" t="str">
        <f>PROPER(TRIM(SUBSTITUTE(W812,"  "," ")))</f>
        <v>Technology</v>
      </c>
      <c r="Y812" s="3" t="s">
        <v>382</v>
      </c>
      <c r="Z812" s="6" t="str">
        <f>PROPER(TRIM(SUBSTITUTE(Y812,"  "," ")))</f>
        <v>Machines</v>
      </c>
      <c r="AA812" s="3" t="s">
        <v>3093</v>
      </c>
      <c r="AB812" s="3" t="s">
        <v>48</v>
      </c>
      <c r="AC812" s="6" t="str">
        <f>PROPER(TRIM(SUBSTITUTE(AB812,"  "," ")))</f>
        <v>Same Day</v>
      </c>
      <c r="AD812" s="3">
        <v>1</v>
      </c>
      <c r="AE812" s="3">
        <v>2570.06</v>
      </c>
      <c r="AF812" s="3">
        <v>0.2</v>
      </c>
      <c r="AG812" s="17">
        <v>0.2</v>
      </c>
      <c r="AH812" s="6" t="str">
        <f t="shared" si="100"/>
        <v>Valid</v>
      </c>
      <c r="AI812" s="3">
        <v>2056.0500000000002</v>
      </c>
      <c r="AJ812" s="3">
        <v>1662.39</v>
      </c>
      <c r="AK812" s="3">
        <v>393.66</v>
      </c>
      <c r="AL812" s="3" t="s">
        <v>34</v>
      </c>
      <c r="AM812" s="6" t="str">
        <f>PROPER(TRIM(SUBSTITUTE(AL812,".","")))</f>
        <v>Paid</v>
      </c>
      <c r="AN812" s="3" t="s">
        <v>35</v>
      </c>
      <c r="AO812" s="8" t="str">
        <f>PROPER(TRIM(SUBSTITUTE(AN812,".","")))</f>
        <v>Completed</v>
      </c>
      <c r="AP812" t="str">
        <f>IF(COUNTIF($A$2:$A$933, A812) &gt; 1, "Duplicate ID", "Unique")</f>
        <v>Unique</v>
      </c>
      <c r="AR812">
        <f t="shared" si="101"/>
        <v>2056.0480000000002</v>
      </c>
      <c r="AS812">
        <f t="shared" si="102"/>
        <v>393.65800000000013</v>
      </c>
      <c r="AT812" s="15">
        <f t="shared" si="103"/>
        <v>0.19146342886936496</v>
      </c>
      <c r="AU812" t="str">
        <f t="shared" si="104"/>
        <v>Invalid</v>
      </c>
      <c r="AV812" s="8" t="str">
        <f t="shared" si="105"/>
        <v>Active</v>
      </c>
    </row>
    <row r="813" spans="1:48">
      <c r="A813" s="3" t="s">
        <v>910</v>
      </c>
      <c r="B813" s="3" t="s">
        <v>911</v>
      </c>
      <c r="C813" s="9">
        <f>IFERROR(DATEVALUE(MID(B813,4,2) &amp; "/" &amp; LEFT(B813,2) &amp; "/" &amp; RIGHT(B813,4)), IF(ISNUMBER(B813), B813, IFERROR(DATEVALUE(B813), "")))</f>
        <v>45618</v>
      </c>
      <c r="D813" s="9" t="str">
        <f>IF(B813="","Missing", IF(AND(ISNUMBER(B813)=FALSE, C813=""),"Invalid - Could Not Parse", IF(AND(ISNUMBER(B813)=FALSE, C813&lt;&gt;""),"Text - Converted to Date", IF(ISNUMBER(B813),"Valid","Check"))))</f>
        <v>Text - Converted to Date</v>
      </c>
      <c r="E813" s="5">
        <f t="shared" si="98"/>
        <v>11</v>
      </c>
      <c r="F813" s="5">
        <f t="shared" si="99"/>
        <v>2024</v>
      </c>
      <c r="G813" s="3" t="s">
        <v>912</v>
      </c>
      <c r="H813" s="9">
        <f>IFERROR(DATEVALUE(TEXT(G813,"DD/MM/YYYY")), IF(ISNUMBER(G813), G813, ""))</f>
        <v>45625</v>
      </c>
      <c r="I813" s="9" t="str">
        <f>IF(G813="","Missing", IF(AND(ISNUMBER(G813)=FALSE, H813=""),"Invalid - Could Not Parse", IF(AND(ISNUMBER(G813)=FALSE, H813&lt;&gt;""),"Text - Converted to Date", IF(ISNUMBER(G813),"Valid","Check"))))</f>
        <v>Text - Converted to Date</v>
      </c>
      <c r="J813" s="9" t="str">
        <f>IF(OR(C813="", H813=""), "Cannot Check - Date Missing", IF(H813&lt;C813, "Invalid - Ship Before Order", "Valid"))</f>
        <v>Valid</v>
      </c>
      <c r="K813" s="5">
        <f>IF(OR(C813="", H813=""), "", IF(H813&lt;C813, "", H813-C813))</f>
        <v>7</v>
      </c>
      <c r="L813" s="3" t="s">
        <v>913</v>
      </c>
      <c r="M813" s="3" t="s">
        <v>40</v>
      </c>
      <c r="N813" s="4" t="str">
        <f>TRIM(SUBSTITUTE(M813,"_"," "))</f>
        <v>Mira Das</v>
      </c>
      <c r="O813" s="3" t="s">
        <v>115</v>
      </c>
      <c r="P813" s="6" t="str">
        <f>PROPER(TRIM(SUBSTITUTE(O813,".","")))</f>
        <v>Home Office</v>
      </c>
      <c r="Q813" s="3" t="s">
        <v>42</v>
      </c>
      <c r="R813" s="7" t="str">
        <f>PROPER(TRIM(SUBSTITUTE(Q813,"  "," ")))</f>
        <v>East</v>
      </c>
      <c r="S813" s="3" t="s">
        <v>186</v>
      </c>
      <c r="T813" s="6" t="str">
        <f>PROPER(TRIM(SUBSTITUTE(S813,"  "," ")))</f>
        <v>Bihar</v>
      </c>
      <c r="U813" s="3" t="s">
        <v>187</v>
      </c>
      <c r="V813" s="6" t="str">
        <f>PROPER(TRIM(SUBSTITUTE(U813,"  "," ")))</f>
        <v>Patna</v>
      </c>
      <c r="W813" s="3" t="s">
        <v>45</v>
      </c>
      <c r="X813" s="6" t="str">
        <f>PROPER(TRIM(SUBSTITUTE(W813,"  "," ")))</f>
        <v>Furniture</v>
      </c>
      <c r="Y813" s="3" t="s">
        <v>76</v>
      </c>
      <c r="Z813" s="6" t="str">
        <f>PROPER(TRIM(SUBSTITUTE(Y813,"  "," ")))</f>
        <v>Chairs</v>
      </c>
      <c r="AA813" s="3" t="s">
        <v>914</v>
      </c>
      <c r="AB813" s="3" t="s">
        <v>67</v>
      </c>
      <c r="AC813" s="6" t="str">
        <f>PROPER(TRIM(SUBSTITUTE(AB813,"  "," ")))</f>
        <v>Standard Class</v>
      </c>
      <c r="AD813" s="3">
        <v>4</v>
      </c>
      <c r="AE813" s="3">
        <v>3422.99</v>
      </c>
      <c r="AF813" s="3">
        <v>0.25</v>
      </c>
      <c r="AG813" s="17">
        <v>0.25</v>
      </c>
      <c r="AH813" s="6" t="str">
        <f t="shared" si="100"/>
        <v>Valid</v>
      </c>
      <c r="AI813" s="3">
        <v>10268.969999999999</v>
      </c>
      <c r="AJ813" s="3">
        <v>6470.92</v>
      </c>
      <c r="AK813" s="3">
        <v>3798.05</v>
      </c>
      <c r="AL813" s="3" t="s">
        <v>34</v>
      </c>
      <c r="AM813" s="6" t="str">
        <f>PROPER(TRIM(SUBSTITUTE(AL813,".","")))</f>
        <v>Paid</v>
      </c>
      <c r="AN813" s="3" t="s">
        <v>35</v>
      </c>
      <c r="AO813" s="8" t="str">
        <f>PROPER(TRIM(SUBSTITUTE(AN813,".","")))</f>
        <v>Completed</v>
      </c>
      <c r="AP813" t="str">
        <f>IF(COUNTIF($A$2:$A$933, A813) &gt; 1, "Duplicate ID", "Unique")</f>
        <v>Unique</v>
      </c>
      <c r="AR813">
        <f t="shared" si="101"/>
        <v>10268.969999999999</v>
      </c>
      <c r="AS813">
        <f t="shared" si="102"/>
        <v>3798.0499999999993</v>
      </c>
      <c r="AT813" s="15">
        <f t="shared" si="103"/>
        <v>0.36985695741637181</v>
      </c>
      <c r="AU813" t="str">
        <f t="shared" si="104"/>
        <v>Clean</v>
      </c>
      <c r="AV813" s="8" t="str">
        <f t="shared" si="105"/>
        <v>Active</v>
      </c>
    </row>
    <row r="814" spans="1:48">
      <c r="A814" s="3" t="s">
        <v>925</v>
      </c>
      <c r="B814" s="3" t="s">
        <v>926</v>
      </c>
      <c r="C814" s="9">
        <f>IFERROR(DATEVALUE(MID(B814,4,2) &amp; "/" &amp; LEFT(B814,2) &amp; "/" &amp; RIGHT(B814,4)), IF(ISNUMBER(B814), B814, IFERROR(DATEVALUE(B814), "")))</f>
        <v>45677</v>
      </c>
      <c r="D814" s="9" t="str">
        <f>IF(B814="","Missing", IF(AND(ISNUMBER(B814)=FALSE, C814=""),"Invalid - Could Not Parse", IF(AND(ISNUMBER(B814)=FALSE, C814&lt;&gt;""),"Text - Converted to Date", IF(ISNUMBER(B814),"Valid","Check"))))</f>
        <v>Text - Converted to Date</v>
      </c>
      <c r="E814" s="5">
        <f t="shared" si="98"/>
        <v>1</v>
      </c>
      <c r="F814" s="5">
        <f t="shared" si="99"/>
        <v>2025</v>
      </c>
      <c r="G814" s="3" t="s">
        <v>184</v>
      </c>
      <c r="H814" s="9">
        <f>IFERROR(DATEVALUE(TEXT(G814,"DD/MM/YYYY")), IF(ISNUMBER(G814), G814, ""))</f>
        <v>45680</v>
      </c>
      <c r="I814" s="9" t="str">
        <f>IF(G814="","Missing", IF(AND(ISNUMBER(G814)=FALSE, H814=""),"Invalid - Could Not Parse", IF(AND(ISNUMBER(G814)=FALSE, H814&lt;&gt;""),"Text - Converted to Date", IF(ISNUMBER(G814),"Valid","Check"))))</f>
        <v>Text - Converted to Date</v>
      </c>
      <c r="J814" s="9" t="str">
        <f>IF(OR(C814="", H814=""), "Cannot Check - Date Missing", IF(H814&lt;C814, "Invalid - Ship Before Order", "Valid"))</f>
        <v>Valid</v>
      </c>
      <c r="K814" s="5">
        <f>IF(OR(C814="", H814=""), "", IF(H814&lt;C814, "", H814-C814))</f>
        <v>3</v>
      </c>
      <c r="L814" s="3" t="s">
        <v>927</v>
      </c>
      <c r="M814" s="3" t="s">
        <v>366</v>
      </c>
      <c r="N814" s="4" t="str">
        <f>TRIM(SUBSTITUTE(M814,"_"," "))</f>
        <v>Kabir Singh</v>
      </c>
      <c r="O814" s="3" t="s">
        <v>26</v>
      </c>
      <c r="P814" s="6" t="str">
        <f>PROPER(TRIM(SUBSTITUTE(O814,".","")))</f>
        <v>Consumer</v>
      </c>
      <c r="Q814" s="3" t="s">
        <v>73</v>
      </c>
      <c r="R814" s="7" t="str">
        <f>PROPER(TRIM(SUBSTITUTE(Q814,"  "," ")))</f>
        <v>West</v>
      </c>
      <c r="S814" s="3" t="s">
        <v>74</v>
      </c>
      <c r="T814" s="6" t="str">
        <f>PROPER(TRIM(SUBSTITUTE(S814,"  "," ")))</f>
        <v>Maharashtra</v>
      </c>
      <c r="U814" s="3" t="s">
        <v>75</v>
      </c>
      <c r="V814" s="6" t="str">
        <f>PROPER(TRIM(SUBSTITUTE(U814,"  "," ")))</f>
        <v>Mumbai</v>
      </c>
      <c r="W814" s="3" t="s">
        <v>86</v>
      </c>
      <c r="X814" s="6" t="str">
        <f>PROPER(TRIM(SUBSTITUTE(W814,"  "," ")))</f>
        <v>Technology</v>
      </c>
      <c r="Y814" s="3" t="s">
        <v>87</v>
      </c>
      <c r="Z814" s="6" t="str">
        <f>PROPER(TRIM(SUBSTITUTE(Y814,"  "," ")))</f>
        <v>Accessories</v>
      </c>
      <c r="AA814" s="3" t="s">
        <v>928</v>
      </c>
      <c r="AB814" s="3" t="s">
        <v>48</v>
      </c>
      <c r="AC814" s="6" t="str">
        <f>PROPER(TRIM(SUBSTITUTE(AB814,"  "," ")))</f>
        <v>Same Day</v>
      </c>
      <c r="AD814" s="3">
        <v>5</v>
      </c>
      <c r="AE814" s="3">
        <v>639.27</v>
      </c>
      <c r="AF814" s="3">
        <v>0.2</v>
      </c>
      <c r="AG814" s="17">
        <v>0.2</v>
      </c>
      <c r="AH814" s="6" t="str">
        <f t="shared" si="100"/>
        <v>Valid</v>
      </c>
      <c r="AI814" s="3">
        <v>2557.08</v>
      </c>
      <c r="AJ814" s="3">
        <v>2025.69</v>
      </c>
      <c r="AK814" s="3">
        <v>531.39</v>
      </c>
      <c r="AL814" s="3" t="s">
        <v>34</v>
      </c>
      <c r="AM814" s="6" t="str">
        <f>PROPER(TRIM(SUBSTITUTE(AL814,".","")))</f>
        <v>Paid</v>
      </c>
      <c r="AN814" s="3" t="s">
        <v>78</v>
      </c>
      <c r="AO814" s="8" t="str">
        <f>PROPER(TRIM(SUBSTITUTE(AN814,".","")))</f>
        <v>Cancelled</v>
      </c>
      <c r="AP814" t="str">
        <f>IF(COUNTIF($A$2:$A$933, A814) &gt; 1, "Duplicate ID", "Unique")</f>
        <v>Unique</v>
      </c>
      <c r="AR814">
        <f t="shared" si="101"/>
        <v>2557.08</v>
      </c>
      <c r="AS814">
        <f t="shared" si="102"/>
        <v>531.38999999999987</v>
      </c>
      <c r="AT814" s="15">
        <f t="shared" si="103"/>
        <v>0.2078112534609789</v>
      </c>
      <c r="AU814" t="str">
        <f t="shared" si="104"/>
        <v>Clean</v>
      </c>
      <c r="AV814" s="8" t="str">
        <f t="shared" si="105"/>
        <v>Cancelled</v>
      </c>
    </row>
    <row r="815" spans="1:48">
      <c r="A815" s="3" t="s">
        <v>1103</v>
      </c>
      <c r="B815" s="3" t="s">
        <v>1104</v>
      </c>
      <c r="C815" s="9">
        <f>IFERROR(DATEVALUE(MID(B815,4,2) &amp; "/" &amp; LEFT(B815,2) &amp; "/" &amp; RIGHT(B815,4)), IF(ISNUMBER(B815), B815, IFERROR(DATEVALUE(B815), "")))</f>
        <v>45795</v>
      </c>
      <c r="D815" s="9" t="str">
        <f>IF(B815="","Missing", IF(AND(ISNUMBER(B815)=FALSE, C815=""),"Invalid - Could Not Parse", IF(AND(ISNUMBER(B815)=FALSE, C815&lt;&gt;""),"Text - Converted to Date", IF(ISNUMBER(B815),"Valid","Check"))))</f>
        <v>Text - Converted to Date</v>
      </c>
      <c r="E815" s="5">
        <f t="shared" si="98"/>
        <v>5</v>
      </c>
      <c r="F815" s="5">
        <f t="shared" si="99"/>
        <v>2025</v>
      </c>
      <c r="G815" s="3" t="s">
        <v>118</v>
      </c>
      <c r="H815" s="9">
        <f>IFERROR(DATEVALUE(TEXT(G815,"DD/MM/YYYY")), IF(ISNUMBER(G815), G815, ""))</f>
        <v>45797</v>
      </c>
      <c r="I815" s="9" t="str">
        <f>IF(G815="","Missing", IF(AND(ISNUMBER(G815)=FALSE, H815=""),"Invalid - Could Not Parse", IF(AND(ISNUMBER(G815)=FALSE, H815&lt;&gt;""),"Text - Converted to Date", IF(ISNUMBER(G815),"Valid","Check"))))</f>
        <v>Text - Converted to Date</v>
      </c>
      <c r="J815" s="9" t="str">
        <f>IF(OR(C815="", H815=""), "Cannot Check - Date Missing", IF(H815&lt;C815, "Invalid - Ship Before Order", "Valid"))</f>
        <v>Valid</v>
      </c>
      <c r="K815" s="5">
        <f>IF(OR(C815="", H815=""), "", IF(H815&lt;C815, "", H815-C815))</f>
        <v>2</v>
      </c>
      <c r="L815" s="3" t="s">
        <v>1105</v>
      </c>
      <c r="M815" s="3" t="s">
        <v>210</v>
      </c>
      <c r="N815" s="4" t="str">
        <f>TRIM(SUBSTITUTE(M815,"_"," "))</f>
        <v>Diya Patel</v>
      </c>
      <c r="O815" s="3" t="s">
        <v>41</v>
      </c>
      <c r="P815" s="6" t="str">
        <f>PROPER(TRIM(SUBSTITUTE(O815,".","")))</f>
        <v>Small Business</v>
      </c>
      <c r="Q815" s="3" t="s">
        <v>27</v>
      </c>
      <c r="R815" s="7" t="str">
        <f>PROPER(TRIM(SUBSTITUTE(Q815,"  "," ")))</f>
        <v>North</v>
      </c>
      <c r="S815" s="3" t="s">
        <v>174</v>
      </c>
      <c r="T815" s="6" t="str">
        <f>PROPER(TRIM(SUBSTITUTE(S815,"  "," ")))</f>
        <v>Uttar Pradesh</v>
      </c>
      <c r="U815" s="3" t="s">
        <v>175</v>
      </c>
      <c r="V815" s="6" t="str">
        <f>PROPER(TRIM(SUBSTITUTE(U815,"  "," ")))</f>
        <v>Noida</v>
      </c>
      <c r="W815" s="3" t="s">
        <v>45</v>
      </c>
      <c r="X815" s="6" t="str">
        <f>PROPER(TRIM(SUBSTITUTE(W815,"  "," ")))</f>
        <v>Furniture</v>
      </c>
      <c r="Y815" s="3" t="s">
        <v>65</v>
      </c>
      <c r="Z815" s="6" t="str">
        <f>PROPER(TRIM(SUBSTITUTE(Y815,"  "," ")))</f>
        <v>Furnishings</v>
      </c>
      <c r="AA815" s="3" t="s">
        <v>1106</v>
      </c>
      <c r="AB815" s="3" t="s">
        <v>56</v>
      </c>
      <c r="AC815" s="6" t="str">
        <f>PROPER(TRIM(SUBSTITUTE(AB815,"  "," ")))</f>
        <v>First Class</v>
      </c>
      <c r="AD815" s="3">
        <v>2</v>
      </c>
      <c r="AE815" s="3">
        <v>215.13</v>
      </c>
      <c r="AF815" s="3">
        <v>0</v>
      </c>
      <c r="AG815" s="17">
        <v>0</v>
      </c>
      <c r="AH815" s="6" t="str">
        <f t="shared" si="100"/>
        <v>Valid</v>
      </c>
      <c r="AI815" s="3">
        <v>430.26</v>
      </c>
      <c r="AJ815" s="3">
        <v>286.38</v>
      </c>
      <c r="AK815" s="3">
        <v>143.88</v>
      </c>
      <c r="AL815" s="3" t="s">
        <v>34</v>
      </c>
      <c r="AM815" s="6" t="str">
        <f>PROPER(TRIM(SUBSTITUTE(AL815,".","")))</f>
        <v>Paid</v>
      </c>
      <c r="AN815" s="3" t="s">
        <v>35</v>
      </c>
      <c r="AO815" s="8" t="str">
        <f>PROPER(TRIM(SUBSTITUTE(AN815,".","")))</f>
        <v>Completed</v>
      </c>
      <c r="AP815" t="str">
        <f>IF(COUNTIF($A$2:$A$933, A815) &gt; 1, "Duplicate ID", "Unique")</f>
        <v>Unique</v>
      </c>
      <c r="AR815">
        <f t="shared" si="101"/>
        <v>430.26</v>
      </c>
      <c r="AS815">
        <f t="shared" si="102"/>
        <v>143.88</v>
      </c>
      <c r="AT815" s="15">
        <f t="shared" si="103"/>
        <v>0.33440245432994004</v>
      </c>
      <c r="AU815" t="str">
        <f t="shared" si="104"/>
        <v>Clean</v>
      </c>
      <c r="AV815" s="8" t="str">
        <f t="shared" si="105"/>
        <v>Active</v>
      </c>
    </row>
    <row r="816" spans="1:48">
      <c r="A816" s="3" t="s">
        <v>1112</v>
      </c>
      <c r="B816" s="3" t="s">
        <v>1113</v>
      </c>
      <c r="C816" s="9">
        <f>IFERROR(DATEVALUE(MID(B816,4,2) &amp; "/" &amp; LEFT(B816,2) &amp; "/" &amp; RIGHT(B816,4)), IF(ISNUMBER(B816), B816, IFERROR(DATEVALUE(B816), "")))</f>
        <v>45837</v>
      </c>
      <c r="D816" s="9" t="str">
        <f>IF(B816="","Missing", IF(AND(ISNUMBER(B816)=FALSE, C816=""),"Invalid - Could Not Parse", IF(AND(ISNUMBER(B816)=FALSE, C816&lt;&gt;""),"Text - Converted to Date", IF(ISNUMBER(B816),"Valid","Check"))))</f>
        <v>Text - Converted to Date</v>
      </c>
      <c r="E816" s="5">
        <f t="shared" si="98"/>
        <v>6</v>
      </c>
      <c r="F816" s="5">
        <f t="shared" si="99"/>
        <v>2025</v>
      </c>
      <c r="G816" s="3" t="s">
        <v>1114</v>
      </c>
      <c r="H816" s="9">
        <f>IFERROR(DATEVALUE(TEXT(G816,"DD/MM/YYYY")), IF(ISNUMBER(G816), G816, ""))</f>
        <v>45843</v>
      </c>
      <c r="I816" s="9" t="str">
        <f>IF(G816="","Missing", IF(AND(ISNUMBER(G816)=FALSE, H816=""),"Invalid - Could Not Parse", IF(AND(ISNUMBER(G816)=FALSE, H816&lt;&gt;""),"Text - Converted to Date", IF(ISNUMBER(G816),"Valid","Check"))))</f>
        <v>Text - Converted to Date</v>
      </c>
      <c r="J816" s="9" t="str">
        <f>IF(OR(C816="", H816=""), "Cannot Check - Date Missing", IF(H816&lt;C816, "Invalid - Ship Before Order", "Valid"))</f>
        <v>Valid</v>
      </c>
      <c r="K816" s="5">
        <f>IF(OR(C816="", H816=""), "", IF(H816&lt;C816, "", H816-C816))</f>
        <v>6</v>
      </c>
      <c r="L816" s="3" t="s">
        <v>1115</v>
      </c>
      <c r="M816" s="3" t="s">
        <v>210</v>
      </c>
      <c r="N816" s="4" t="str">
        <f>TRIM(SUBSTITUTE(M816,"_"," "))</f>
        <v>Diya Patel</v>
      </c>
      <c r="O816" s="3" t="s">
        <v>26</v>
      </c>
      <c r="P816" s="6" t="str">
        <f>PROPER(TRIM(SUBSTITUTE(O816,".","")))</f>
        <v>Consumer</v>
      </c>
      <c r="Q816" s="3" t="s">
        <v>27</v>
      </c>
      <c r="R816" s="7" t="str">
        <f>PROPER(TRIM(SUBSTITUTE(Q816,"  "," ")))</f>
        <v>North</v>
      </c>
      <c r="S816" s="3" t="s">
        <v>154</v>
      </c>
      <c r="T816" s="6" t="str">
        <f>PROPER(TRIM(SUBSTITUTE(S816,"  "," ")))</f>
        <v>Punjab</v>
      </c>
      <c r="U816" s="3" t="s">
        <v>155</v>
      </c>
      <c r="V816" s="6" t="str">
        <f>PROPER(TRIM(SUBSTITUTE(U816,"  "," ")))</f>
        <v>Ludhiana</v>
      </c>
      <c r="W816" s="3" t="s">
        <v>45</v>
      </c>
      <c r="X816" s="6" t="str">
        <f>PROPER(TRIM(SUBSTITUTE(W816,"  "," ")))</f>
        <v>Furniture</v>
      </c>
      <c r="Y816" s="3" t="s">
        <v>76</v>
      </c>
      <c r="Z816" s="6" t="str">
        <f>PROPER(TRIM(SUBSTITUTE(Y816,"  "," ")))</f>
        <v>Chairs</v>
      </c>
      <c r="AA816" s="3" t="s">
        <v>1116</v>
      </c>
      <c r="AB816" s="3" t="s">
        <v>48</v>
      </c>
      <c r="AC816" s="6" t="str">
        <f>PROPER(TRIM(SUBSTITUTE(AB816,"  "," ")))</f>
        <v>Same Day</v>
      </c>
      <c r="AD816" s="3">
        <v>1</v>
      </c>
      <c r="AE816" s="3">
        <v>999.83</v>
      </c>
      <c r="AF816" s="3">
        <v>0</v>
      </c>
      <c r="AG816" s="17">
        <v>0</v>
      </c>
      <c r="AH816" s="6" t="str">
        <f t="shared" si="100"/>
        <v>Valid</v>
      </c>
      <c r="AI816" s="3">
        <v>999.83</v>
      </c>
      <c r="AJ816" s="3">
        <v>634.91</v>
      </c>
      <c r="AK816" s="3">
        <v>364.92</v>
      </c>
      <c r="AL816" s="3" t="s">
        <v>34</v>
      </c>
      <c r="AM816" s="6" t="str">
        <f>PROPER(TRIM(SUBSTITUTE(AL816,".","")))</f>
        <v>Paid</v>
      </c>
      <c r="AN816" s="3" t="s">
        <v>35</v>
      </c>
      <c r="AO816" s="8" t="str">
        <f>PROPER(TRIM(SUBSTITUTE(AN816,".","")))</f>
        <v>Completed</v>
      </c>
      <c r="AP816" t="str">
        <f>IF(COUNTIF($A$2:$A$933, A816) &gt; 1, "Duplicate ID", "Unique")</f>
        <v>Unique</v>
      </c>
      <c r="AR816">
        <f t="shared" si="101"/>
        <v>999.83</v>
      </c>
      <c r="AS816">
        <f t="shared" si="102"/>
        <v>364.92000000000007</v>
      </c>
      <c r="AT816" s="15">
        <f t="shared" si="103"/>
        <v>0.3649820469479812</v>
      </c>
      <c r="AU816" t="str">
        <f t="shared" si="104"/>
        <v>Clean</v>
      </c>
      <c r="AV816" s="8" t="str">
        <f t="shared" si="105"/>
        <v>Active</v>
      </c>
    </row>
    <row r="817" spans="1:48">
      <c r="A817" s="3" t="s">
        <v>1117</v>
      </c>
      <c r="B817" s="3" t="s">
        <v>1118</v>
      </c>
      <c r="C817" s="9">
        <f>IFERROR(DATEVALUE(MID(B817,4,2) &amp; "/" &amp; LEFT(B817,2) &amp; "/" &amp; RIGHT(B817,4)), IF(ISNUMBER(B817), B817, IFERROR(DATEVALUE(B817), "")))</f>
        <v>45882</v>
      </c>
      <c r="D817" s="9" t="str">
        <f>IF(B817="","Missing", IF(AND(ISNUMBER(B817)=FALSE, C817=""),"Invalid - Could Not Parse", IF(AND(ISNUMBER(B817)=FALSE, C817&lt;&gt;""),"Text - Converted to Date", IF(ISNUMBER(B817),"Valid","Check"))))</f>
        <v>Text - Converted to Date</v>
      </c>
      <c r="E817" s="5">
        <f t="shared" si="98"/>
        <v>8</v>
      </c>
      <c r="F817" s="5">
        <f t="shared" si="99"/>
        <v>2025</v>
      </c>
      <c r="G817" s="3" t="s">
        <v>1119</v>
      </c>
      <c r="H817" s="9">
        <f>IFERROR(DATEVALUE(MID(G817,4,2) &amp; "/" &amp; LEFT(G817,2) &amp; "/" &amp; RIGHT(G817,4)), IF(ISNUMBER(G817), G817, IFERROR(DATEVALUE(G817), "")))</f>
        <v>45883</v>
      </c>
      <c r="I817" s="9" t="str">
        <f>IF(G817="","Missing", IF(AND(ISNUMBER(G817)=FALSE, H817=""),"Invalid - Could Not Parse", IF(AND(ISNUMBER(G817)=FALSE, H817&lt;&gt;""),"Text - Converted to Date", IF(ISNUMBER(G817),"Valid","Check"))))</f>
        <v>Text - Converted to Date</v>
      </c>
      <c r="J817" s="9" t="str">
        <f>IF(OR(C817="", H817=""), "Cannot Check - Date Missing", IF(H817&lt;C817, "Invalid - Ship Before Order", "Valid"))</f>
        <v>Valid</v>
      </c>
      <c r="K817" s="5">
        <f>IF(OR(C817="", H817=""), "", IF(H817&lt;C817, "", H817-C817))</f>
        <v>1</v>
      </c>
      <c r="L817" s="3" t="s">
        <v>1120</v>
      </c>
      <c r="M817" s="3" t="s">
        <v>180</v>
      </c>
      <c r="N817" s="4" t="str">
        <f>TRIM(SUBSTITUTE(M817,"_"," "))</f>
        <v>Rohan Mehta</v>
      </c>
      <c r="O817" s="3" t="s">
        <v>41</v>
      </c>
      <c r="P817" s="6" t="str">
        <f>PROPER(TRIM(SUBSTITUTE(O817,".","")))</f>
        <v>Small Business</v>
      </c>
      <c r="Q817" s="3" t="s">
        <v>62</v>
      </c>
      <c r="R817" s="7" t="str">
        <f>PROPER(TRIM(SUBSTITUTE(Q817,"  "," ")))</f>
        <v>South</v>
      </c>
      <c r="S817" s="3" t="s">
        <v>100</v>
      </c>
      <c r="T817" s="6" t="str">
        <f>PROPER(TRIM(SUBSTITUTE(S817,"  "," ")))</f>
        <v>Andhra Pradesh</v>
      </c>
      <c r="U817" s="3" t="s">
        <v>101</v>
      </c>
      <c r="V817" s="6" t="str">
        <f>PROPER(TRIM(SUBSTITUTE(U817,"  "," ")))</f>
        <v>Vijayawada</v>
      </c>
      <c r="W817" s="3" t="s">
        <v>30</v>
      </c>
      <c r="X817" s="6" t="str">
        <f>PROPER(TRIM(SUBSTITUTE(W817,"  "," ")))</f>
        <v>Office Supplies</v>
      </c>
      <c r="Y817" s="3" t="s">
        <v>31</v>
      </c>
      <c r="Z817" s="6" t="str">
        <f>PROPER(TRIM(SUBSTITUTE(Y817,"  "," ")))</f>
        <v>Paper</v>
      </c>
      <c r="AA817" s="3" t="s">
        <v>1121</v>
      </c>
      <c r="AB817" s="3" t="s">
        <v>56</v>
      </c>
      <c r="AC817" s="6" t="str">
        <f>PROPER(TRIM(SUBSTITUTE(AB817,"  "," ")))</f>
        <v>First Class</v>
      </c>
      <c r="AD817" s="3">
        <v>9</v>
      </c>
      <c r="AE817" s="3">
        <v>864.98</v>
      </c>
      <c r="AF817" s="3">
        <v>0.1</v>
      </c>
      <c r="AG817" s="17">
        <v>0.1</v>
      </c>
      <c r="AH817" s="6" t="str">
        <f t="shared" si="100"/>
        <v>Valid</v>
      </c>
      <c r="AI817" s="3">
        <v>7006.34</v>
      </c>
      <c r="AJ817" s="3">
        <v>4640.88</v>
      </c>
      <c r="AK817" s="3">
        <v>2365.46</v>
      </c>
      <c r="AL817" s="3" t="s">
        <v>34</v>
      </c>
      <c r="AM817" s="6" t="str">
        <f>PROPER(TRIM(SUBSTITUTE(AL817,".","")))</f>
        <v>Paid</v>
      </c>
      <c r="AN817" s="3" t="s">
        <v>35</v>
      </c>
      <c r="AO817" s="8" t="str">
        <f>PROPER(TRIM(SUBSTITUTE(AN817,".","")))</f>
        <v>Completed</v>
      </c>
      <c r="AP817" t="str">
        <f>IF(COUNTIF($A$2:$A$933, A817) &gt; 1, "Duplicate ID", "Unique")</f>
        <v>Unique</v>
      </c>
      <c r="AR817">
        <f t="shared" si="101"/>
        <v>7006.3379999999997</v>
      </c>
      <c r="AS817">
        <f t="shared" si="102"/>
        <v>2365.4579999999996</v>
      </c>
      <c r="AT817" s="15">
        <f t="shared" si="103"/>
        <v>0.33761688345609359</v>
      </c>
      <c r="AU817" t="str">
        <f t="shared" si="104"/>
        <v>Clean</v>
      </c>
      <c r="AV817" s="8" t="str">
        <f t="shared" si="105"/>
        <v>Active</v>
      </c>
    </row>
    <row r="818" spans="1:48">
      <c r="A818" s="3" t="s">
        <v>1122</v>
      </c>
      <c r="B818" s="3" t="s">
        <v>1123</v>
      </c>
      <c r="C818" s="9">
        <f>IFERROR(DATEVALUE(MID(B818,4,2) &amp; "/" &amp; LEFT(B818,2) &amp; "/" &amp; RIGHT(B818,4)), IF(ISNUMBER(B818), B818, IFERROR(DATEVALUE(B818), "")))</f>
        <v>45366</v>
      </c>
      <c r="D818" s="9" t="str">
        <f>IF(B818="","Missing", IF(AND(ISNUMBER(B818)=FALSE, C818=""),"Invalid - Could Not Parse", IF(AND(ISNUMBER(B818)=FALSE, C818&lt;&gt;""),"Text - Converted to Date", IF(ISNUMBER(B818),"Valid","Check"))))</f>
        <v>Text - Converted to Date</v>
      </c>
      <c r="E818" s="5">
        <f t="shared" si="98"/>
        <v>3</v>
      </c>
      <c r="F818" s="5">
        <f t="shared" si="99"/>
        <v>2024</v>
      </c>
      <c r="G818" s="3" t="s">
        <v>1124</v>
      </c>
      <c r="H818" s="9">
        <f>IFERROR(DATEVALUE(TEXT(G818,"DD/MM/YYYY")), IF(ISNUMBER(G818), G818, ""))</f>
        <v>45369</v>
      </c>
      <c r="I818" s="9" t="str">
        <f>IF(G818="","Missing", IF(AND(ISNUMBER(G818)=FALSE, H818=""),"Invalid - Could Not Parse", IF(AND(ISNUMBER(G818)=FALSE, H818&lt;&gt;""),"Text - Converted to Date", IF(ISNUMBER(G818),"Valid","Check"))))</f>
        <v>Text - Converted to Date</v>
      </c>
      <c r="J818" s="9" t="str">
        <f>IF(OR(C818="", H818=""), "Cannot Check - Date Missing", IF(H818&lt;C818, "Invalid - Ship Before Order", "Valid"))</f>
        <v>Valid</v>
      </c>
      <c r="K818" s="5">
        <f>IF(OR(C818="", H818=""), "", IF(H818&lt;C818, "", H818-C818))</f>
        <v>3</v>
      </c>
      <c r="L818" s="3" t="s">
        <v>1125</v>
      </c>
      <c r="M818" s="3" t="s">
        <v>366</v>
      </c>
      <c r="N818" s="4" t="str">
        <f>TRIM(SUBSTITUTE(M818,"_"," "))</f>
        <v>Kabir Singh</v>
      </c>
      <c r="O818" s="3" t="s">
        <v>115</v>
      </c>
      <c r="P818" s="6" t="str">
        <f>PROPER(TRIM(SUBSTITUTE(O818,".","")))</f>
        <v>Home Office</v>
      </c>
      <c r="Q818" s="3" t="s">
        <v>62</v>
      </c>
      <c r="R818" s="7" t="str">
        <f>PROPER(TRIM(SUBSTITUTE(Q818,"  "," ")))</f>
        <v>South</v>
      </c>
      <c r="S818" s="3" t="s">
        <v>229</v>
      </c>
      <c r="T818" s="6" t="str">
        <f>PROPER(TRIM(SUBSTITUTE(S818,"  "," ")))</f>
        <v>Karnataka</v>
      </c>
      <c r="U818" s="3" t="s">
        <v>230</v>
      </c>
      <c r="V818" s="6" t="str">
        <f>PROPER(TRIM(SUBSTITUTE(U818,"  "," ")))</f>
        <v>Bengaluru</v>
      </c>
      <c r="W818" s="3" t="s">
        <v>86</v>
      </c>
      <c r="X818" s="6" t="str">
        <f>PROPER(TRIM(SUBSTITUTE(W818,"  "," ")))</f>
        <v>Technology</v>
      </c>
      <c r="Y818" s="3" t="s">
        <v>382</v>
      </c>
      <c r="Z818" s="6" t="str">
        <f>PROPER(TRIM(SUBSTITUTE(Y818,"  "," ")))</f>
        <v>Machines</v>
      </c>
      <c r="AA818" s="3" t="s">
        <v>1126</v>
      </c>
      <c r="AB818" s="3" t="s">
        <v>33</v>
      </c>
      <c r="AC818" s="6" t="str">
        <f>PROPER(TRIM(SUBSTITUTE(AB818,"  "," ")))</f>
        <v>Second Class</v>
      </c>
      <c r="AD818" s="3">
        <v>1</v>
      </c>
      <c r="AE818" s="3">
        <v>4131.3599999999997</v>
      </c>
      <c r="AF818" s="3">
        <v>0</v>
      </c>
      <c r="AG818" s="17">
        <v>0</v>
      </c>
      <c r="AH818" s="6" t="str">
        <f t="shared" si="100"/>
        <v>Valid</v>
      </c>
      <c r="AI818" s="3">
        <v>4131.3599999999997</v>
      </c>
      <c r="AJ818" s="3">
        <v>2937.07</v>
      </c>
      <c r="AK818" s="3">
        <v>1194.29</v>
      </c>
      <c r="AL818" s="3" t="s">
        <v>200</v>
      </c>
      <c r="AM818" s="6" t="str">
        <f>PROPER(TRIM(SUBSTITUTE(AL818,".","")))</f>
        <v>Failed</v>
      </c>
      <c r="AN818" s="3" t="s">
        <v>125</v>
      </c>
      <c r="AO818" s="8" t="str">
        <f>PROPER(TRIM(SUBSTITUTE(AN818,".","")))</f>
        <v>Returned</v>
      </c>
      <c r="AP818" t="str">
        <f>IF(COUNTIF($A$2:$A$933, A818) &gt; 1, "Duplicate ID", "Unique")</f>
        <v>Unique</v>
      </c>
      <c r="AR818">
        <f t="shared" si="101"/>
        <v>4131.3599999999997</v>
      </c>
      <c r="AS818">
        <f t="shared" si="102"/>
        <v>1194.2899999999995</v>
      </c>
      <c r="AT818" s="15">
        <f t="shared" si="103"/>
        <v>0.28907914100925591</v>
      </c>
      <c r="AU818" t="str">
        <f t="shared" si="104"/>
        <v>Clean</v>
      </c>
      <c r="AV818" s="8" t="str">
        <f t="shared" si="105"/>
        <v>Active</v>
      </c>
    </row>
    <row r="819" spans="1:48">
      <c r="A819" s="3" t="s">
        <v>1127</v>
      </c>
      <c r="B819" s="3" t="s">
        <v>1128</v>
      </c>
      <c r="C819" s="9">
        <f>IFERROR(DATEVALUE(MID(B819,4,2) &amp; "/" &amp; LEFT(B819,2) &amp; "/" &amp; RIGHT(B819,4)), IF(ISNUMBER(B819), B819, IFERROR(DATEVALUE(B819), "")))</f>
        <v>45428</v>
      </c>
      <c r="D819" s="9" t="str">
        <f>IF(B819="","Missing", IF(AND(ISNUMBER(B819)=FALSE, C819=""),"Invalid - Could Not Parse", IF(AND(ISNUMBER(B819)=FALSE, C819&lt;&gt;""),"Text - Converted to Date", IF(ISNUMBER(B819),"Valid","Check"))))</f>
        <v>Text - Converted to Date</v>
      </c>
      <c r="E819" s="5">
        <f t="shared" si="98"/>
        <v>5</v>
      </c>
      <c r="F819" s="5">
        <f t="shared" si="99"/>
        <v>2024</v>
      </c>
      <c r="G819" s="3" t="s">
        <v>1129</v>
      </c>
      <c r="H819" s="9">
        <f>IFERROR(DATEVALUE(MID(G819,4,2) &amp; "/" &amp; LEFT(G819,2) &amp; "/" &amp; RIGHT(G819,4)), IF(ISNUMBER(G819), G819, IFERROR(DATEVALUE(G819), "")))</f>
        <v>45429</v>
      </c>
      <c r="I819" s="9" t="str">
        <f>IF(G819="","Missing", IF(AND(ISNUMBER(G819)=FALSE, H819=""),"Invalid - Could Not Parse", IF(AND(ISNUMBER(G819)=FALSE, H819&lt;&gt;""),"Text - Converted to Date", IF(ISNUMBER(G819),"Valid","Check"))))</f>
        <v>Text - Converted to Date</v>
      </c>
      <c r="J819" s="9" t="str">
        <f>IF(OR(C819="", H819=""), "Cannot Check - Date Missing", IF(H819&lt;C819, "Invalid - Ship Before Order", "Valid"))</f>
        <v>Valid</v>
      </c>
      <c r="K819" s="5">
        <f>IF(OR(C819="", H819=""), "", IF(H819&lt;C819, "", H819-C819))</f>
        <v>1</v>
      </c>
      <c r="L819" s="3" t="s">
        <v>1130</v>
      </c>
      <c r="M819" s="3" t="s">
        <v>180</v>
      </c>
      <c r="N819" s="4" t="str">
        <f>TRIM(SUBSTITUTE(M819,"_"," "))</f>
        <v>Rohan Mehta</v>
      </c>
      <c r="O819" s="3" t="s">
        <v>108</v>
      </c>
      <c r="P819" s="6" t="str">
        <f>PROPER(TRIM(SUBSTITUTE(O819,".","")))</f>
        <v>Corporate</v>
      </c>
      <c r="Q819" s="3" t="s">
        <v>1131</v>
      </c>
      <c r="R819" s="7" t="str">
        <f>PROPER(TRIM(SUBSTITUTE(Q819,"  "," ")))</f>
        <v>East</v>
      </c>
      <c r="S819" s="3" t="s">
        <v>121</v>
      </c>
      <c r="T819" s="6" t="str">
        <f>PROPER(TRIM(SUBSTITUTE(S819,"  "," ")))</f>
        <v>West Bengal</v>
      </c>
      <c r="U819" s="3" t="s">
        <v>122</v>
      </c>
      <c r="V819" s="6" t="str">
        <f>PROPER(TRIM(SUBSTITUTE(U819,"  "," ")))</f>
        <v>Kolkata</v>
      </c>
      <c r="W819" s="3" t="s">
        <v>86</v>
      </c>
      <c r="X819" s="6" t="str">
        <f>PROPER(TRIM(SUBSTITUTE(W819,"  "," ")))</f>
        <v>Technology</v>
      </c>
      <c r="Y819" s="3" t="s">
        <v>94</v>
      </c>
      <c r="Z819" s="6" t="str">
        <f>PROPER(TRIM(SUBSTITUTE(Y819,"  "," ")))</f>
        <v>Copiers</v>
      </c>
      <c r="AA819" s="3" t="s">
        <v>1132</v>
      </c>
      <c r="AB819" s="3" t="s">
        <v>33</v>
      </c>
      <c r="AC819" s="6" t="str">
        <f>PROPER(TRIM(SUBSTITUTE(AB819,"  "," ")))</f>
        <v>Second Class</v>
      </c>
      <c r="AD819" s="3">
        <v>8</v>
      </c>
      <c r="AE819" s="3">
        <v>4221.95</v>
      </c>
      <c r="AF819" s="3">
        <v>0.2</v>
      </c>
      <c r="AG819" s="17">
        <v>0.2</v>
      </c>
      <c r="AH819" s="6" t="str">
        <f t="shared" si="100"/>
        <v>Valid</v>
      </c>
      <c r="AI819" s="3">
        <v>27020.48</v>
      </c>
      <c r="AJ819" s="3">
        <v>22885.24</v>
      </c>
      <c r="AK819" s="3">
        <v>4135.24</v>
      </c>
      <c r="AL819" s="3" t="s">
        <v>34</v>
      </c>
      <c r="AM819" s="6" t="str">
        <f>PROPER(TRIM(SUBSTITUTE(AL819,".","")))</f>
        <v>Paid</v>
      </c>
      <c r="AN819" s="3" t="s">
        <v>35</v>
      </c>
      <c r="AO819" s="8" t="str">
        <f>PROPER(TRIM(SUBSTITUTE(AN819,".","")))</f>
        <v>Completed</v>
      </c>
      <c r="AP819" t="str">
        <f>IF(COUNTIF($A$2:$A$933, A819) &gt; 1, "Duplicate ID", "Unique")</f>
        <v>Unique</v>
      </c>
      <c r="AR819">
        <f t="shared" si="101"/>
        <v>27020.48</v>
      </c>
      <c r="AS819">
        <f t="shared" si="102"/>
        <v>4135.239999999998</v>
      </c>
      <c r="AT819" s="15">
        <f t="shared" si="103"/>
        <v>0.15304095264036752</v>
      </c>
      <c r="AU819" t="str">
        <f t="shared" si="104"/>
        <v>Clean</v>
      </c>
      <c r="AV819" s="8" t="str">
        <f t="shared" si="105"/>
        <v>Active</v>
      </c>
    </row>
    <row r="820" spans="1:48">
      <c r="A820" s="3" t="s">
        <v>1133</v>
      </c>
      <c r="B820" s="3" t="s">
        <v>1134</v>
      </c>
      <c r="C820" s="9">
        <f>IFERROR(DATEVALUE(MID(B820,4,2) &amp; "/" &amp; LEFT(B820,2) &amp; "/" &amp; RIGHT(B820,4)), IF(ISNUMBER(B820), B820, IFERROR(DATEVALUE(B820), "")))</f>
        <v>45556</v>
      </c>
      <c r="D820" s="9" t="str">
        <f>IF(B820="","Missing", IF(AND(ISNUMBER(B820)=FALSE, C820=""),"Invalid - Could Not Parse", IF(AND(ISNUMBER(B820)=FALSE, C820&lt;&gt;""),"Text - Converted to Date", IF(ISNUMBER(B820),"Valid","Check"))))</f>
        <v>Text - Converted to Date</v>
      </c>
      <c r="E820" s="5">
        <f t="shared" si="98"/>
        <v>9</v>
      </c>
      <c r="F820" s="5">
        <f t="shared" si="99"/>
        <v>2024</v>
      </c>
      <c r="G820" s="3" t="s">
        <v>1135</v>
      </c>
      <c r="H820" s="9">
        <f>IFERROR(DATEVALUE(TEXT(G820,"DD/MM/YYYY")), IF(ISNUMBER(G820), G820, ""))</f>
        <v>45556</v>
      </c>
      <c r="I820" s="9" t="str">
        <f>IF(G820="","Missing", IF(AND(ISNUMBER(G820)=FALSE, H820=""),"Invalid - Could Not Parse", IF(AND(ISNUMBER(G820)=FALSE, H820&lt;&gt;""),"Text - Converted to Date", IF(ISNUMBER(G820),"Valid","Check"))))</f>
        <v>Text - Converted to Date</v>
      </c>
      <c r="J820" s="9" t="str">
        <f>IF(OR(C820="", H820=""), "Cannot Check - Date Missing", IF(H820&lt;C820, "Invalid - Ship Before Order", "Valid"))</f>
        <v>Valid</v>
      </c>
      <c r="K820" s="5">
        <f>IF(OR(C820="", H820=""), "", IF(H820&lt;C820, "", H820-C820))</f>
        <v>0</v>
      </c>
      <c r="L820" s="3" t="s">
        <v>1136</v>
      </c>
      <c r="M820" s="3" t="s">
        <v>72</v>
      </c>
      <c r="N820" s="4" t="str">
        <f>TRIM(SUBSTITUTE(M820,"_"," "))</f>
        <v>Ananya Rao</v>
      </c>
      <c r="O820" s="3" t="s">
        <v>41</v>
      </c>
      <c r="P820" s="6" t="str">
        <f>PROPER(TRIM(SUBSTITUTE(O820,".","")))</f>
        <v>Small Business</v>
      </c>
      <c r="Q820" s="3" t="s">
        <v>42</v>
      </c>
      <c r="R820" s="7" t="str">
        <f>PROPER(TRIM(SUBSTITUTE(Q820,"  "," ")))</f>
        <v>East</v>
      </c>
      <c r="S820" s="3" t="s">
        <v>43</v>
      </c>
      <c r="T820" s="6" t="str">
        <f>PROPER(TRIM(SUBSTITUTE(S820,"  "," ")))</f>
        <v>Odisha</v>
      </c>
      <c r="U820" s="3" t="s">
        <v>44</v>
      </c>
      <c r="V820" s="6" t="str">
        <f>PROPER(TRIM(SUBSTITUTE(U820,"  "," ")))</f>
        <v>Bhubaneswar</v>
      </c>
      <c r="W820" s="3" t="s">
        <v>86</v>
      </c>
      <c r="X820" s="6" t="str">
        <f>PROPER(TRIM(SUBSTITUTE(W820,"  "," ")))</f>
        <v>Technology</v>
      </c>
      <c r="Y820" s="3" t="s">
        <v>223</v>
      </c>
      <c r="Z820" s="6" t="str">
        <f>PROPER(TRIM(SUBSTITUTE(Y820,"  "," ")))</f>
        <v>Phones</v>
      </c>
      <c r="AA820" s="3" t="s">
        <v>1137</v>
      </c>
      <c r="AB820" s="3" t="s">
        <v>48</v>
      </c>
      <c r="AC820" s="6" t="str">
        <f>PROPER(TRIM(SUBSTITUTE(AB820,"  "," ")))</f>
        <v>Same Day</v>
      </c>
      <c r="AD820" s="3">
        <v>2</v>
      </c>
      <c r="AE820" s="3">
        <v>214.5</v>
      </c>
      <c r="AF820" s="3">
        <v>0.15</v>
      </c>
      <c r="AG820" s="17">
        <v>0.15</v>
      </c>
      <c r="AH820" s="6" t="str">
        <f t="shared" si="100"/>
        <v>Valid</v>
      </c>
      <c r="AI820" s="3">
        <v>364.65</v>
      </c>
      <c r="AJ820" s="3">
        <v>280.74</v>
      </c>
      <c r="AK820" s="3">
        <v>83.91</v>
      </c>
      <c r="AL820" s="3" t="s">
        <v>34</v>
      </c>
      <c r="AM820" s="6" t="str">
        <f>PROPER(TRIM(SUBSTITUTE(AL820,".","")))</f>
        <v>Paid</v>
      </c>
      <c r="AN820" s="3" t="s">
        <v>35</v>
      </c>
      <c r="AO820" s="8" t="str">
        <f>PROPER(TRIM(SUBSTITUTE(AN820,".","")))</f>
        <v>Completed</v>
      </c>
      <c r="AP820" t="str">
        <f>IF(COUNTIF($A$2:$A$933, A820) &gt; 1, "Duplicate ID", "Unique")</f>
        <v>Unique</v>
      </c>
      <c r="AR820">
        <f t="shared" si="101"/>
        <v>364.65</v>
      </c>
      <c r="AS820">
        <f t="shared" si="102"/>
        <v>83.909999999999968</v>
      </c>
      <c r="AT820" s="15">
        <f t="shared" si="103"/>
        <v>0.23011106540518297</v>
      </c>
      <c r="AU820" t="str">
        <f t="shared" si="104"/>
        <v>Clean</v>
      </c>
      <c r="AV820" s="8" t="str">
        <f t="shared" si="105"/>
        <v>Active</v>
      </c>
    </row>
    <row r="821" spans="1:48">
      <c r="A821" s="3" t="s">
        <v>1180</v>
      </c>
      <c r="B821" s="3" t="s">
        <v>1181</v>
      </c>
      <c r="C821" s="9">
        <f>IFERROR(DATEVALUE(MID(B821,4,2) &amp; "/" &amp; LEFT(B821,2) &amp; "/" &amp; RIGHT(B821,4)), IF(ISNUMBER(B821), B821, IFERROR(DATEVALUE(B821), "")))</f>
        <v>45776</v>
      </c>
      <c r="D821" s="9" t="str">
        <f>IF(B821="","Missing", IF(AND(ISNUMBER(B821)=FALSE, C821=""),"Invalid - Could Not Parse", IF(AND(ISNUMBER(B821)=FALSE, C821&lt;&gt;""),"Text - Converted to Date", IF(ISNUMBER(B821),"Valid","Check"))))</f>
        <v>Text - Converted to Date</v>
      </c>
      <c r="E821" s="5">
        <f t="shared" si="98"/>
        <v>4</v>
      </c>
      <c r="F821" s="5">
        <f t="shared" si="99"/>
        <v>2025</v>
      </c>
      <c r="G821" s="3" t="s">
        <v>1013</v>
      </c>
      <c r="H821" s="9">
        <f>IFERROR(DATEVALUE(TEXT(G821,"DD/MM/YYYY")), IF(ISNUMBER(G821), G821, ""))</f>
        <v>45779</v>
      </c>
      <c r="I821" s="9" t="str">
        <f>IF(G821="","Missing", IF(AND(ISNUMBER(G821)=FALSE, H821=""),"Invalid - Could Not Parse", IF(AND(ISNUMBER(G821)=FALSE, H821&lt;&gt;""),"Text - Converted to Date", IF(ISNUMBER(G821),"Valid","Check"))))</f>
        <v>Text - Converted to Date</v>
      </c>
      <c r="J821" s="9" t="str">
        <f>IF(OR(C821="", H821=""), "Cannot Check - Date Missing", IF(H821&lt;C821, "Invalid - Ship Before Order", "Valid"))</f>
        <v>Valid</v>
      </c>
      <c r="K821" s="5">
        <f>IF(OR(C821="", H821=""), "", IF(H821&lt;C821, "", H821-C821))</f>
        <v>3</v>
      </c>
      <c r="L821" s="3" t="s">
        <v>1182</v>
      </c>
      <c r="M821" s="3" t="s">
        <v>83</v>
      </c>
      <c r="N821" s="4" t="str">
        <f>TRIM(SUBSTITUTE(M821,"_"," "))</f>
        <v>Vikram Iyer</v>
      </c>
      <c r="O821" s="3" t="s">
        <v>41</v>
      </c>
      <c r="P821" s="6" t="str">
        <f>PROPER(TRIM(SUBSTITUTE(O821,".","")))</f>
        <v>Small Business</v>
      </c>
      <c r="Q821" s="3" t="s">
        <v>73</v>
      </c>
      <c r="R821" s="7" t="str">
        <f>PROPER(TRIM(SUBSTITUTE(Q821,"  "," ")))</f>
        <v>West</v>
      </c>
      <c r="S821" s="3" t="s">
        <v>249</v>
      </c>
      <c r="T821" s="6" t="str">
        <f>PROPER(TRIM(SUBSTITUTE(S821,"  "," ")))</f>
        <v>Goa</v>
      </c>
      <c r="U821" s="3" t="s">
        <v>250</v>
      </c>
      <c r="V821" s="6" t="str">
        <f>PROPER(TRIM(SUBSTITUTE(U821,"  "," ")))</f>
        <v>Panaji</v>
      </c>
      <c r="W821" s="3" t="s">
        <v>30</v>
      </c>
      <c r="X821" s="6" t="str">
        <f>PROPER(TRIM(SUBSTITUTE(W821,"  "," ")))</f>
        <v>Office Supplies</v>
      </c>
      <c r="Y821" s="3" t="s">
        <v>156</v>
      </c>
      <c r="Z821" s="6" t="str">
        <f>PROPER(TRIM(SUBSTITUTE(Y821,"  "," ")))</f>
        <v>Storage</v>
      </c>
      <c r="AA821" s="3" t="s">
        <v>1183</v>
      </c>
      <c r="AB821" s="3" t="s">
        <v>56</v>
      </c>
      <c r="AC821" s="6" t="str">
        <f>PROPER(TRIM(SUBSTITUTE(AB821,"  "," ")))</f>
        <v>First Class</v>
      </c>
      <c r="AD821" s="3">
        <v>6</v>
      </c>
      <c r="AE821" s="3">
        <v>4308.09</v>
      </c>
      <c r="AF821" s="3">
        <v>0</v>
      </c>
      <c r="AG821" s="17">
        <v>0</v>
      </c>
      <c r="AH821" s="6" t="str">
        <f t="shared" si="100"/>
        <v>Valid</v>
      </c>
      <c r="AI821" s="3">
        <v>25848.54</v>
      </c>
      <c r="AJ821" s="3">
        <v>17729.09</v>
      </c>
      <c r="AK821" s="3">
        <v>8119.45</v>
      </c>
      <c r="AL821" s="3" t="s">
        <v>34</v>
      </c>
      <c r="AM821" s="6" t="str">
        <f>PROPER(TRIM(SUBSTITUTE(AL821,".","")))</f>
        <v>Paid</v>
      </c>
      <c r="AN821" s="3" t="s">
        <v>35</v>
      </c>
      <c r="AO821" s="8" t="str">
        <f>PROPER(TRIM(SUBSTITUTE(AN821,".","")))</f>
        <v>Completed</v>
      </c>
      <c r="AP821" t="str">
        <f>IF(COUNTIF($A$2:$A$933, A821) &gt; 1, "Duplicate ID", "Unique")</f>
        <v>Unique</v>
      </c>
      <c r="AR821">
        <f t="shared" si="101"/>
        <v>25848.54</v>
      </c>
      <c r="AS821">
        <f t="shared" si="102"/>
        <v>8119.4500000000007</v>
      </c>
      <c r="AT821" s="15">
        <f t="shared" si="103"/>
        <v>0.31411638723115504</v>
      </c>
      <c r="AU821" t="str">
        <f t="shared" si="104"/>
        <v>Clean</v>
      </c>
      <c r="AV821" s="8" t="str">
        <f t="shared" si="105"/>
        <v>Active</v>
      </c>
    </row>
    <row r="822" spans="1:48">
      <c r="A822" s="3" t="s">
        <v>1249</v>
      </c>
      <c r="B822" s="3" t="s">
        <v>1236</v>
      </c>
      <c r="C822" s="9">
        <f>IFERROR(DATEVALUE(MID(B822,4,2) &amp; "/" &amp; LEFT(B822,2) &amp; "/" &amp; RIGHT(B822,4)), IF(ISNUMBER(B822), B822, IFERROR(DATEVALUE(B822), "")))</f>
        <v>45579</v>
      </c>
      <c r="D822" s="9" t="str">
        <f>IF(B822="","Missing", IF(AND(ISNUMBER(B822)=FALSE, C822=""),"Invalid - Could Not Parse", IF(AND(ISNUMBER(B822)=FALSE, C822&lt;&gt;""),"Text - Converted to Date", IF(ISNUMBER(B822),"Valid","Check"))))</f>
        <v>Text - Converted to Date</v>
      </c>
      <c r="E822" s="5">
        <f t="shared" si="98"/>
        <v>10</v>
      </c>
      <c r="F822" s="5">
        <f t="shared" si="99"/>
        <v>2024</v>
      </c>
      <c r="G822" s="3" t="s">
        <v>1250</v>
      </c>
      <c r="H822" s="9">
        <f>IFERROR(DATEVALUE(TEXT(G822,"DD/MM/YYYY")), IF(ISNUMBER(G822), G822, ""))</f>
        <v>45586</v>
      </c>
      <c r="I822" s="9" t="str">
        <f>IF(G822="","Missing", IF(AND(ISNUMBER(G822)=FALSE, H822=""),"Invalid - Could Not Parse", IF(AND(ISNUMBER(G822)=FALSE, H822&lt;&gt;""),"Text - Converted to Date", IF(ISNUMBER(G822),"Valid","Check"))))</f>
        <v>Text - Converted to Date</v>
      </c>
      <c r="J822" s="9" t="str">
        <f>IF(OR(C822="", H822=""), "Cannot Check - Date Missing", IF(H822&lt;C822, "Invalid - Ship Before Order", "Valid"))</f>
        <v>Valid</v>
      </c>
      <c r="K822" s="5">
        <f>IF(OR(C822="", H822=""), "", IF(H822&lt;C822, "", H822-C822))</f>
        <v>7</v>
      </c>
      <c r="L822" s="3" t="s">
        <v>1251</v>
      </c>
      <c r="M822" s="3" t="s">
        <v>142</v>
      </c>
      <c r="N822" s="4" t="str">
        <f>TRIM(SUBSTITUTE(M822,"_"," "))</f>
        <v>Priya Menon</v>
      </c>
      <c r="O822" s="3" t="s">
        <v>108</v>
      </c>
      <c r="P822" s="6" t="str">
        <f>PROPER(TRIM(SUBSTITUTE(O822,".","")))</f>
        <v>Corporate</v>
      </c>
      <c r="Q822" s="3" t="s">
        <v>27</v>
      </c>
      <c r="R822" s="7" t="str">
        <f>PROPER(TRIM(SUBSTITUTE(Q822,"  "," ")))</f>
        <v>North</v>
      </c>
      <c r="S822" s="3" t="s">
        <v>174</v>
      </c>
      <c r="T822" s="6" t="str">
        <f>PROPER(TRIM(SUBSTITUTE(S822,"  "," ")))</f>
        <v>Uttar Pradesh</v>
      </c>
      <c r="U822" s="3" t="s">
        <v>175</v>
      </c>
      <c r="V822" s="6" t="str">
        <f>PROPER(TRIM(SUBSTITUTE(U822,"  "," ")))</f>
        <v>Noida</v>
      </c>
      <c r="W822" s="3" t="s">
        <v>45</v>
      </c>
      <c r="X822" s="6" t="str">
        <f>PROPER(TRIM(SUBSTITUTE(W822,"  "," ")))</f>
        <v>Furniture</v>
      </c>
      <c r="Y822" s="3" t="s">
        <v>204</v>
      </c>
      <c r="Z822" s="6" t="str">
        <f>PROPER(TRIM(SUBSTITUTE(Y822,"  "," ")))</f>
        <v>Bookcases</v>
      </c>
      <c r="AA822" s="3" t="s">
        <v>1252</v>
      </c>
      <c r="AB822" s="3" t="s">
        <v>56</v>
      </c>
      <c r="AC822" s="6" t="str">
        <f>PROPER(TRIM(SUBSTITUTE(AB822,"  "," ")))</f>
        <v>First Class</v>
      </c>
      <c r="AD822" s="3">
        <v>6</v>
      </c>
      <c r="AE822" s="3">
        <v>4062.78</v>
      </c>
      <c r="AF822" s="3">
        <v>0</v>
      </c>
      <c r="AG822" s="17">
        <v>0</v>
      </c>
      <c r="AH822" s="6" t="str">
        <f t="shared" si="100"/>
        <v>Valid</v>
      </c>
      <c r="AI822" s="3">
        <v>24376.68</v>
      </c>
      <c r="AJ822" s="3">
        <v>18533.39</v>
      </c>
      <c r="AK822" s="3">
        <v>5843.29</v>
      </c>
      <c r="AL822" s="3" t="s">
        <v>34</v>
      </c>
      <c r="AM822" s="6" t="str">
        <f>PROPER(TRIM(SUBSTITUTE(AL822,".","")))</f>
        <v>Paid</v>
      </c>
      <c r="AN822" s="3" t="s">
        <v>35</v>
      </c>
      <c r="AO822" s="8" t="str">
        <f>PROPER(TRIM(SUBSTITUTE(AN822,".","")))</f>
        <v>Completed</v>
      </c>
      <c r="AP822" t="str">
        <f>IF(COUNTIF($A$2:$A$933, A822) &gt; 1, "Duplicate ID", "Unique")</f>
        <v>Unique</v>
      </c>
      <c r="AR822">
        <f t="shared" si="101"/>
        <v>24376.68</v>
      </c>
      <c r="AS822">
        <f t="shared" si="102"/>
        <v>5843.2900000000009</v>
      </c>
      <c r="AT822" s="15">
        <f t="shared" si="103"/>
        <v>0.23970819652224998</v>
      </c>
      <c r="AU822" t="str">
        <f t="shared" si="104"/>
        <v>Clean</v>
      </c>
      <c r="AV822" s="8" t="str">
        <f t="shared" si="105"/>
        <v>Active</v>
      </c>
    </row>
    <row r="823" spans="1:48">
      <c r="A823" s="3" t="s">
        <v>1284</v>
      </c>
      <c r="B823" s="3" t="s">
        <v>636</v>
      </c>
      <c r="C823" s="9">
        <f>IFERROR(DATEVALUE(MID(B823,4,2) &amp; "/" &amp; LEFT(B823,2) &amp; "/" &amp; RIGHT(B823,4)), IF(ISNUMBER(B823), B823, IFERROR(DATEVALUE(B823), "")))</f>
        <v>45527</v>
      </c>
      <c r="D823" s="9" t="str">
        <f>IF(B823="","Missing", IF(AND(ISNUMBER(B823)=FALSE, C823=""),"Invalid - Could Not Parse", IF(AND(ISNUMBER(B823)=FALSE, C823&lt;&gt;""),"Text - Converted to Date", IF(ISNUMBER(B823),"Valid","Check"))))</f>
        <v>Text - Converted to Date</v>
      </c>
      <c r="E823" s="5">
        <f t="shared" si="98"/>
        <v>8</v>
      </c>
      <c r="F823" s="5">
        <f t="shared" si="99"/>
        <v>2024</v>
      </c>
      <c r="G823" s="3" t="s">
        <v>1285</v>
      </c>
      <c r="H823" s="9">
        <f>IFERROR(DATEVALUE(TEXT(G823,"DD/MM/YYYY")), IF(ISNUMBER(G823), G823, ""))</f>
        <v>45528</v>
      </c>
      <c r="I823" s="9" t="str">
        <f>IF(G823="","Missing", IF(AND(ISNUMBER(G823)=FALSE, H823=""),"Invalid - Could Not Parse", IF(AND(ISNUMBER(G823)=FALSE, H823&lt;&gt;""),"Text - Converted to Date", IF(ISNUMBER(G823),"Valid","Check"))))</f>
        <v>Text - Converted to Date</v>
      </c>
      <c r="J823" s="9" t="str">
        <f>IF(OR(C823="", H823=""), "Cannot Check - Date Missing", IF(H823&lt;C823, "Invalid - Ship Before Order", "Valid"))</f>
        <v>Valid</v>
      </c>
      <c r="K823" s="5">
        <f>IF(OR(C823="", H823=""), "", IF(H823&lt;C823, "", H823-C823))</f>
        <v>1</v>
      </c>
      <c r="L823" s="3" t="s">
        <v>1286</v>
      </c>
      <c r="M823" s="3" t="s">
        <v>93</v>
      </c>
      <c r="N823" s="4" t="str">
        <f>TRIM(SUBSTITUTE(M823,"_"," "))</f>
        <v>Neha Gupta</v>
      </c>
      <c r="O823" s="3" t="s">
        <v>26</v>
      </c>
      <c r="P823" s="6" t="str">
        <f>PROPER(TRIM(SUBSTITUTE(O823,".","")))</f>
        <v>Consumer</v>
      </c>
      <c r="Q823" s="3" t="s">
        <v>62</v>
      </c>
      <c r="R823" s="7" t="str">
        <f>PROPER(TRIM(SUBSTITUTE(Q823,"  "," ")))</f>
        <v>South</v>
      </c>
      <c r="S823" s="3" t="s">
        <v>63</v>
      </c>
      <c r="T823" s="6" t="str">
        <f>PROPER(TRIM(SUBSTITUTE(S823,"  "," ")))</f>
        <v>Telangana</v>
      </c>
      <c r="U823" s="3" t="s">
        <v>64</v>
      </c>
      <c r="V823" s="6" t="str">
        <f>PROPER(TRIM(SUBSTITUTE(U823,"  "," ")))</f>
        <v>Hyderabad</v>
      </c>
      <c r="W823" s="3" t="s">
        <v>45</v>
      </c>
      <c r="X823" s="6" t="str">
        <f>PROPER(TRIM(SUBSTITUTE(W823,"  "," ")))</f>
        <v>Furniture</v>
      </c>
      <c r="Y823" s="3" t="s">
        <v>204</v>
      </c>
      <c r="Z823" s="6" t="str">
        <f>PROPER(TRIM(SUBSTITUTE(Y823,"  "," ")))</f>
        <v>Bookcases</v>
      </c>
      <c r="AA823" s="3" t="s">
        <v>1287</v>
      </c>
      <c r="AB823" s="3" t="s">
        <v>48</v>
      </c>
      <c r="AC823" s="6" t="str">
        <f>PROPER(TRIM(SUBSTITUTE(AB823,"  "," ")))</f>
        <v>Same Day</v>
      </c>
      <c r="AD823" s="3">
        <v>6</v>
      </c>
      <c r="AE823" s="3">
        <v>1021.89</v>
      </c>
      <c r="AF823" s="3">
        <v>0</v>
      </c>
      <c r="AG823" s="17">
        <v>0</v>
      </c>
      <c r="AH823" s="6" t="str">
        <f t="shared" si="100"/>
        <v>Valid</v>
      </c>
      <c r="AI823" s="3">
        <v>6131.34</v>
      </c>
      <c r="AJ823" s="3">
        <v>4060.88</v>
      </c>
      <c r="AK823" s="3">
        <v>2070.46</v>
      </c>
      <c r="AL823" s="3" t="s">
        <v>34</v>
      </c>
      <c r="AM823" s="6" t="str">
        <f>PROPER(TRIM(SUBSTITUTE(AL823,".","")))</f>
        <v>Paid</v>
      </c>
      <c r="AN823" s="3" t="s">
        <v>35</v>
      </c>
      <c r="AO823" s="8" t="str">
        <f>PROPER(TRIM(SUBSTITUTE(AN823,".","")))</f>
        <v>Completed</v>
      </c>
      <c r="AP823" t="str">
        <f>IF(COUNTIF($A$2:$A$933, A823) &gt; 1, "Duplicate ID", "Unique")</f>
        <v>Unique</v>
      </c>
      <c r="AR823">
        <f t="shared" si="101"/>
        <v>6131.34</v>
      </c>
      <c r="AS823">
        <f t="shared" si="102"/>
        <v>2070.46</v>
      </c>
      <c r="AT823" s="15">
        <f t="shared" si="103"/>
        <v>0.33768474754295147</v>
      </c>
      <c r="AU823" t="str">
        <f t="shared" si="104"/>
        <v>Clean</v>
      </c>
      <c r="AV823" s="8" t="str">
        <f t="shared" si="105"/>
        <v>Active</v>
      </c>
    </row>
    <row r="824" spans="1:48">
      <c r="A824" s="3" t="s">
        <v>1288</v>
      </c>
      <c r="B824" s="3" t="s">
        <v>644</v>
      </c>
      <c r="C824" s="9">
        <f>IFERROR(DATEVALUE(MID(B824,4,2) &amp; "/" &amp; LEFT(B824,2) &amp; "/" &amp; RIGHT(B824,4)), IF(ISNUMBER(B824), B824, IFERROR(DATEVALUE(B824), "")))</f>
        <v>45583</v>
      </c>
      <c r="D824" s="9" t="str">
        <f>IF(B824="","Missing", IF(AND(ISNUMBER(B824)=FALSE, C824=""),"Invalid - Could Not Parse", IF(AND(ISNUMBER(B824)=FALSE, C824&lt;&gt;""),"Text - Converted to Date", IF(ISNUMBER(B824),"Valid","Check"))))</f>
        <v>Text - Converted to Date</v>
      </c>
      <c r="E824" s="5">
        <f t="shared" si="98"/>
        <v>10</v>
      </c>
      <c r="F824" s="5">
        <f t="shared" si="99"/>
        <v>2024</v>
      </c>
      <c r="G824" s="3" t="s">
        <v>872</v>
      </c>
      <c r="H824" s="9">
        <f>IFERROR(DATEVALUE(TEXT(G824,"DD/MM/YYYY")), IF(ISNUMBER(G824), G824, ""))</f>
        <v>45589</v>
      </c>
      <c r="I824" s="9" t="str">
        <f>IF(G824="","Missing", IF(AND(ISNUMBER(G824)=FALSE, H824=""),"Invalid - Could Not Parse", IF(AND(ISNUMBER(G824)=FALSE, H824&lt;&gt;""),"Text - Converted to Date", IF(ISNUMBER(G824),"Valid","Check"))))</f>
        <v>Text - Converted to Date</v>
      </c>
      <c r="J824" s="9" t="str">
        <f>IF(OR(C824="", H824=""), "Cannot Check - Date Missing", IF(H824&lt;C824, "Invalid - Ship Before Order", "Valid"))</f>
        <v>Valid</v>
      </c>
      <c r="K824" s="5">
        <f>IF(OR(C824="", H824=""), "", IF(H824&lt;C824, "", H824-C824))</f>
        <v>6</v>
      </c>
      <c r="L824" s="3" t="s">
        <v>1289</v>
      </c>
      <c r="M824" s="3" t="s">
        <v>93</v>
      </c>
      <c r="N824" s="4" t="str">
        <f>TRIM(SUBSTITUTE(M824,"_"," "))</f>
        <v>Neha Gupta</v>
      </c>
      <c r="O824" s="3" t="s">
        <v>115</v>
      </c>
      <c r="P824" s="6" t="str">
        <f>PROPER(TRIM(SUBSTITUTE(O824,".","")))</f>
        <v>Home Office</v>
      </c>
      <c r="Q824" s="3" t="s">
        <v>62</v>
      </c>
      <c r="R824" s="7" t="str">
        <f>PROPER(TRIM(SUBSTITUTE(Q824,"  "," ")))</f>
        <v>South</v>
      </c>
      <c r="S824" s="3" t="s">
        <v>242</v>
      </c>
      <c r="T824" s="6" t="str">
        <f>PROPER(TRIM(SUBSTITUTE(S824,"  "," ")))</f>
        <v>Kerala</v>
      </c>
      <c r="U824" s="3" t="s">
        <v>243</v>
      </c>
      <c r="V824" s="6" t="str">
        <f>PROPER(TRIM(SUBSTITUTE(U824,"  "," ")))</f>
        <v>Kochi</v>
      </c>
      <c r="W824" s="3" t="s">
        <v>1290</v>
      </c>
      <c r="X824" s="6" t="str">
        <f>PROPER(TRIM(SUBSTITUTE(W824,"  "," ")))</f>
        <v>Furniture</v>
      </c>
      <c r="Y824" s="3" t="s">
        <v>76</v>
      </c>
      <c r="Z824" s="6" t="str">
        <f>PROPER(TRIM(SUBSTITUTE(Y824,"  "," ")))</f>
        <v>Chairs</v>
      </c>
      <c r="AA824" s="3" t="s">
        <v>1291</v>
      </c>
      <c r="AB824" s="3" t="s">
        <v>33</v>
      </c>
      <c r="AC824" s="6" t="str">
        <f>PROPER(TRIM(SUBSTITUTE(AB824,"  "," ")))</f>
        <v>Second Class</v>
      </c>
      <c r="AD824" s="3">
        <v>3</v>
      </c>
      <c r="AE824" s="3">
        <v>3275.93</v>
      </c>
      <c r="AF824" s="3">
        <v>0</v>
      </c>
      <c r="AG824" s="17">
        <v>0</v>
      </c>
      <c r="AH824" s="6" t="str">
        <f t="shared" si="100"/>
        <v>Valid</v>
      </c>
      <c r="AI824" s="3">
        <v>9827.7900000000009</v>
      </c>
      <c r="AJ824" s="3">
        <v>5478.28</v>
      </c>
      <c r="AK824" s="3">
        <v>4349.51</v>
      </c>
      <c r="AL824" s="3" t="s">
        <v>34</v>
      </c>
      <c r="AM824" s="6" t="str">
        <f>PROPER(TRIM(SUBSTITUTE(AL824,".","")))</f>
        <v>Paid</v>
      </c>
      <c r="AN824" s="3" t="s">
        <v>35</v>
      </c>
      <c r="AO824" s="8" t="str">
        <f>PROPER(TRIM(SUBSTITUTE(AN824,".","")))</f>
        <v>Completed</v>
      </c>
      <c r="AP824" t="str">
        <f>IF(COUNTIF($A$2:$A$933, A824) &gt; 1, "Duplicate ID", "Unique")</f>
        <v>Unique</v>
      </c>
      <c r="AR824">
        <f t="shared" si="101"/>
        <v>9827.7899999999991</v>
      </c>
      <c r="AS824">
        <f t="shared" si="102"/>
        <v>4349.5099999999993</v>
      </c>
      <c r="AT824" s="15">
        <f t="shared" si="103"/>
        <v>0.44257254174132737</v>
      </c>
      <c r="AU824" t="str">
        <f t="shared" si="104"/>
        <v>Clean</v>
      </c>
      <c r="AV824" s="8" t="str">
        <f t="shared" si="105"/>
        <v>Active</v>
      </c>
    </row>
    <row r="825" spans="1:48">
      <c r="A825" s="3" t="s">
        <v>1297</v>
      </c>
      <c r="B825" s="3" t="s">
        <v>1298</v>
      </c>
      <c r="C825" s="10">
        <f>IFERROR(DATEVALUE(MID(B825,4,2) &amp; "/" &amp; LEFT(B825,2) &amp; "/" &amp; RIGHT(B825,4)), IF(ISNUMBER(B825), B825, IFERROR(DATEVALUE(B825), "")))</f>
        <v>45498</v>
      </c>
      <c r="D825" s="9" t="str">
        <f>IF(B825="","Missing", IF(AND(ISNUMBER(B825)=FALSE, C825=""),"Invalid - Could Not Parse", IF(AND(ISNUMBER(B825)=FALSE, C825&lt;&gt;""),"Text - Converted to Date", IF(ISNUMBER(B825),"Valid","Check"))))</f>
        <v>Text - Converted to Date</v>
      </c>
      <c r="E825" s="5">
        <f t="shared" si="98"/>
        <v>7</v>
      </c>
      <c r="F825" s="5">
        <f t="shared" si="99"/>
        <v>2024</v>
      </c>
      <c r="G825" s="3" t="s">
        <v>1299</v>
      </c>
      <c r="H825" s="9">
        <f>IFERROR(DATEVALUE(TEXT(G825,"DD/MM/YYYY")), IF(ISNUMBER(G825), G825, ""))</f>
        <v>45505</v>
      </c>
      <c r="I825" s="9" t="str">
        <f>IF(G825="","Missing", IF(AND(ISNUMBER(G825)=FALSE, H825=""),"Invalid - Could Not Parse", IF(AND(ISNUMBER(G825)=FALSE, H825&lt;&gt;""),"Text - Converted to Date", IF(ISNUMBER(G825),"Valid","Check"))))</f>
        <v>Text - Converted to Date</v>
      </c>
      <c r="J825" s="9" t="str">
        <f>IF(OR(C825="", H825=""), "Cannot Check - Date Missing", IF(H825&lt;C825, "Invalid - Ship Before Order", "Valid"))</f>
        <v>Valid</v>
      </c>
      <c r="K825" s="5">
        <f>IF(OR(C825="", H825=""), "", IF(H825&lt;C825, "", H825-C825))</f>
        <v>7</v>
      </c>
      <c r="L825" s="3" t="s">
        <v>1300</v>
      </c>
      <c r="M825" s="3" t="s">
        <v>148</v>
      </c>
      <c r="N825" s="4" t="str">
        <f>TRIM(SUBSTITUTE(M825,"_"," "))</f>
        <v>Rahul Verma</v>
      </c>
      <c r="O825" s="3" t="s">
        <v>108</v>
      </c>
      <c r="P825" s="6" t="str">
        <f>PROPER(TRIM(SUBSTITUTE(O825,".","")))</f>
        <v>Corporate</v>
      </c>
      <c r="Q825" s="3" t="s">
        <v>27</v>
      </c>
      <c r="R825" s="7" t="str">
        <f>PROPER(TRIM(SUBSTITUTE(Q825,"  "," ")))</f>
        <v>North</v>
      </c>
      <c r="S825" s="3" t="s">
        <v>28</v>
      </c>
      <c r="T825" s="6" t="str">
        <f>PROPER(TRIM(SUBSTITUTE(S825,"  "," ")))</f>
        <v>Rajasthan</v>
      </c>
      <c r="U825" s="3" t="s">
        <v>29</v>
      </c>
      <c r="V825" s="6" t="str">
        <f>PROPER(TRIM(SUBSTITUTE(U825,"  "," ")))</f>
        <v>Jaipur</v>
      </c>
      <c r="W825" s="3" t="s">
        <v>86</v>
      </c>
      <c r="X825" s="6" t="str">
        <f>PROPER(TRIM(SUBSTITUTE(W825,"  "," ")))</f>
        <v>Technology</v>
      </c>
      <c r="Y825" s="3" t="s">
        <v>87</v>
      </c>
      <c r="Z825" s="6" t="str">
        <f>PROPER(TRIM(SUBSTITUTE(Y825,"  "," ")))</f>
        <v>Accessories</v>
      </c>
      <c r="AA825" s="3" t="s">
        <v>1301</v>
      </c>
      <c r="AB825" s="3" t="s">
        <v>33</v>
      </c>
      <c r="AC825" s="6" t="str">
        <f>PROPER(TRIM(SUBSTITUTE(AB825,"  "," ")))</f>
        <v>Second Class</v>
      </c>
      <c r="AD825" s="3">
        <v>8</v>
      </c>
      <c r="AE825" s="3">
        <v>2493.4</v>
      </c>
      <c r="AF825" s="3">
        <v>0.25</v>
      </c>
      <c r="AG825" s="17">
        <v>0.25</v>
      </c>
      <c r="AH825" s="6" t="str">
        <f t="shared" si="100"/>
        <v>Valid</v>
      </c>
      <c r="AI825" s="3">
        <v>14960.4</v>
      </c>
      <c r="AJ825" s="3">
        <v>12500.84</v>
      </c>
      <c r="AK825" s="3">
        <v>2459.56</v>
      </c>
      <c r="AL825" s="3" t="s">
        <v>34</v>
      </c>
      <c r="AM825" s="6" t="str">
        <f>PROPER(TRIM(SUBSTITUTE(AL825,".","")))</f>
        <v>Paid</v>
      </c>
      <c r="AN825" s="3" t="s">
        <v>35</v>
      </c>
      <c r="AO825" s="8" t="str">
        <f>PROPER(TRIM(SUBSTITUTE(AN825,".","")))</f>
        <v>Completed</v>
      </c>
      <c r="AP825" t="str">
        <f>IF(COUNTIF($A$2:$A$933, A825) &gt; 1, "Duplicate ID", "Unique")</f>
        <v>Unique</v>
      </c>
      <c r="AR825">
        <f t="shared" si="101"/>
        <v>14960.400000000001</v>
      </c>
      <c r="AS825">
        <f t="shared" si="102"/>
        <v>2459.5600000000013</v>
      </c>
      <c r="AT825" s="15">
        <f t="shared" si="103"/>
        <v>0.16440469506162944</v>
      </c>
      <c r="AU825" t="str">
        <f t="shared" si="104"/>
        <v>Clean</v>
      </c>
      <c r="AV825" s="8" t="str">
        <f t="shared" si="105"/>
        <v>Active</v>
      </c>
    </row>
    <row r="826" spans="1:48">
      <c r="A826" s="3" t="s">
        <v>1879</v>
      </c>
      <c r="B826" s="3" t="s">
        <v>1521</v>
      </c>
      <c r="C826" s="10">
        <f>IFERROR(DATEVALUE(TEXT(B826,"DD/MM/YYYY")), IF(ISNUMBER(B826), B826, ""))</f>
        <v>45801</v>
      </c>
      <c r="D826" s="9" t="str">
        <f>IF(B826="","Missing", IF(AND(ISNUMBER(B826)=FALSE, C826=""),"Invalid - Could Not Parse", IF(AND(ISNUMBER(B826)=FALSE, C826&lt;&gt;""),"Text - Converted to Date", IF(ISNUMBER(B826),"Valid","Check"))))</f>
        <v>Text - Converted to Date</v>
      </c>
      <c r="E826" s="5">
        <f t="shared" si="98"/>
        <v>5</v>
      </c>
      <c r="F826" s="5">
        <f t="shared" si="99"/>
        <v>2025</v>
      </c>
      <c r="G826" s="3" t="s">
        <v>1880</v>
      </c>
      <c r="H826" s="9">
        <f>IFERROR(DATEVALUE(TEXT(G826,"DD/MM/YYYY")), IF(ISNUMBER(G826), G826, ""))</f>
        <v>45807</v>
      </c>
      <c r="I826" s="9" t="str">
        <f>IF(G826="","Missing", IF(AND(ISNUMBER(G826)=FALSE, H826=""),"Invalid - Could Not Parse", IF(AND(ISNUMBER(G826)=FALSE, H826&lt;&gt;""),"Text - Converted to Date", IF(ISNUMBER(G826),"Valid","Check"))))</f>
        <v>Text - Converted to Date</v>
      </c>
      <c r="J826" s="9" t="str">
        <f>IF(OR(C826="", H826=""), "Cannot Check - Date Missing", IF(H826&lt;C826, "Invalid - Ship Before Order", "Valid"))</f>
        <v>Valid</v>
      </c>
      <c r="K826" s="5">
        <f>IF(OR(C826="", H826=""), "", IF(H826&lt;C826, "", H826-C826))</f>
        <v>6</v>
      </c>
      <c r="L826" s="3" t="s">
        <v>1881</v>
      </c>
      <c r="M826" s="3" t="s">
        <v>366</v>
      </c>
      <c r="N826" s="4" t="str">
        <f>TRIM(SUBSTITUTE(M826,"_"," "))</f>
        <v>Kabir Singh</v>
      </c>
      <c r="O826" s="3" t="s">
        <v>41</v>
      </c>
      <c r="P826" s="6" t="str">
        <f>PROPER(TRIM(SUBSTITUTE(O826,".","")))</f>
        <v>Small Business</v>
      </c>
      <c r="Q826" s="3" t="s">
        <v>42</v>
      </c>
      <c r="R826" s="7" t="str">
        <f>PROPER(TRIM(SUBSTITUTE(Q826,"  "," ")))</f>
        <v>East</v>
      </c>
      <c r="S826" s="3" t="s">
        <v>43</v>
      </c>
      <c r="T826" s="6" t="str">
        <f>PROPER(TRIM(SUBSTITUTE(S826,"  "," ")))</f>
        <v>Odisha</v>
      </c>
      <c r="U826" s="3" t="s">
        <v>44</v>
      </c>
      <c r="V826" s="6" t="str">
        <f>PROPER(TRIM(SUBSTITUTE(U826,"  "," ")))</f>
        <v>Bhubaneswar</v>
      </c>
      <c r="W826" s="3" t="s">
        <v>30</v>
      </c>
      <c r="X826" s="6" t="str">
        <f>PROPER(TRIM(SUBSTITUTE(W826,"  "," ")))</f>
        <v>Office Supplies</v>
      </c>
      <c r="Y826" s="3" t="s">
        <v>1882</v>
      </c>
      <c r="Z826" s="6" t="str">
        <f>PROPER(TRIM(SUBSTITUTE(Y826,"  "," ")))</f>
        <v>Storage</v>
      </c>
      <c r="AA826" s="3" t="s">
        <v>1883</v>
      </c>
      <c r="AB826" s="3" t="s">
        <v>48</v>
      </c>
      <c r="AC826" s="6" t="str">
        <f>PROPER(TRIM(SUBSTITUTE(AB826,"  "," ")))</f>
        <v>Same Day</v>
      </c>
      <c r="AD826" s="3">
        <v>1</v>
      </c>
      <c r="AE826" s="3">
        <v>2564.7399999999998</v>
      </c>
      <c r="AF826" s="3">
        <v>0</v>
      </c>
      <c r="AG826" s="17">
        <v>0</v>
      </c>
      <c r="AH826" s="6" t="str">
        <f t="shared" si="100"/>
        <v>Valid</v>
      </c>
      <c r="AI826" s="3">
        <v>2564.7399999999998</v>
      </c>
      <c r="AJ826" s="3">
        <v>1754.58</v>
      </c>
      <c r="AK826" s="3">
        <v>810.16</v>
      </c>
      <c r="AL826" s="3" t="s">
        <v>34</v>
      </c>
      <c r="AM826" s="6" t="str">
        <f>PROPER(TRIM(SUBSTITUTE(AL826,".","")))</f>
        <v>Paid</v>
      </c>
      <c r="AN826" s="3" t="s">
        <v>35</v>
      </c>
      <c r="AO826" s="8" t="str">
        <f>PROPER(TRIM(SUBSTITUTE(AN826,".","")))</f>
        <v>Completed</v>
      </c>
      <c r="AP826" t="str">
        <f>IF(COUNTIF($A$2:$A$933, A826) &gt; 1, "Duplicate ID", "Unique")</f>
        <v>Unique</v>
      </c>
      <c r="AR826">
        <f t="shared" si="101"/>
        <v>2564.7399999999998</v>
      </c>
      <c r="AS826">
        <f t="shared" si="102"/>
        <v>810.15999999999985</v>
      </c>
      <c r="AT826" s="15">
        <f t="shared" si="103"/>
        <v>0.31588387126960232</v>
      </c>
      <c r="AU826" t="str">
        <f t="shared" si="104"/>
        <v>Clean</v>
      </c>
      <c r="AV826" s="8" t="str">
        <f t="shared" si="105"/>
        <v>Active</v>
      </c>
    </row>
    <row r="827" spans="1:48">
      <c r="A827" s="3" t="s">
        <v>1351</v>
      </c>
      <c r="B827" s="3" t="s">
        <v>1352</v>
      </c>
      <c r="C827" s="10">
        <f>IFERROR(DATEVALUE(MID(B827,4,2) &amp; "/" &amp; LEFT(B827,2) &amp; "/" &amp; RIGHT(B827,4)), IF(ISNUMBER(B827), B827, IFERROR(DATEVALUE(B827), "")))</f>
        <v>45464</v>
      </c>
      <c r="D827" s="9" t="str">
        <f>IF(B827="","Missing", IF(AND(ISNUMBER(B827)=FALSE, C827=""),"Invalid - Could Not Parse", IF(AND(ISNUMBER(B827)=FALSE, C827&lt;&gt;""),"Text - Converted to Date", IF(ISNUMBER(B827),"Valid","Check"))))</f>
        <v>Text - Converted to Date</v>
      </c>
      <c r="E827" s="5">
        <f t="shared" si="98"/>
        <v>6</v>
      </c>
      <c r="F827" s="5">
        <f t="shared" si="99"/>
        <v>2024</v>
      </c>
      <c r="G827" s="3" t="s">
        <v>1353</v>
      </c>
      <c r="H827" s="9">
        <f>IFERROR(DATEVALUE(TEXT(G827,"DD/MM/YYYY")), IF(ISNUMBER(G827), G827, ""))</f>
        <v>45472</v>
      </c>
      <c r="I827" s="9" t="str">
        <f>IF(G827="","Missing", IF(AND(ISNUMBER(G827)=FALSE, H827=""),"Invalid - Could Not Parse", IF(AND(ISNUMBER(G827)=FALSE, H827&lt;&gt;""),"Text - Converted to Date", IF(ISNUMBER(G827),"Valid","Check"))))</f>
        <v>Text - Converted to Date</v>
      </c>
      <c r="J827" s="9" t="str">
        <f>IF(OR(C827="", H827=""), "Cannot Check - Date Missing", IF(H827&lt;C827, "Invalid - Ship Before Order", "Valid"))</f>
        <v>Valid</v>
      </c>
      <c r="K827" s="5">
        <f>IF(OR(C827="", H827=""), "", IF(H827&lt;C827, "", H827-C827))</f>
        <v>8</v>
      </c>
      <c r="L827" s="3" t="s">
        <v>1354</v>
      </c>
      <c r="M827" s="3" t="s">
        <v>93</v>
      </c>
      <c r="N827" s="4" t="str">
        <f>TRIM(SUBSTITUTE(M827,"_"," "))</f>
        <v>Neha Gupta</v>
      </c>
      <c r="O827" s="3" t="s">
        <v>26</v>
      </c>
      <c r="P827" s="6" t="str">
        <f>PROPER(TRIM(SUBSTITUTE(O827,".","")))</f>
        <v>Consumer</v>
      </c>
      <c r="Q827" s="3" t="s">
        <v>62</v>
      </c>
      <c r="R827" s="7" t="str">
        <f>PROPER(TRIM(SUBSTITUTE(Q827,"  "," ")))</f>
        <v>South</v>
      </c>
      <c r="S827" s="3" t="s">
        <v>339</v>
      </c>
      <c r="T827" s="6" t="str">
        <f>PROPER(TRIM(SUBSTITUTE(S827,"  "," ")))</f>
        <v>Tamil Nadu</v>
      </c>
      <c r="U827" s="3" t="s">
        <v>340</v>
      </c>
      <c r="V827" s="6" t="str">
        <f>PROPER(TRIM(SUBSTITUTE(U827,"  "," ")))</f>
        <v>Chennai</v>
      </c>
      <c r="W827" s="3" t="s">
        <v>86</v>
      </c>
      <c r="X827" s="6" t="str">
        <f>PROPER(TRIM(SUBSTITUTE(W827,"  "," ")))</f>
        <v>Technology</v>
      </c>
      <c r="Y827" s="3" t="s">
        <v>382</v>
      </c>
      <c r="Z827" s="6" t="str">
        <f>PROPER(TRIM(SUBSTITUTE(Y827,"  "," ")))</f>
        <v>Machines</v>
      </c>
      <c r="AA827" s="3" t="s">
        <v>1355</v>
      </c>
      <c r="AB827" s="3" t="s">
        <v>67</v>
      </c>
      <c r="AC827" s="6" t="str">
        <f>PROPER(TRIM(SUBSTITUTE(AB827,"  "," ")))</f>
        <v>Standard Class</v>
      </c>
      <c r="AD827" s="3">
        <v>8</v>
      </c>
      <c r="AE827" s="3">
        <v>2853.92</v>
      </c>
      <c r="AF827" s="3">
        <v>0.2</v>
      </c>
      <c r="AG827" s="17">
        <v>0.2</v>
      </c>
      <c r="AH827" s="6" t="str">
        <f t="shared" si="100"/>
        <v>Valid</v>
      </c>
      <c r="AI827" s="3">
        <v>18265.09</v>
      </c>
      <c r="AJ827" s="3">
        <v>10437.14</v>
      </c>
      <c r="AK827" s="3">
        <v>7827.95</v>
      </c>
      <c r="AL827" s="3" t="s">
        <v>34</v>
      </c>
      <c r="AM827" s="6" t="str">
        <f>PROPER(TRIM(SUBSTITUTE(AL827,".","")))</f>
        <v>Paid</v>
      </c>
      <c r="AN827" s="3" t="s">
        <v>35</v>
      </c>
      <c r="AO827" s="8" t="str">
        <f>PROPER(TRIM(SUBSTITUTE(AN827,".","")))</f>
        <v>Completed</v>
      </c>
      <c r="AP827" t="str">
        <f>IF(COUNTIF($A$2:$A$933, A827) &gt; 1, "Duplicate ID", "Unique")</f>
        <v>Unique</v>
      </c>
      <c r="AR827">
        <f t="shared" si="101"/>
        <v>18265.088</v>
      </c>
      <c r="AS827">
        <f t="shared" si="102"/>
        <v>7827.9480000000003</v>
      </c>
      <c r="AT827" s="15">
        <f t="shared" si="103"/>
        <v>0.42857433810338064</v>
      </c>
      <c r="AU827" t="str">
        <f t="shared" si="104"/>
        <v>Clean</v>
      </c>
      <c r="AV827" s="8" t="str">
        <f t="shared" si="105"/>
        <v>Active</v>
      </c>
    </row>
    <row r="828" spans="1:48">
      <c r="A828" s="3" t="s">
        <v>1361</v>
      </c>
      <c r="B828" s="3" t="s">
        <v>1362</v>
      </c>
      <c r="C828" s="10">
        <f>IFERROR(DATEVALUE(MID(B828,4,2) &amp; "/" &amp; LEFT(B828,2) &amp; "/" &amp; RIGHT(B828,4)), IF(ISNUMBER(B828), B828, IFERROR(DATEVALUE(B828), "")))</f>
        <v>45826</v>
      </c>
      <c r="D828" s="9" t="str">
        <f>IF(B828="","Missing", IF(AND(ISNUMBER(B828)=FALSE, C828=""),"Invalid - Could Not Parse", IF(AND(ISNUMBER(B828)=FALSE, C828&lt;&gt;""),"Text - Converted to Date", IF(ISNUMBER(B828),"Valid","Check"))))</f>
        <v>Text - Converted to Date</v>
      </c>
      <c r="E828" s="5">
        <f t="shared" si="98"/>
        <v>6</v>
      </c>
      <c r="F828" s="5">
        <f t="shared" si="99"/>
        <v>2025</v>
      </c>
      <c r="G828" s="3" t="s">
        <v>1363</v>
      </c>
      <c r="H828" s="9">
        <f>IFERROR(DATEVALUE(MID(G828,4,2) &amp; "/" &amp; LEFT(G828,2) &amp; "/" &amp; RIGHT(G828,4)), IF(ISNUMBER(G828), G828, IFERROR(DATEVALUE(G828), "")))</f>
        <v>45832</v>
      </c>
      <c r="I828" s="9" t="str">
        <f>IF(G828="","Missing", IF(AND(ISNUMBER(G828)=FALSE, H828=""),"Invalid - Could Not Parse", IF(AND(ISNUMBER(G828)=FALSE, H828&lt;&gt;""),"Text - Converted to Date", IF(ISNUMBER(G828),"Valid","Check"))))</f>
        <v>Text - Converted to Date</v>
      </c>
      <c r="J828" s="9" t="str">
        <f>IF(OR(C828="", H828=""), "Cannot Check - Date Missing", IF(H828&lt;C828, "Invalid - Ship Before Order", "Valid"))</f>
        <v>Valid</v>
      </c>
      <c r="K828" s="5">
        <f>IF(OR(C828="", H828=""), "", IF(H828&lt;C828, "", H828-C828))</f>
        <v>6</v>
      </c>
      <c r="L828" s="3" t="s">
        <v>1364</v>
      </c>
      <c r="M828" s="3" t="s">
        <v>168</v>
      </c>
      <c r="N828" s="4" t="str">
        <f>TRIM(SUBSTITUTE(M828,"_"," "))</f>
        <v>Sneha Kapoor</v>
      </c>
      <c r="O828" s="3" t="s">
        <v>108</v>
      </c>
      <c r="P828" s="6" t="str">
        <f>PROPER(TRIM(SUBSTITUTE(O828,".","")))</f>
        <v>Corporate</v>
      </c>
      <c r="Q828" s="3" t="s">
        <v>27</v>
      </c>
      <c r="R828" s="7" t="str">
        <f>PROPER(TRIM(SUBSTITUTE(Q828,"  "," ")))</f>
        <v>North</v>
      </c>
      <c r="S828" s="3" t="s">
        <v>28</v>
      </c>
      <c r="T828" s="6" t="str">
        <f>PROPER(TRIM(SUBSTITUTE(S828,"  "," ")))</f>
        <v>Rajasthan</v>
      </c>
      <c r="U828" s="3" t="s">
        <v>29</v>
      </c>
      <c r="V828" s="6" t="str">
        <f>PROPER(TRIM(SUBSTITUTE(U828,"  "," ")))</f>
        <v>Jaipur</v>
      </c>
      <c r="W828" s="3" t="s">
        <v>30</v>
      </c>
      <c r="X828" s="6" t="str">
        <f>PROPER(TRIM(SUBSTITUTE(W828,"  "," ")))</f>
        <v>Office Supplies</v>
      </c>
      <c r="Y828" s="3" t="s">
        <v>109</v>
      </c>
      <c r="Z828" s="6" t="str">
        <f>PROPER(TRIM(SUBSTITUTE(Y828,"  "," ")))</f>
        <v>Labels</v>
      </c>
      <c r="AA828" s="3" t="s">
        <v>1365</v>
      </c>
      <c r="AB828" s="3" t="s">
        <v>67</v>
      </c>
      <c r="AC828" s="6" t="str">
        <f>PROPER(TRIM(SUBSTITUTE(AB828,"  "," ")))</f>
        <v>Standard Class</v>
      </c>
      <c r="AD828" s="3">
        <v>3</v>
      </c>
      <c r="AE828" s="3">
        <v>686.74</v>
      </c>
      <c r="AF828" s="3">
        <v>0.2</v>
      </c>
      <c r="AG828" s="17">
        <v>0.2</v>
      </c>
      <c r="AH828" s="6" t="str">
        <f t="shared" si="100"/>
        <v>Valid</v>
      </c>
      <c r="AI828" s="3">
        <v>1648.18</v>
      </c>
      <c r="AJ828" s="3">
        <v>987.91</v>
      </c>
      <c r="AK828" s="3">
        <v>660.27</v>
      </c>
      <c r="AL828" s="3" t="s">
        <v>200</v>
      </c>
      <c r="AM828" s="6" t="str">
        <f>PROPER(TRIM(SUBSTITUTE(AL828,".","")))</f>
        <v>Failed</v>
      </c>
      <c r="AN828" s="3" t="s">
        <v>78</v>
      </c>
      <c r="AO828" s="8" t="str">
        <f>PROPER(TRIM(SUBSTITUTE(AN828,".","")))</f>
        <v>Cancelled</v>
      </c>
      <c r="AP828" t="str">
        <f>IF(COUNTIF($A$2:$A$933, A828) &gt; 1, "Duplicate ID", "Unique")</f>
        <v>Unique</v>
      </c>
      <c r="AR828">
        <f t="shared" si="101"/>
        <v>1648.1760000000004</v>
      </c>
      <c r="AS828">
        <f t="shared" si="102"/>
        <v>660.26600000000042</v>
      </c>
      <c r="AT828" s="15">
        <f t="shared" si="103"/>
        <v>0.40060406170214846</v>
      </c>
      <c r="AU828" t="str">
        <f t="shared" si="104"/>
        <v>Clean</v>
      </c>
      <c r="AV828" s="8" t="str">
        <f t="shared" si="105"/>
        <v>Cancelled</v>
      </c>
    </row>
    <row r="829" spans="1:48">
      <c r="A829" s="3" t="s">
        <v>1392</v>
      </c>
      <c r="B829" s="3" t="s">
        <v>1393</v>
      </c>
      <c r="C829" s="10">
        <f>IFERROR(DATEVALUE(MID(B829,4,2) &amp; "/" &amp; LEFT(B829,2) &amp; "/" &amp; RIGHT(B829,4)), IF(ISNUMBER(B829), B829, IFERROR(DATEVALUE(B829), "")))</f>
        <v>45886</v>
      </c>
      <c r="D829" s="9" t="str">
        <f>IF(B829="","Missing", IF(AND(ISNUMBER(B829)=FALSE, C829=""),"Invalid - Could Not Parse", IF(AND(ISNUMBER(B829)=FALSE, C829&lt;&gt;""),"Text - Converted to Date", IF(ISNUMBER(B829),"Valid","Check"))))</f>
        <v>Text - Converted to Date</v>
      </c>
      <c r="E829" s="5">
        <f t="shared" si="98"/>
        <v>8</v>
      </c>
      <c r="F829" s="5">
        <f t="shared" si="99"/>
        <v>2025</v>
      </c>
      <c r="G829" s="3" t="s">
        <v>1393</v>
      </c>
      <c r="H829" s="9">
        <f>IFERROR(DATEVALUE(MID(G829,4,2) &amp; "/" &amp; LEFT(G829,2) &amp; "/" &amp; RIGHT(G829,4)), IF(ISNUMBER(G829), G829, IFERROR(DATEVALUE(G829), "")))</f>
        <v>45886</v>
      </c>
      <c r="I829" s="9" t="str">
        <f>IF(G829="","Missing", IF(AND(ISNUMBER(G829)=FALSE, H829=""),"Invalid - Could Not Parse", IF(AND(ISNUMBER(G829)=FALSE, H829&lt;&gt;""),"Text - Converted to Date", IF(ISNUMBER(G829),"Valid","Check"))))</f>
        <v>Text - Converted to Date</v>
      </c>
      <c r="J829" s="9" t="str">
        <f>IF(OR(C829="", H829=""), "Cannot Check - Date Missing", IF(H829&lt;C829, "Invalid - Ship Before Order", "Valid"))</f>
        <v>Valid</v>
      </c>
      <c r="K829" s="5">
        <f>IF(OR(C829="", H829=""), "", IF(H829&lt;C829, "", H829-C829))</f>
        <v>0</v>
      </c>
      <c r="L829" s="3" t="s">
        <v>1394</v>
      </c>
      <c r="M829" s="3" t="s">
        <v>162</v>
      </c>
      <c r="N829" s="4" t="str">
        <f>TRIM(SUBSTITUTE(M829,"_"," "))</f>
        <v>Aarav Sharma</v>
      </c>
      <c r="O829" s="3" t="s">
        <v>115</v>
      </c>
      <c r="P829" s="6" t="str">
        <f>PROPER(TRIM(SUBSTITUTE(O829,".","")))</f>
        <v>Home Office</v>
      </c>
      <c r="Q829" s="3" t="s">
        <v>27</v>
      </c>
      <c r="R829" s="7" t="str">
        <f>PROPER(TRIM(SUBSTITUTE(Q829,"  "," ")))</f>
        <v>North</v>
      </c>
      <c r="S829" s="3" t="s">
        <v>154</v>
      </c>
      <c r="T829" s="6" t="str">
        <f>PROPER(TRIM(SUBSTITUTE(S829,"  "," ")))</f>
        <v>Punjab</v>
      </c>
      <c r="U829" s="3" t="s">
        <v>155</v>
      </c>
      <c r="V829" s="6" t="str">
        <f>PROPER(TRIM(SUBSTITUTE(U829,"  "," ")))</f>
        <v>Ludhiana</v>
      </c>
      <c r="W829" s="3" t="s">
        <v>86</v>
      </c>
      <c r="X829" s="6" t="str">
        <f>PROPER(TRIM(SUBSTITUTE(W829,"  "," ")))</f>
        <v>Technology</v>
      </c>
      <c r="Y829" s="3" t="s">
        <v>87</v>
      </c>
      <c r="Z829" s="6" t="str">
        <f>PROPER(TRIM(SUBSTITUTE(Y829,"  "," ")))</f>
        <v>Accessories</v>
      </c>
      <c r="AA829" s="3" t="s">
        <v>1395</v>
      </c>
      <c r="AB829" s="3" t="s">
        <v>56</v>
      </c>
      <c r="AC829" s="6" t="str">
        <f>PROPER(TRIM(SUBSTITUTE(AB829,"  "," ")))</f>
        <v>First Class</v>
      </c>
      <c r="AD829" s="3">
        <v>7</v>
      </c>
      <c r="AE829" s="3">
        <v>632.20000000000005</v>
      </c>
      <c r="AF829" s="3">
        <v>0.25</v>
      </c>
      <c r="AG829" s="17">
        <v>0.25</v>
      </c>
      <c r="AH829" s="6" t="str">
        <f t="shared" si="100"/>
        <v>Valid</v>
      </c>
      <c r="AI829" s="3">
        <v>3319.05</v>
      </c>
      <c r="AJ829" s="3">
        <v>2124.6</v>
      </c>
      <c r="AK829" s="3">
        <v>1194.45</v>
      </c>
      <c r="AL829" s="3" t="s">
        <v>34</v>
      </c>
      <c r="AM829" s="6" t="str">
        <f>PROPER(TRIM(SUBSTITUTE(AL829,".","")))</f>
        <v>Paid</v>
      </c>
      <c r="AN829" s="3" t="s">
        <v>35</v>
      </c>
      <c r="AO829" s="8" t="str">
        <f>PROPER(TRIM(SUBSTITUTE(AN829,".","")))</f>
        <v>Completed</v>
      </c>
      <c r="AP829" t="str">
        <f>IF(COUNTIF($A$2:$A$933, A829) &gt; 1, "Duplicate ID", "Unique")</f>
        <v>Unique</v>
      </c>
      <c r="AR829">
        <f t="shared" si="101"/>
        <v>3319.05</v>
      </c>
      <c r="AS829">
        <f t="shared" si="102"/>
        <v>1194.4500000000003</v>
      </c>
      <c r="AT829" s="15">
        <f t="shared" si="103"/>
        <v>0.35987707325891449</v>
      </c>
      <c r="AU829" t="str">
        <f t="shared" si="104"/>
        <v>Clean</v>
      </c>
      <c r="AV829" s="8" t="str">
        <f t="shared" si="105"/>
        <v>Active</v>
      </c>
    </row>
    <row r="830" spans="1:48">
      <c r="A830" s="3" t="s">
        <v>1413</v>
      </c>
      <c r="B830" s="3" t="s">
        <v>1414</v>
      </c>
      <c r="C830" s="10">
        <f>IFERROR(DATEVALUE(MID(B830,4,2) &amp; "/" &amp; LEFT(B830,2) &amp; "/" &amp; RIGHT(B830,4)), IF(ISNUMBER(B830), B830, IFERROR(DATEVALUE(B830), "")))</f>
        <v>45701</v>
      </c>
      <c r="D830" s="9" t="str">
        <f>IF(B830="","Missing", IF(AND(ISNUMBER(B830)=FALSE, C830=""),"Invalid - Could Not Parse", IF(AND(ISNUMBER(B830)=FALSE, C830&lt;&gt;""),"Text - Converted to Date", IF(ISNUMBER(B830),"Valid","Check"))))</f>
        <v>Text - Converted to Date</v>
      </c>
      <c r="E830" s="5">
        <f t="shared" si="98"/>
        <v>2</v>
      </c>
      <c r="F830" s="5">
        <f t="shared" si="99"/>
        <v>2025</v>
      </c>
      <c r="G830" s="3" t="s">
        <v>1415</v>
      </c>
      <c r="H830" s="9">
        <f>IFERROR(DATEVALUE(TEXT(G830,"DD/MM/YYYY")), IF(ISNUMBER(G830), G830, ""))</f>
        <v>45701</v>
      </c>
      <c r="I830" s="9" t="str">
        <f>IF(G830="","Missing", IF(AND(ISNUMBER(G830)=FALSE, H830=""),"Invalid - Could Not Parse", IF(AND(ISNUMBER(G830)=FALSE, H830&lt;&gt;""),"Text - Converted to Date", IF(ISNUMBER(G830),"Valid","Check"))))</f>
        <v>Text - Converted to Date</v>
      </c>
      <c r="J830" s="9" t="str">
        <f>IF(OR(C830="", H830=""), "Cannot Check - Date Missing", IF(H830&lt;C830, "Invalid - Ship Before Order", "Valid"))</f>
        <v>Valid</v>
      </c>
      <c r="K830" s="5">
        <f>IF(OR(C830="", H830=""), "", IF(H830&lt;C830, "", H830-C830))</f>
        <v>0</v>
      </c>
      <c r="L830" s="3" t="s">
        <v>1416</v>
      </c>
      <c r="M830" s="3" t="s">
        <v>53</v>
      </c>
      <c r="N830" s="4" t="str">
        <f>TRIM(SUBSTITUTE(M830,"_"," "))</f>
        <v>Isha Nair</v>
      </c>
      <c r="O830" s="3" t="s">
        <v>26</v>
      </c>
      <c r="P830" s="6" t="str">
        <f>PROPER(TRIM(SUBSTITUTE(O830,".","")))</f>
        <v>Consumer</v>
      </c>
      <c r="Q830" s="3" t="s">
        <v>42</v>
      </c>
      <c r="R830" s="7" t="str">
        <f>PROPER(TRIM(SUBSTITUTE(Q830,"  "," ")))</f>
        <v>East</v>
      </c>
      <c r="S830" s="3" t="s">
        <v>186</v>
      </c>
      <c r="T830" s="6" t="str">
        <f>PROPER(TRIM(SUBSTITUTE(S830,"  "," ")))</f>
        <v>Bihar</v>
      </c>
      <c r="U830" s="3" t="s">
        <v>187</v>
      </c>
      <c r="V830" s="6" t="str">
        <f>PROPER(TRIM(SUBSTITUTE(U830,"  "," ")))</f>
        <v>Patna</v>
      </c>
      <c r="W830" s="3" t="s">
        <v>30</v>
      </c>
      <c r="X830" s="6" t="str">
        <f>PROPER(TRIM(SUBSTITUTE(W830,"  "," ")))</f>
        <v>Office Supplies</v>
      </c>
      <c r="Y830" s="3" t="s">
        <v>31</v>
      </c>
      <c r="Z830" s="6" t="str">
        <f>PROPER(TRIM(SUBSTITUTE(Y830,"  "," ")))</f>
        <v>Paper</v>
      </c>
      <c r="AA830" s="3" t="s">
        <v>1417</v>
      </c>
      <c r="AB830" s="3" t="s">
        <v>33</v>
      </c>
      <c r="AC830" s="6" t="str">
        <f>PROPER(TRIM(SUBSTITUTE(AB830,"  "," ")))</f>
        <v>Second Class</v>
      </c>
      <c r="AD830" s="3">
        <v>9</v>
      </c>
      <c r="AE830" s="3">
        <v>2521.63</v>
      </c>
      <c r="AF830" s="3">
        <v>0</v>
      </c>
      <c r="AG830" s="17">
        <v>0</v>
      </c>
      <c r="AH830" s="6" t="str">
        <f t="shared" si="100"/>
        <v>Valid</v>
      </c>
      <c r="AI830" s="3">
        <v>22694.67</v>
      </c>
      <c r="AJ830" s="3">
        <v>15405.36</v>
      </c>
      <c r="AK830" s="3">
        <v>7289.31</v>
      </c>
      <c r="AL830" s="3" t="s">
        <v>34</v>
      </c>
      <c r="AM830" s="6" t="str">
        <f>PROPER(TRIM(SUBSTITUTE(AL830,".","")))</f>
        <v>Paid</v>
      </c>
      <c r="AN830" s="3" t="s">
        <v>125</v>
      </c>
      <c r="AO830" s="8" t="str">
        <f>PROPER(TRIM(SUBSTITUTE(AN830,".","")))</f>
        <v>Returned</v>
      </c>
      <c r="AP830" t="str">
        <f>IF(COUNTIF($A$2:$A$933, A830) &gt; 1, "Duplicate ID", "Unique")</f>
        <v>Unique</v>
      </c>
      <c r="AR830">
        <f t="shared" si="101"/>
        <v>22694.670000000002</v>
      </c>
      <c r="AS830">
        <f t="shared" si="102"/>
        <v>7289.3100000000013</v>
      </c>
      <c r="AT830" s="15">
        <f t="shared" si="103"/>
        <v>0.32119039404406413</v>
      </c>
      <c r="AU830" t="str">
        <f t="shared" si="104"/>
        <v>Clean</v>
      </c>
      <c r="AV830" s="8" t="str">
        <f t="shared" si="105"/>
        <v>Active</v>
      </c>
    </row>
    <row r="831" spans="1:48">
      <c r="A831" s="3" t="s">
        <v>1976</v>
      </c>
      <c r="B831" s="3" t="s">
        <v>1977</v>
      </c>
      <c r="C831" s="10">
        <f>IFERROR(DATEVALUE(MID(B831,4,2) &amp; "/" &amp; LEFT(B831,2) &amp; "/" &amp; RIGHT(B831,4)), IF(ISNUMBER(B831), B831, IFERROR(DATEVALUE(B831), "")))</f>
        <v>45771</v>
      </c>
      <c r="D831" s="9" t="str">
        <f>IF(B831="","Missing", IF(AND(ISNUMBER(B831)=FALSE, C831=""),"Invalid - Could Not Parse", IF(AND(ISNUMBER(B831)=FALSE, C831&lt;&gt;""),"Text - Converted to Date", IF(ISNUMBER(B831),"Valid","Check"))))</f>
        <v>Text - Converted to Date</v>
      </c>
      <c r="E831" s="5">
        <f t="shared" si="98"/>
        <v>4</v>
      </c>
      <c r="F831" s="5">
        <f t="shared" si="99"/>
        <v>2025</v>
      </c>
      <c r="G831" s="3" t="s">
        <v>1978</v>
      </c>
      <c r="H831" s="9">
        <f>IFERROR(DATEVALUE(TEXT(G831,"DD/MM/YYYY")), IF(ISNUMBER(G831), G831, ""))</f>
        <v>45776</v>
      </c>
      <c r="I831" s="9" t="str">
        <f>IF(G831="","Missing", IF(AND(ISNUMBER(G831)=FALSE, H831=""),"Invalid - Could Not Parse", IF(AND(ISNUMBER(G831)=FALSE, H831&lt;&gt;""),"Text - Converted to Date", IF(ISNUMBER(G831),"Valid","Check"))))</f>
        <v>Text - Converted to Date</v>
      </c>
      <c r="J831" s="9" t="str">
        <f>IF(OR(C831="", H831=""), "Cannot Check - Date Missing", IF(H831&lt;C831, "Invalid - Ship Before Order", "Valid"))</f>
        <v>Valid</v>
      </c>
      <c r="K831" s="5">
        <f>IF(OR(C831="", H831=""), "", IF(H831&lt;C831, "", H831-C831))</f>
        <v>5</v>
      </c>
      <c r="L831" s="3" t="s">
        <v>1979</v>
      </c>
      <c r="M831" s="3" t="s">
        <v>210</v>
      </c>
      <c r="N831" s="4" t="str">
        <f>TRIM(SUBSTITUTE(M831,"_"," "))</f>
        <v>Diya Patel</v>
      </c>
      <c r="O831" s="3" t="s">
        <v>41</v>
      </c>
      <c r="P831" s="6" t="str">
        <f>PROPER(TRIM(SUBSTITUTE(O831,".","")))</f>
        <v>Small Business</v>
      </c>
      <c r="Q831" s="3" t="s">
        <v>62</v>
      </c>
      <c r="R831" s="7" t="str">
        <f>PROPER(TRIM(SUBSTITUTE(Q831,"  "," ")))</f>
        <v>South</v>
      </c>
      <c r="S831" s="3" t="s">
        <v>100</v>
      </c>
      <c r="T831" s="6" t="str">
        <f>PROPER(TRIM(SUBSTITUTE(S831,"  "," ")))</f>
        <v>Andhra Pradesh</v>
      </c>
      <c r="U831" s="3" t="s">
        <v>101</v>
      </c>
      <c r="V831" s="6" t="str">
        <f>PROPER(TRIM(SUBSTITUTE(U831,"  "," ")))</f>
        <v>Vijayawada</v>
      </c>
      <c r="W831" s="3" t="s">
        <v>30</v>
      </c>
      <c r="X831" s="6" t="str">
        <f>PROPER(TRIM(SUBSTITUTE(W831,"  "," ")))</f>
        <v>Office Supplies</v>
      </c>
      <c r="Y831" s="3" t="s">
        <v>31</v>
      </c>
      <c r="Z831" s="6" t="str">
        <f>PROPER(TRIM(SUBSTITUTE(Y831,"  "," ")))</f>
        <v>Paper</v>
      </c>
      <c r="AA831" s="3" t="s">
        <v>1980</v>
      </c>
      <c r="AB831" s="3" t="s">
        <v>48</v>
      </c>
      <c r="AC831" s="6" t="str">
        <f>PROPER(TRIM(SUBSTITUTE(AB831,"  "," ")))</f>
        <v>Same Day</v>
      </c>
      <c r="AD831" s="3">
        <v>1</v>
      </c>
      <c r="AE831" s="3">
        <v>4358.5</v>
      </c>
      <c r="AF831" s="3">
        <v>0.25</v>
      </c>
      <c r="AG831" s="17">
        <v>0.25</v>
      </c>
      <c r="AH831" s="6" t="str">
        <f t="shared" si="100"/>
        <v>Valid</v>
      </c>
      <c r="AI831" s="3">
        <v>3268.88</v>
      </c>
      <c r="AJ831" s="3">
        <v>1993.74</v>
      </c>
      <c r="AK831" s="3">
        <v>1275.1400000000001</v>
      </c>
      <c r="AL831" s="3" t="s">
        <v>34</v>
      </c>
      <c r="AM831" s="6" t="str">
        <f>PROPER(TRIM(SUBSTITUTE(AL831,".","")))</f>
        <v>Paid</v>
      </c>
      <c r="AN831" s="3" t="s">
        <v>35</v>
      </c>
      <c r="AO831" s="8" t="str">
        <f>PROPER(TRIM(SUBSTITUTE(AN831,".","")))</f>
        <v>Completed</v>
      </c>
      <c r="AP831" t="str">
        <f>IF(COUNTIF($A$2:$A$933, A831) &gt; 1, "Duplicate ID", "Unique")</f>
        <v>Unique</v>
      </c>
      <c r="AR831">
        <f t="shared" si="101"/>
        <v>3268.875</v>
      </c>
      <c r="AS831">
        <f t="shared" si="102"/>
        <v>1275.135</v>
      </c>
      <c r="AT831" s="15">
        <f t="shared" si="103"/>
        <v>0.39008374440747962</v>
      </c>
      <c r="AU831" t="str">
        <f t="shared" si="104"/>
        <v>Clean</v>
      </c>
      <c r="AV831" s="8" t="str">
        <f t="shared" si="105"/>
        <v>Active</v>
      </c>
    </row>
    <row r="832" spans="1:48">
      <c r="A832" s="3" t="s">
        <v>1458</v>
      </c>
      <c r="B832" s="3" t="s">
        <v>1459</v>
      </c>
      <c r="C832" s="10">
        <f>IFERROR(DATEVALUE(MID(B832,4,2) &amp; "/" &amp; LEFT(B832,2) &amp; "/" &amp; RIGHT(B832,4)), IF(ISNUMBER(B832), B832, IFERROR(DATEVALUE(B832), "")))</f>
        <v>45729</v>
      </c>
      <c r="D832" s="9" t="str">
        <f>IF(B832="","Missing", IF(AND(ISNUMBER(B832)=FALSE, C832=""),"Invalid - Could Not Parse", IF(AND(ISNUMBER(B832)=FALSE, C832&lt;&gt;""),"Text - Converted to Date", IF(ISNUMBER(B832),"Valid","Check"))))</f>
        <v>Text - Converted to Date</v>
      </c>
      <c r="E832" s="5">
        <f t="shared" si="98"/>
        <v>3</v>
      </c>
      <c r="F832" s="5">
        <f t="shared" si="99"/>
        <v>2025</v>
      </c>
      <c r="G832" s="3" t="s">
        <v>1460</v>
      </c>
      <c r="H832" s="9">
        <f>IFERROR(DATEVALUE(TEXT(G832,"DD/MM/YYYY")), IF(ISNUMBER(G832), G832, ""))</f>
        <v>45736</v>
      </c>
      <c r="I832" s="9" t="str">
        <f>IF(G832="","Missing", IF(AND(ISNUMBER(G832)=FALSE, H832=""),"Invalid - Could Not Parse", IF(AND(ISNUMBER(G832)=FALSE, H832&lt;&gt;""),"Text - Converted to Date", IF(ISNUMBER(G832),"Valid","Check"))))</f>
        <v>Text - Converted to Date</v>
      </c>
      <c r="J832" s="9" t="str">
        <f>IF(OR(C832="", H832=""), "Cannot Check - Date Missing", IF(H832&lt;C832, "Invalid - Ship Before Order", "Valid"))</f>
        <v>Valid</v>
      </c>
      <c r="K832" s="5">
        <f>IF(OR(C832="", H832=""), "", IF(H832&lt;C832, "", H832-C832))</f>
        <v>7</v>
      </c>
      <c r="L832" s="3" t="s">
        <v>1461</v>
      </c>
      <c r="M832" s="3" t="s">
        <v>83</v>
      </c>
      <c r="N832" s="4" t="str">
        <f>TRIM(SUBSTITUTE(M832,"_"," "))</f>
        <v>Vikram Iyer</v>
      </c>
      <c r="O832" s="3" t="s">
        <v>26</v>
      </c>
      <c r="P832" s="6" t="str">
        <f>PROPER(TRIM(SUBSTITUTE(O832,".","")))</f>
        <v>Consumer</v>
      </c>
      <c r="Q832" s="3" t="s">
        <v>73</v>
      </c>
      <c r="R832" s="7" t="str">
        <f>PROPER(TRIM(SUBSTITUTE(Q832,"  "," ")))</f>
        <v>West</v>
      </c>
      <c r="S832" s="3" t="s">
        <v>74</v>
      </c>
      <c r="T832" s="6" t="str">
        <f>PROPER(TRIM(SUBSTITUTE(S832,"  "," ")))</f>
        <v>Maharashtra</v>
      </c>
      <c r="U832" s="3" t="s">
        <v>75</v>
      </c>
      <c r="V832" s="6" t="str">
        <f>PROPER(TRIM(SUBSTITUTE(U832,"  "," ")))</f>
        <v>Mumbai</v>
      </c>
      <c r="W832" s="3" t="s">
        <v>45</v>
      </c>
      <c r="X832" s="6" t="str">
        <f>PROPER(TRIM(SUBSTITUTE(W832,"  "," ")))</f>
        <v>Furniture</v>
      </c>
      <c r="Y832" s="3" t="s">
        <v>65</v>
      </c>
      <c r="Z832" s="6" t="str">
        <f>PROPER(TRIM(SUBSTITUTE(Y832,"  "," ")))</f>
        <v>Furnishings</v>
      </c>
      <c r="AA832" s="3" t="s">
        <v>1462</v>
      </c>
      <c r="AB832" s="3" t="s">
        <v>56</v>
      </c>
      <c r="AC832" s="6" t="str">
        <f>PROPER(TRIM(SUBSTITUTE(AB832,"  "," ")))</f>
        <v>First Class</v>
      </c>
      <c r="AD832" s="3">
        <v>1</v>
      </c>
      <c r="AE832" s="3">
        <v>1814.01</v>
      </c>
      <c r="AF832" s="3">
        <v>0</v>
      </c>
      <c r="AG832" s="17">
        <v>0</v>
      </c>
      <c r="AH832" s="6" t="str">
        <f t="shared" si="100"/>
        <v>Valid</v>
      </c>
      <c r="AI832" s="3">
        <v>1814.01</v>
      </c>
      <c r="AJ832" s="3">
        <v>1033.47</v>
      </c>
      <c r="AK832" s="3">
        <v>780.54</v>
      </c>
      <c r="AL832" s="3" t="s">
        <v>34</v>
      </c>
      <c r="AM832" s="6" t="str">
        <f>PROPER(TRIM(SUBSTITUTE(AL832,".","")))</f>
        <v>Paid</v>
      </c>
      <c r="AN832" s="3" t="s">
        <v>35</v>
      </c>
      <c r="AO832" s="8" t="str">
        <f>PROPER(TRIM(SUBSTITUTE(AN832,".","")))</f>
        <v>Completed</v>
      </c>
      <c r="AP832" t="str">
        <f>IF(COUNTIF($A$2:$A$933, A832) &gt; 1, "Duplicate ID", "Unique")</f>
        <v>Unique</v>
      </c>
      <c r="AR832">
        <f t="shared" si="101"/>
        <v>1814.01</v>
      </c>
      <c r="AS832">
        <f t="shared" si="102"/>
        <v>780.54</v>
      </c>
      <c r="AT832" s="15">
        <f t="shared" si="103"/>
        <v>0.43028428729720342</v>
      </c>
      <c r="AU832" t="str">
        <f t="shared" si="104"/>
        <v>Clean</v>
      </c>
      <c r="AV832" s="8" t="str">
        <f t="shared" si="105"/>
        <v>Active</v>
      </c>
    </row>
    <row r="833" spans="1:48">
      <c r="A833" s="3" t="s">
        <v>1580</v>
      </c>
      <c r="B833" s="3" t="s">
        <v>1581</v>
      </c>
      <c r="C833" s="10">
        <f>IFERROR(DATEVALUE(MID(B833,4,2) &amp; "/" &amp; LEFT(B833,2) &amp; "/" &amp; RIGHT(B833,4)), IF(ISNUMBER(B833), B833, IFERROR(DATEVALUE(B833), "")))</f>
        <v>45493</v>
      </c>
      <c r="D833" s="9" t="str">
        <f>IF(B833="","Missing", IF(AND(ISNUMBER(B833)=FALSE, C833=""),"Invalid - Could Not Parse", IF(AND(ISNUMBER(B833)=FALSE, C833&lt;&gt;""),"Text - Converted to Date", IF(ISNUMBER(B833),"Valid","Check"))))</f>
        <v>Text - Converted to Date</v>
      </c>
      <c r="E833" s="5">
        <f t="shared" si="98"/>
        <v>7</v>
      </c>
      <c r="F833" s="5">
        <f t="shared" si="99"/>
        <v>2024</v>
      </c>
      <c r="G833" s="3" t="s">
        <v>127</v>
      </c>
      <c r="H833" s="9">
        <f>IFERROR(DATEVALUE(TEXT(G833,"DD/MM/YYYY")), IF(ISNUMBER(G833), G833, ""))</f>
        <v>45495</v>
      </c>
      <c r="I833" s="9" t="str">
        <f>IF(G833="","Missing", IF(AND(ISNUMBER(G833)=FALSE, H833=""),"Invalid - Could Not Parse", IF(AND(ISNUMBER(G833)=FALSE, H833&lt;&gt;""),"Text - Converted to Date", IF(ISNUMBER(G833),"Valid","Check"))))</f>
        <v>Text - Converted to Date</v>
      </c>
      <c r="J833" s="9" t="str">
        <f>IF(OR(C833="", H833=""), "Cannot Check - Date Missing", IF(H833&lt;C833, "Invalid - Ship Before Order", "Valid"))</f>
        <v>Valid</v>
      </c>
      <c r="K833" s="5">
        <f>IF(OR(C833="", H833=""), "", IF(H833&lt;C833, "", H833-C833))</f>
        <v>2</v>
      </c>
      <c r="L833" s="3" t="s">
        <v>1582</v>
      </c>
      <c r="M833" s="3" t="s">
        <v>72</v>
      </c>
      <c r="N833" s="4" t="str">
        <f>TRIM(SUBSTITUTE(M833,"_"," "))</f>
        <v>Ananya Rao</v>
      </c>
      <c r="O833" s="3" t="s">
        <v>26</v>
      </c>
      <c r="P833" s="6" t="str">
        <f>PROPER(TRIM(SUBSTITUTE(O833,".","")))</f>
        <v>Consumer</v>
      </c>
      <c r="Q833" s="3" t="s">
        <v>62</v>
      </c>
      <c r="R833" s="7" t="str">
        <f>PROPER(TRIM(SUBSTITUTE(Q833,"  "," ")))</f>
        <v>South</v>
      </c>
      <c r="S833" s="3" t="s">
        <v>339</v>
      </c>
      <c r="T833" s="6" t="str">
        <f>PROPER(TRIM(SUBSTITUTE(S833,"  "," ")))</f>
        <v>Tamil Nadu</v>
      </c>
      <c r="U833" s="3" t="s">
        <v>340</v>
      </c>
      <c r="V833" s="6" t="str">
        <f>PROPER(TRIM(SUBSTITUTE(U833,"  "," ")))</f>
        <v>Chennai</v>
      </c>
      <c r="W833" s="3" t="s">
        <v>45</v>
      </c>
      <c r="X833" s="6" t="str">
        <f>PROPER(TRIM(SUBSTITUTE(W833,"  "," ")))</f>
        <v>Furniture</v>
      </c>
      <c r="Y833" s="3" t="s">
        <v>46</v>
      </c>
      <c r="Z833" s="6" t="str">
        <f>PROPER(TRIM(SUBSTITUTE(Y833,"  "," ")))</f>
        <v>Tables</v>
      </c>
      <c r="AA833" s="3" t="s">
        <v>1583</v>
      </c>
      <c r="AB833" s="3" t="s">
        <v>56</v>
      </c>
      <c r="AC833" s="6" t="str">
        <f>PROPER(TRIM(SUBSTITUTE(AB833,"  "," ")))</f>
        <v>First Class</v>
      </c>
      <c r="AD833" s="3">
        <v>7</v>
      </c>
      <c r="AE833" s="3">
        <v>2060.73</v>
      </c>
      <c r="AF833" s="3">
        <v>0.1</v>
      </c>
      <c r="AG833" s="17">
        <v>0.1</v>
      </c>
      <c r="AH833" s="6" t="str">
        <f t="shared" si="100"/>
        <v>Valid</v>
      </c>
      <c r="AI833" s="3">
        <v>12982.6</v>
      </c>
      <c r="AJ833" s="3">
        <v>7246.36</v>
      </c>
      <c r="AK833" s="3">
        <v>5736.24</v>
      </c>
      <c r="AL833" s="3" t="s">
        <v>34</v>
      </c>
      <c r="AM833" s="6" t="str">
        <f>PROPER(TRIM(SUBSTITUTE(AL833,".","")))</f>
        <v>Paid</v>
      </c>
      <c r="AN833" s="3" t="s">
        <v>78</v>
      </c>
      <c r="AO833" s="8" t="str">
        <f>PROPER(TRIM(SUBSTITUTE(AN833,".","")))</f>
        <v>Cancelled</v>
      </c>
      <c r="AP833" t="str">
        <f>IF(COUNTIF($A$2:$A$933, A833) &gt; 1, "Duplicate ID", "Unique")</f>
        <v>Unique</v>
      </c>
      <c r="AR833">
        <f t="shared" si="101"/>
        <v>12982.599</v>
      </c>
      <c r="AS833">
        <f t="shared" si="102"/>
        <v>5736.2390000000005</v>
      </c>
      <c r="AT833" s="15">
        <f t="shared" si="103"/>
        <v>0.441840574448922</v>
      </c>
      <c r="AU833" t="str">
        <f t="shared" si="104"/>
        <v>Clean</v>
      </c>
      <c r="AV833" s="8" t="str">
        <f t="shared" si="105"/>
        <v>Cancelled</v>
      </c>
    </row>
    <row r="834" spans="1:48">
      <c r="A834" s="3" t="s">
        <v>1593</v>
      </c>
      <c r="B834" s="3" t="s">
        <v>1594</v>
      </c>
      <c r="C834" s="10">
        <f>IFERROR(DATEVALUE(MID(B834,4,2) &amp; "/" &amp; LEFT(B834,2) &amp; "/" &amp; RIGHT(B834,4)), IF(ISNUMBER(B834), B834, IFERROR(DATEVALUE(B834), "")))</f>
        <v>45504</v>
      </c>
      <c r="D834" s="9" t="str">
        <f>IF(B834="","Missing", IF(AND(ISNUMBER(B834)=FALSE, C834=""),"Invalid - Could Not Parse", IF(AND(ISNUMBER(B834)=FALSE, C834&lt;&gt;""),"Text - Converted to Date", IF(ISNUMBER(B834),"Valid","Check"))))</f>
        <v>Text - Converted to Date</v>
      </c>
      <c r="E834" s="5">
        <f t="shared" si="98"/>
        <v>7</v>
      </c>
      <c r="F834" s="5">
        <f t="shared" si="99"/>
        <v>2024</v>
      </c>
      <c r="G834" s="3" t="s">
        <v>516</v>
      </c>
      <c r="H834" s="9">
        <f>IFERROR(DATEVALUE(TEXT(G834,"DD/MM/YYYY")), IF(ISNUMBER(G834), G834, ""))</f>
        <v>45508</v>
      </c>
      <c r="I834" s="9" t="str">
        <f>IF(G834="","Missing", IF(AND(ISNUMBER(G834)=FALSE, H834=""),"Invalid - Could Not Parse", IF(AND(ISNUMBER(G834)=FALSE, H834&lt;&gt;""),"Text - Converted to Date", IF(ISNUMBER(G834),"Valid","Check"))))</f>
        <v>Text - Converted to Date</v>
      </c>
      <c r="J834" s="9" t="str">
        <f>IF(OR(C834="", H834=""), "Cannot Check - Date Missing", IF(H834&lt;C834, "Invalid - Ship Before Order", "Valid"))</f>
        <v>Valid</v>
      </c>
      <c r="K834" s="5">
        <f>IF(OR(C834="", H834=""), "", IF(H834&lt;C834, "", H834-C834))</f>
        <v>4</v>
      </c>
      <c r="L834" s="3" t="s">
        <v>1595</v>
      </c>
      <c r="M834" s="3" t="s">
        <v>25</v>
      </c>
      <c r="N834" s="4" t="str">
        <f>TRIM(SUBSTITUTE(M834,"_"," "))</f>
        <v>Karan Malhotra</v>
      </c>
      <c r="O834" s="3" t="s">
        <v>41</v>
      </c>
      <c r="P834" s="6" t="str">
        <f>PROPER(TRIM(SUBSTITUTE(O834,".","")))</f>
        <v>Small Business</v>
      </c>
      <c r="Q834" s="3" t="s">
        <v>42</v>
      </c>
      <c r="R834" s="7" t="str">
        <f>PROPER(TRIM(SUBSTITUTE(Q834,"  "," ")))</f>
        <v>East</v>
      </c>
      <c r="S834" s="3" t="s">
        <v>216</v>
      </c>
      <c r="T834" s="6" t="str">
        <f>PROPER(TRIM(SUBSTITUTE(S834,"  "," ")))</f>
        <v>Assam</v>
      </c>
      <c r="U834" s="3" t="s">
        <v>217</v>
      </c>
      <c r="V834" s="6" t="str">
        <f>PROPER(TRIM(SUBSTITUTE(U834,"  "," ")))</f>
        <v>Guwahati</v>
      </c>
      <c r="W834" s="3" t="s">
        <v>86</v>
      </c>
      <c r="X834" s="6" t="str">
        <f>PROPER(TRIM(SUBSTITUTE(W834,"  "," ")))</f>
        <v>Technology</v>
      </c>
      <c r="Y834" s="3" t="s">
        <v>223</v>
      </c>
      <c r="Z834" s="6" t="str">
        <f>PROPER(TRIM(SUBSTITUTE(Y834,"  "," ")))</f>
        <v>Phones</v>
      </c>
      <c r="AA834" s="3" t="s">
        <v>1596</v>
      </c>
      <c r="AB834" s="3" t="s">
        <v>67</v>
      </c>
      <c r="AC834" s="6" t="str">
        <f>PROPER(TRIM(SUBSTITUTE(AB834,"  "," ")))</f>
        <v>Standard Class</v>
      </c>
      <c r="AD834" s="3">
        <v>8</v>
      </c>
      <c r="AE834" s="3">
        <v>2614.7399999999998</v>
      </c>
      <c r="AF834" s="3"/>
      <c r="AG834" s="18">
        <f>IF(ISBLANK(AF834), 0, AF834)</f>
        <v>0</v>
      </c>
      <c r="AH834" s="6" t="str">
        <f t="shared" si="100"/>
        <v>Missing</v>
      </c>
      <c r="AI834" s="3">
        <v>15688.44</v>
      </c>
      <c r="AJ834" s="3">
        <v>10047.33</v>
      </c>
      <c r="AK834" s="3">
        <v>5641.11</v>
      </c>
      <c r="AL834" s="3" t="s">
        <v>34</v>
      </c>
      <c r="AM834" s="6" t="str">
        <f>PROPER(TRIM(SUBSTITUTE(AL834,".","")))</f>
        <v>Paid</v>
      </c>
      <c r="AN834" s="3" t="s">
        <v>78</v>
      </c>
      <c r="AO834" s="8" t="str">
        <f>PROPER(TRIM(SUBSTITUTE(AN834,".","")))</f>
        <v>Cancelled</v>
      </c>
      <c r="AP834" t="str">
        <f>IF(COUNTIF($A$2:$A$933, A834) &gt; 1, "Duplicate ID", "Unique")</f>
        <v>Unique</v>
      </c>
      <c r="AR834">
        <f t="shared" si="101"/>
        <v>20917.919999999998</v>
      </c>
      <c r="AS834">
        <f t="shared" si="102"/>
        <v>10870.589999999998</v>
      </c>
      <c r="AT834" s="15">
        <f t="shared" si="103"/>
        <v>0.5196783427797792</v>
      </c>
      <c r="AU834" t="str">
        <f t="shared" si="104"/>
        <v>Warning</v>
      </c>
      <c r="AV834" s="8" t="str">
        <f t="shared" si="105"/>
        <v>Cancelled</v>
      </c>
    </row>
    <row r="835" spans="1:48">
      <c r="A835" s="3" t="s">
        <v>1635</v>
      </c>
      <c r="B835" s="3" t="s">
        <v>1636</v>
      </c>
      <c r="C835" s="10">
        <f>IFERROR(DATEVALUE(MID(B835,4,2) &amp; "/" &amp; LEFT(B835,2) &amp; "/" &amp; RIGHT(B835,4)), IF(ISNUMBER(B835), B835, IFERROR(DATEVALUE(B835), "")))</f>
        <v>45466</v>
      </c>
      <c r="D835" s="9" t="str">
        <f>IF(B835="","Missing", IF(AND(ISNUMBER(B835)=FALSE, C835=""),"Invalid - Could Not Parse", IF(AND(ISNUMBER(B835)=FALSE, C835&lt;&gt;""),"Text - Converted to Date", IF(ISNUMBER(B835),"Valid","Check"))))</f>
        <v>Text - Converted to Date</v>
      </c>
      <c r="E835" s="5">
        <f t="shared" ref="E835:E898" si="106">IFERROR(MONTH(C835), "")</f>
        <v>6</v>
      </c>
      <c r="F835" s="5">
        <f t="shared" ref="F835:F898" si="107">IFERROR(YEAR(C835), "")</f>
        <v>2024</v>
      </c>
      <c r="G835" s="3" t="s">
        <v>1637</v>
      </c>
      <c r="H835" s="9">
        <f>IFERROR(DATEVALUE(TEXT(G835,"DD/MM/YYYY")), IF(ISNUMBER(G835), G835, ""))</f>
        <v>45473</v>
      </c>
      <c r="I835" s="9" t="str">
        <f>IF(G835="","Missing", IF(AND(ISNUMBER(G835)=FALSE, H835=""),"Invalid - Could Not Parse", IF(AND(ISNUMBER(G835)=FALSE, H835&lt;&gt;""),"Text - Converted to Date", IF(ISNUMBER(G835),"Valid","Check"))))</f>
        <v>Text - Converted to Date</v>
      </c>
      <c r="J835" s="9" t="str">
        <f>IF(OR(C835="", H835=""), "Cannot Check - Date Missing", IF(H835&lt;C835, "Invalid - Ship Before Order", "Valid"))</f>
        <v>Valid</v>
      </c>
      <c r="K835" s="5">
        <f>IF(OR(C835="", H835=""), "", IF(H835&lt;C835, "", H835-C835))</f>
        <v>7</v>
      </c>
      <c r="L835" s="3" t="s">
        <v>1638</v>
      </c>
      <c r="M835" s="3" t="s">
        <v>93</v>
      </c>
      <c r="N835" s="4" t="str">
        <f>TRIM(SUBSTITUTE(M835,"_"," "))</f>
        <v>Neha Gupta</v>
      </c>
      <c r="O835" s="3" t="s">
        <v>41</v>
      </c>
      <c r="P835" s="6" t="str">
        <f>PROPER(TRIM(SUBSTITUTE(O835,".","")))</f>
        <v>Small Business</v>
      </c>
      <c r="Q835" s="3" t="s">
        <v>73</v>
      </c>
      <c r="R835" s="7" t="str">
        <f>PROPER(TRIM(SUBSTITUTE(Q835,"  "," ")))</f>
        <v>West</v>
      </c>
      <c r="S835" s="3" t="s">
        <v>249</v>
      </c>
      <c r="T835" s="6" t="str">
        <f>PROPER(TRIM(SUBSTITUTE(S835,"  "," ")))</f>
        <v>Goa</v>
      </c>
      <c r="U835" s="3" t="s">
        <v>250</v>
      </c>
      <c r="V835" s="6" t="str">
        <f>PROPER(TRIM(SUBSTITUTE(U835,"  "," ")))</f>
        <v>Panaji</v>
      </c>
      <c r="W835" s="3" t="s">
        <v>86</v>
      </c>
      <c r="X835" s="6" t="str">
        <f>PROPER(TRIM(SUBSTITUTE(W835,"  "," ")))</f>
        <v>Technology</v>
      </c>
      <c r="Y835" s="3" t="s">
        <v>87</v>
      </c>
      <c r="Z835" s="6" t="str">
        <f>PROPER(TRIM(SUBSTITUTE(Y835,"  "," ")))</f>
        <v>Accessories</v>
      </c>
      <c r="AA835" s="3" t="s">
        <v>1639</v>
      </c>
      <c r="AB835" s="3" t="s">
        <v>48</v>
      </c>
      <c r="AC835" s="6" t="str">
        <f>PROPER(TRIM(SUBSTITUTE(AB835,"  "," ")))</f>
        <v>Same Day</v>
      </c>
      <c r="AD835" s="3">
        <v>4</v>
      </c>
      <c r="AE835" s="3">
        <v>674.82</v>
      </c>
      <c r="AF835" s="3">
        <v>0</v>
      </c>
      <c r="AG835" s="17">
        <v>0</v>
      </c>
      <c r="AH835" s="6" t="str">
        <f t="shared" ref="AH835:AH898" si="108">IF(ISBLANK(AF835), "Missing", IF(AF835 &lt; 0, "Invalid - Negative", IF(AF835 &gt; 0.5, "Invalid - Above Range", "Valid")))</f>
        <v>Valid</v>
      </c>
      <c r="AI835" s="3">
        <v>2699.28</v>
      </c>
      <c r="AJ835" s="3">
        <v>1759.76</v>
      </c>
      <c r="AK835" s="3">
        <v>939.52</v>
      </c>
      <c r="AL835" s="3" t="s">
        <v>200</v>
      </c>
      <c r="AM835" s="6" t="str">
        <f>PROPER(TRIM(SUBSTITUTE(AL835,".","")))</f>
        <v>Failed</v>
      </c>
      <c r="AN835" s="3" t="s">
        <v>78</v>
      </c>
      <c r="AO835" s="8" t="str">
        <f>PROPER(TRIM(SUBSTITUTE(AN835,".","")))</f>
        <v>Cancelled</v>
      </c>
      <c r="AP835" t="str">
        <f>IF(COUNTIF($A$2:$A$933, A835) &gt; 1, "Duplicate ID", "Unique")</f>
        <v>Unique</v>
      </c>
      <c r="AR835">
        <f t="shared" ref="AR835:AR898" si="109">AD835 * AE835 * (1 - AG835)</f>
        <v>2699.28</v>
      </c>
      <c r="AS835">
        <f t="shared" ref="AS835:AS898" si="110">AR835-AJ835</f>
        <v>939.52000000000021</v>
      </c>
      <c r="AT835" s="15">
        <f t="shared" ref="AT835:AT898" si="111">IFERROR(AS835 / AR835, "")</f>
        <v>0.34806318722029583</v>
      </c>
      <c r="AU835" t="str">
        <f t="shared" ref="AU835:AU898" si="112">IF(OR(AH835="Invalid - Negative",AH835="Invalid - Above Range", J835="Invalid - Ship Before Order", AQ835="Conflicting Duplicate - Flagged"), "Invalid", IF(OR(R834="Unknown", AC834="Unknown", AH835="Missing"), "Warning", "Clean"))</f>
        <v>Clean</v>
      </c>
      <c r="AV835" s="8" t="str">
        <f t="shared" ref="AV835:AV898" si="113">IF(AM835 = "Refunded", "Refund", IF(AO835 = "Cancelled", "Cancelled", "Active"))</f>
        <v>Cancelled</v>
      </c>
    </row>
    <row r="836" spans="1:48">
      <c r="A836" s="3" t="s">
        <v>1652</v>
      </c>
      <c r="B836" s="3" t="s">
        <v>1653</v>
      </c>
      <c r="C836" s="10">
        <f>IFERROR(DATEVALUE(MID(B836,4,2) &amp; "/" &amp; LEFT(B836,2) &amp; "/" &amp; RIGHT(B836,4)), IF(ISNUMBER(B836), B836, IFERROR(DATEVALUE(B836), "")))</f>
        <v>45916</v>
      </c>
      <c r="D836" s="9" t="str">
        <f>IF(B836="","Missing", IF(AND(ISNUMBER(B836)=FALSE, C836=""),"Invalid - Could Not Parse", IF(AND(ISNUMBER(B836)=FALSE, C836&lt;&gt;""),"Text - Converted to Date", IF(ISNUMBER(B836),"Valid","Check"))))</f>
        <v>Text - Converted to Date</v>
      </c>
      <c r="E836" s="5">
        <f t="shared" si="106"/>
        <v>9</v>
      </c>
      <c r="F836" s="5">
        <f t="shared" si="107"/>
        <v>2025</v>
      </c>
      <c r="G836" s="3" t="s">
        <v>1654</v>
      </c>
      <c r="H836" s="9">
        <f>IFERROR(DATEVALUE(TEXT(G836,"DD/MM/YYYY")), IF(ISNUMBER(G836), G836, ""))</f>
        <v>45922</v>
      </c>
      <c r="I836" s="9" t="str">
        <f>IF(G836="","Missing", IF(AND(ISNUMBER(G836)=FALSE, H836=""),"Invalid - Could Not Parse", IF(AND(ISNUMBER(G836)=FALSE, H836&lt;&gt;""),"Text - Converted to Date", IF(ISNUMBER(G836),"Valid","Check"))))</f>
        <v>Text - Converted to Date</v>
      </c>
      <c r="J836" s="9" t="str">
        <f>IF(OR(C836="", H836=""), "Cannot Check - Date Missing", IF(H836&lt;C836, "Invalid - Ship Before Order", "Valid"))</f>
        <v>Valid</v>
      </c>
      <c r="K836" s="5">
        <f>IF(OR(C836="", H836=""), "", IF(H836&lt;C836, "", H836-C836))</f>
        <v>6</v>
      </c>
      <c r="L836" s="3" t="s">
        <v>1655</v>
      </c>
      <c r="M836" s="3" t="s">
        <v>168</v>
      </c>
      <c r="N836" s="4" t="str">
        <f>TRIM(SUBSTITUTE(M836,"_"," "))</f>
        <v>Sneha Kapoor</v>
      </c>
      <c r="O836" s="3" t="s">
        <v>115</v>
      </c>
      <c r="P836" s="6" t="str">
        <f>PROPER(TRIM(SUBSTITUTE(O836,".","")))</f>
        <v>Home Office</v>
      </c>
      <c r="Q836" s="3" t="s">
        <v>42</v>
      </c>
      <c r="R836" s="7" t="str">
        <f>PROPER(TRIM(SUBSTITUTE(Q836,"  "," ")))</f>
        <v>East</v>
      </c>
      <c r="S836" s="3" t="s">
        <v>121</v>
      </c>
      <c r="T836" s="6" t="str">
        <f>PROPER(TRIM(SUBSTITUTE(S836,"  "," ")))</f>
        <v>West Bengal</v>
      </c>
      <c r="U836" s="3" t="s">
        <v>122</v>
      </c>
      <c r="V836" s="6" t="str">
        <f>PROPER(TRIM(SUBSTITUTE(U836,"  "," ")))</f>
        <v>Kolkata</v>
      </c>
      <c r="W836" s="3" t="s">
        <v>86</v>
      </c>
      <c r="X836" s="6" t="str">
        <f>PROPER(TRIM(SUBSTITUTE(W836,"  "," ")))</f>
        <v>Technology</v>
      </c>
      <c r="Y836" s="3" t="s">
        <v>94</v>
      </c>
      <c r="Z836" s="6" t="str">
        <f>PROPER(TRIM(SUBSTITUTE(Y836,"  "," ")))</f>
        <v>Copiers</v>
      </c>
      <c r="AA836" s="3" t="s">
        <v>1656</v>
      </c>
      <c r="AB836" s="3" t="s">
        <v>33</v>
      </c>
      <c r="AC836" s="6" t="str">
        <f>PROPER(TRIM(SUBSTITUTE(AB836,"  "," ")))</f>
        <v>Second Class</v>
      </c>
      <c r="AD836" s="3">
        <v>5</v>
      </c>
      <c r="AE836" s="3">
        <v>3671.2</v>
      </c>
      <c r="AF836" s="3">
        <v>0.15</v>
      </c>
      <c r="AG836" s="17">
        <v>0.15</v>
      </c>
      <c r="AH836" s="6" t="str">
        <f t="shared" si="108"/>
        <v>Valid</v>
      </c>
      <c r="AI836" s="3">
        <v>15602.6</v>
      </c>
      <c r="AJ836" s="3">
        <v>11908.52</v>
      </c>
      <c r="AK836" s="3">
        <v>3694.08</v>
      </c>
      <c r="AL836" s="3" t="s">
        <v>34</v>
      </c>
      <c r="AM836" s="6" t="str">
        <f>PROPER(TRIM(SUBSTITUTE(AL836,".","")))</f>
        <v>Paid</v>
      </c>
      <c r="AN836" s="3" t="s">
        <v>35</v>
      </c>
      <c r="AO836" s="8" t="str">
        <f>PROPER(TRIM(SUBSTITUTE(AN836,".","")))</f>
        <v>Completed</v>
      </c>
      <c r="AP836" t="str">
        <f>IF(COUNTIF($A$2:$A$933, A836) &gt; 1, "Duplicate ID", "Unique")</f>
        <v>Unique</v>
      </c>
      <c r="AR836">
        <f t="shared" si="109"/>
        <v>15602.6</v>
      </c>
      <c r="AS836">
        <f t="shared" si="110"/>
        <v>3694.08</v>
      </c>
      <c r="AT836" s="15">
        <f t="shared" si="111"/>
        <v>0.236760539910015</v>
      </c>
      <c r="AU836" t="str">
        <f t="shared" si="112"/>
        <v>Clean</v>
      </c>
      <c r="AV836" s="8" t="str">
        <f t="shared" si="113"/>
        <v>Active</v>
      </c>
    </row>
    <row r="837" spans="1:48">
      <c r="A837" s="3" t="s">
        <v>1674</v>
      </c>
      <c r="B837" s="3" t="s">
        <v>1128</v>
      </c>
      <c r="C837" s="10">
        <f>IFERROR(DATEVALUE(MID(B837,4,2) &amp; "/" &amp; LEFT(B837,2) &amp; "/" &amp; RIGHT(B837,4)), IF(ISNUMBER(B837), B837, IFERROR(DATEVALUE(B837), "")))</f>
        <v>45428</v>
      </c>
      <c r="D837" s="9" t="str">
        <f>IF(B837="","Missing", IF(AND(ISNUMBER(B837)=FALSE, C837=""),"Invalid - Could Not Parse", IF(AND(ISNUMBER(B837)=FALSE, C837&lt;&gt;""),"Text - Converted to Date", IF(ISNUMBER(B837),"Valid","Check"))))</f>
        <v>Text - Converted to Date</v>
      </c>
      <c r="E837" s="5">
        <f t="shared" si="106"/>
        <v>5</v>
      </c>
      <c r="F837" s="5">
        <f t="shared" si="107"/>
        <v>2024</v>
      </c>
      <c r="G837" s="3" t="s">
        <v>709</v>
      </c>
      <c r="H837" s="9">
        <f>IFERROR(DATEVALUE(MID(G837,4,2) &amp; "/" &amp; LEFT(G837,2) &amp; "/" &amp; RIGHT(G837,4)), IF(ISNUMBER(G837), G837, IFERROR(DATEVALUE(G837), "")))</f>
        <v>45436</v>
      </c>
      <c r="I837" s="9" t="str">
        <f>IF(G837="","Missing", IF(AND(ISNUMBER(G837)=FALSE, H837=""),"Invalid - Could Not Parse", IF(AND(ISNUMBER(G837)=FALSE, H837&lt;&gt;""),"Text - Converted to Date", IF(ISNUMBER(G837),"Valid","Check"))))</f>
        <v>Text - Converted to Date</v>
      </c>
      <c r="J837" s="9" t="str">
        <f>IF(OR(C837="", H837=""), "Cannot Check - Date Missing", IF(H837&lt;C837, "Invalid - Ship Before Order", "Valid"))</f>
        <v>Valid</v>
      </c>
      <c r="K837" s="5">
        <f>IF(OR(C837="", H837=""), "", IF(H837&lt;C837, "", H837-C837))</f>
        <v>8</v>
      </c>
      <c r="L837" s="3" t="s">
        <v>1675</v>
      </c>
      <c r="M837" s="3" t="s">
        <v>61</v>
      </c>
      <c r="N837" s="4" t="str">
        <f>TRIM(SUBSTITUTE(M837,"_"," "))</f>
        <v>Arjun Bose</v>
      </c>
      <c r="O837" s="3" t="s">
        <v>115</v>
      </c>
      <c r="P837" s="6" t="str">
        <f>PROPER(TRIM(SUBSTITUTE(O837,".","")))</f>
        <v>Home Office</v>
      </c>
      <c r="Q837" s="3" t="s">
        <v>27</v>
      </c>
      <c r="R837" s="7" t="str">
        <f>PROPER(TRIM(SUBSTITUTE(Q837,"  "," ")))</f>
        <v>North</v>
      </c>
      <c r="S837" s="3" t="s">
        <v>154</v>
      </c>
      <c r="T837" s="6" t="str">
        <f>PROPER(TRIM(SUBSTITUTE(S837,"  "," ")))</f>
        <v>Punjab</v>
      </c>
      <c r="U837" s="3" t="s">
        <v>155</v>
      </c>
      <c r="V837" s="6" t="str">
        <f>PROPER(TRIM(SUBSTITUTE(U837,"  "," ")))</f>
        <v>Ludhiana</v>
      </c>
      <c r="W837" s="3" t="s">
        <v>86</v>
      </c>
      <c r="X837" s="6" t="str">
        <f>PROPER(TRIM(SUBSTITUTE(W837,"  "," ")))</f>
        <v>Technology</v>
      </c>
      <c r="Y837" s="3" t="s">
        <v>87</v>
      </c>
      <c r="Z837" s="6" t="str">
        <f>PROPER(TRIM(SUBSTITUTE(Y837,"  "," ")))</f>
        <v>Accessories</v>
      </c>
      <c r="AA837" s="3" t="s">
        <v>1676</v>
      </c>
      <c r="AB837" s="3" t="s">
        <v>48</v>
      </c>
      <c r="AC837" s="6" t="str">
        <f>PROPER(TRIM(SUBSTITUTE(AB837,"  "," ")))</f>
        <v>Same Day</v>
      </c>
      <c r="AD837" s="3">
        <v>1</v>
      </c>
      <c r="AE837" s="3">
        <v>783.09</v>
      </c>
      <c r="AF837" s="3">
        <v>0</v>
      </c>
      <c r="AG837" s="17">
        <v>0</v>
      </c>
      <c r="AH837" s="6" t="str">
        <f t="shared" si="108"/>
        <v>Valid</v>
      </c>
      <c r="AI837" s="3">
        <v>783.09</v>
      </c>
      <c r="AJ837" s="3">
        <v>503.89</v>
      </c>
      <c r="AK837" s="3">
        <v>279.2</v>
      </c>
      <c r="AL837" s="3" t="s">
        <v>200</v>
      </c>
      <c r="AM837" s="6" t="str">
        <f>PROPER(TRIM(SUBSTITUTE(AL837,".","")))</f>
        <v>Failed</v>
      </c>
      <c r="AN837" s="3" t="s">
        <v>78</v>
      </c>
      <c r="AO837" s="8" t="str">
        <f>PROPER(TRIM(SUBSTITUTE(AN837,".","")))</f>
        <v>Cancelled</v>
      </c>
      <c r="AP837" t="str">
        <f>IF(COUNTIF($A$2:$A$933, A837) &gt; 1, "Duplicate ID", "Unique")</f>
        <v>Unique</v>
      </c>
      <c r="AR837">
        <f t="shared" si="109"/>
        <v>783.09</v>
      </c>
      <c r="AS837">
        <f t="shared" si="110"/>
        <v>279.20000000000005</v>
      </c>
      <c r="AT837" s="15">
        <f t="shared" si="111"/>
        <v>0.3565362857398256</v>
      </c>
      <c r="AU837" t="str">
        <f t="shared" si="112"/>
        <v>Clean</v>
      </c>
      <c r="AV837" s="8" t="str">
        <f t="shared" si="113"/>
        <v>Cancelled</v>
      </c>
    </row>
    <row r="838" spans="1:48">
      <c r="A838" s="3" t="s">
        <v>2648</v>
      </c>
      <c r="B838" s="3" t="s">
        <v>2649</v>
      </c>
      <c r="C838" s="10">
        <f>IFERROR(DATEVALUE(TEXT(B838,"DD/MM/YYYY")), IF(ISNUMBER(B838), B838, ""))</f>
        <v>45971</v>
      </c>
      <c r="D838" s="9" t="str">
        <f>IF(B838="","Missing", IF(AND(ISNUMBER(B838)=FALSE, C838=""),"Invalid - Could Not Parse", IF(AND(ISNUMBER(B838)=FALSE, C838&lt;&gt;""),"Text - Converted to Date", IF(ISNUMBER(B838),"Valid","Check"))))</f>
        <v>Text - Converted to Date</v>
      </c>
      <c r="E838" s="5">
        <f t="shared" si="106"/>
        <v>11</v>
      </c>
      <c r="F838" s="5">
        <f t="shared" si="107"/>
        <v>2025</v>
      </c>
      <c r="G838" s="3" t="s">
        <v>2650</v>
      </c>
      <c r="H838" s="9">
        <f>IFERROR(DATEVALUE(TEXT(G838,"DD/MM/YYYY")), IF(ISNUMBER(G838), G838, ""))</f>
        <v>45943</v>
      </c>
      <c r="I838" s="9" t="str">
        <f>IF(G838="","Missing", IF(AND(ISNUMBER(G838)=FALSE, H838=""),"Invalid - Could Not Parse", IF(AND(ISNUMBER(G838)=FALSE, H838&lt;&gt;""),"Text - Converted to Date", IF(ISNUMBER(G838),"Valid","Check"))))</f>
        <v>Text - Converted to Date</v>
      </c>
      <c r="J838" s="9" t="str">
        <f>IF(OR(C838="", H838=""), "Cannot Check - Date Missing", IF(H838&lt;C838, "Invalid - Ship Before Order", "Valid"))</f>
        <v>Invalid - Ship Before Order</v>
      </c>
      <c r="K838" s="5" t="str">
        <f>IF(OR(C838="", H838=""), "", IF(H838&lt;C838, "", H838-C838))</f>
        <v/>
      </c>
      <c r="L838" s="3" t="s">
        <v>2651</v>
      </c>
      <c r="M838" s="3" t="s">
        <v>40</v>
      </c>
      <c r="N838" s="4" t="str">
        <f>TRIM(SUBSTITUTE(M838,"_"," "))</f>
        <v>Mira Das</v>
      </c>
      <c r="O838" s="3" t="s">
        <v>108</v>
      </c>
      <c r="P838" s="6" t="str">
        <f>PROPER(TRIM(SUBSTITUTE(O838,".","")))</f>
        <v>Corporate</v>
      </c>
      <c r="Q838" s="3" t="s">
        <v>62</v>
      </c>
      <c r="R838" s="7" t="str">
        <f>PROPER(TRIM(SUBSTITUTE(Q838,"  "," ")))</f>
        <v>South</v>
      </c>
      <c r="S838" s="3" t="s">
        <v>63</v>
      </c>
      <c r="T838" s="6" t="str">
        <f>PROPER(TRIM(SUBSTITUTE(S838,"  "," ")))</f>
        <v>Telangana</v>
      </c>
      <c r="U838" s="3" t="s">
        <v>64</v>
      </c>
      <c r="V838" s="6" t="str">
        <f>PROPER(TRIM(SUBSTITUTE(U838,"  "," ")))</f>
        <v>Hyderabad</v>
      </c>
      <c r="W838" s="3" t="s">
        <v>30</v>
      </c>
      <c r="X838" s="6" t="str">
        <f>PROPER(TRIM(SUBSTITUTE(W838,"  "," ")))</f>
        <v>Office Supplies</v>
      </c>
      <c r="Y838" s="3" t="s">
        <v>54</v>
      </c>
      <c r="Z838" s="6" t="str">
        <f>PROPER(TRIM(SUBSTITUTE(Y838,"  "," ")))</f>
        <v>Art</v>
      </c>
      <c r="AA838" s="3" t="s">
        <v>2652</v>
      </c>
      <c r="AB838" s="3" t="s">
        <v>33</v>
      </c>
      <c r="AC838" s="6" t="str">
        <f>PROPER(TRIM(SUBSTITUTE(AB838,"  "," ")))</f>
        <v>Second Class</v>
      </c>
      <c r="AD838" s="3">
        <v>3</v>
      </c>
      <c r="AE838" s="3">
        <v>3804.27</v>
      </c>
      <c r="AF838" s="3">
        <v>0.1</v>
      </c>
      <c r="AG838" s="17">
        <v>0.1</v>
      </c>
      <c r="AH838" s="6" t="str">
        <f t="shared" si="108"/>
        <v>Valid</v>
      </c>
      <c r="AI838" s="3">
        <v>10271.530000000001</v>
      </c>
      <c r="AJ838" s="3">
        <v>8272.24</v>
      </c>
      <c r="AK838" s="3">
        <v>1999.29</v>
      </c>
      <c r="AL838" s="3" t="s">
        <v>34</v>
      </c>
      <c r="AM838" s="6" t="str">
        <f>PROPER(TRIM(SUBSTITUTE(AL838,".","")))</f>
        <v>Paid</v>
      </c>
      <c r="AN838" s="3" t="s">
        <v>35</v>
      </c>
      <c r="AO838" s="8" t="str">
        <f>PROPER(TRIM(SUBSTITUTE(AN838,".","")))</f>
        <v>Completed</v>
      </c>
      <c r="AP838" t="str">
        <f>IF(COUNTIF($A$2:$A$933, A838) &gt; 1, "Duplicate ID", "Unique")</f>
        <v>Unique</v>
      </c>
      <c r="AR838">
        <f t="shared" si="109"/>
        <v>10271.529</v>
      </c>
      <c r="AS838">
        <f t="shared" si="110"/>
        <v>1999.2890000000007</v>
      </c>
      <c r="AT838" s="15">
        <f t="shared" si="111"/>
        <v>0.19464375751652949</v>
      </c>
      <c r="AU838" t="str">
        <f t="shared" si="112"/>
        <v>Invalid</v>
      </c>
      <c r="AV838" s="8" t="str">
        <f t="shared" si="113"/>
        <v>Active</v>
      </c>
    </row>
    <row r="839" spans="1:48">
      <c r="A839" s="3" t="s">
        <v>1825</v>
      </c>
      <c r="B839" s="3" t="s">
        <v>1826</v>
      </c>
      <c r="C839" s="10">
        <f>IFERROR(DATEVALUE(MID(B839,4,2) &amp; "/" &amp; LEFT(B839,2) &amp; "/" &amp; RIGHT(B839,4)), IF(ISNUMBER(B839), B839, IFERROR(DATEVALUE(B839), "")))</f>
        <v>45737</v>
      </c>
      <c r="D839" s="9" t="str">
        <f>IF(B839="","Missing", IF(AND(ISNUMBER(B839)=FALSE, C839=""),"Invalid - Could Not Parse", IF(AND(ISNUMBER(B839)=FALSE, C839&lt;&gt;""),"Text - Converted to Date", IF(ISNUMBER(B839),"Valid","Check"))))</f>
        <v>Text - Converted to Date</v>
      </c>
      <c r="E839" s="5">
        <f t="shared" si="106"/>
        <v>3</v>
      </c>
      <c r="F839" s="5">
        <f t="shared" si="107"/>
        <v>2025</v>
      </c>
      <c r="G839" s="3" t="s">
        <v>1827</v>
      </c>
      <c r="H839" s="9">
        <f>IFERROR(DATEVALUE(TEXT(G839,"DD/MM/YYYY")), IF(ISNUMBER(G839), G839, ""))</f>
        <v>45740</v>
      </c>
      <c r="I839" s="9" t="str">
        <f>IF(G839="","Missing", IF(AND(ISNUMBER(G839)=FALSE, H839=""),"Invalid - Could Not Parse", IF(AND(ISNUMBER(G839)=FALSE, H839&lt;&gt;""),"Text - Converted to Date", IF(ISNUMBER(G839),"Valid","Check"))))</f>
        <v>Text - Converted to Date</v>
      </c>
      <c r="J839" s="9" t="str">
        <f>IF(OR(C839="", H839=""), "Cannot Check - Date Missing", IF(H839&lt;C839, "Invalid - Ship Before Order", "Valid"))</f>
        <v>Valid</v>
      </c>
      <c r="K839" s="5">
        <f>IF(OR(C839="", H839=""), "", IF(H839&lt;C839, "", H839-C839))</f>
        <v>3</v>
      </c>
      <c r="L839" s="3" t="s">
        <v>1828</v>
      </c>
      <c r="M839" s="3" t="s">
        <v>162</v>
      </c>
      <c r="N839" s="4" t="str">
        <f>TRIM(SUBSTITUTE(M839,"_"," "))</f>
        <v>Aarav Sharma</v>
      </c>
      <c r="O839" s="3" t="s">
        <v>41</v>
      </c>
      <c r="P839" s="6" t="str">
        <f>PROPER(TRIM(SUBSTITUTE(O839,".","")))</f>
        <v>Small Business</v>
      </c>
      <c r="Q839" s="3" t="s">
        <v>62</v>
      </c>
      <c r="R839" s="7" t="str">
        <f>PROPER(TRIM(SUBSTITUTE(Q839,"  "," ")))</f>
        <v>South</v>
      </c>
      <c r="S839" s="3" t="s">
        <v>100</v>
      </c>
      <c r="T839" s="6" t="str">
        <f>PROPER(TRIM(SUBSTITUTE(S839,"  "," ")))</f>
        <v>Andhra Pradesh</v>
      </c>
      <c r="U839" s="3" t="s">
        <v>101</v>
      </c>
      <c r="V839" s="6" t="str">
        <f>PROPER(TRIM(SUBSTITUTE(U839,"  "," ")))</f>
        <v>Vijayawada</v>
      </c>
      <c r="W839" s="3" t="s">
        <v>45</v>
      </c>
      <c r="X839" s="6" t="str">
        <f>PROPER(TRIM(SUBSTITUTE(W839,"  "," ")))</f>
        <v>Furniture</v>
      </c>
      <c r="Y839" s="3" t="s">
        <v>76</v>
      </c>
      <c r="Z839" s="6" t="str">
        <f>PROPER(TRIM(SUBSTITUTE(Y839,"  "," ")))</f>
        <v>Chairs</v>
      </c>
      <c r="AA839" s="3" t="s">
        <v>1829</v>
      </c>
      <c r="AB839" s="3" t="s">
        <v>33</v>
      </c>
      <c r="AC839" s="6" t="str">
        <f>PROPER(TRIM(SUBSTITUTE(AB839,"  "," ")))</f>
        <v>Second Class</v>
      </c>
      <c r="AD839" s="3">
        <v>5</v>
      </c>
      <c r="AE839" s="3">
        <v>1239.1500000000001</v>
      </c>
      <c r="AF839" s="3">
        <v>0</v>
      </c>
      <c r="AG839" s="17">
        <v>0</v>
      </c>
      <c r="AH839" s="6" t="str">
        <f t="shared" si="108"/>
        <v>Valid</v>
      </c>
      <c r="AI839" s="3">
        <v>6195.75</v>
      </c>
      <c r="AJ839" s="3">
        <v>3967.02</v>
      </c>
      <c r="AK839" s="3">
        <v>2228.73</v>
      </c>
      <c r="AL839" s="3" t="s">
        <v>34</v>
      </c>
      <c r="AM839" s="6" t="str">
        <f>PROPER(TRIM(SUBSTITUTE(AL839,".","")))</f>
        <v>Paid</v>
      </c>
      <c r="AN839" s="3" t="s">
        <v>35</v>
      </c>
      <c r="AO839" s="8" t="str">
        <f>PROPER(TRIM(SUBSTITUTE(AN839,".","")))</f>
        <v>Completed</v>
      </c>
      <c r="AP839" t="str">
        <f>IF(COUNTIF($A$2:$A$933, A839) &gt; 1, "Duplicate ID", "Unique")</f>
        <v>Unique</v>
      </c>
      <c r="AR839">
        <f t="shared" si="109"/>
        <v>6195.75</v>
      </c>
      <c r="AS839">
        <f t="shared" si="110"/>
        <v>2228.73</v>
      </c>
      <c r="AT839" s="15">
        <f t="shared" si="111"/>
        <v>0.35971916232901585</v>
      </c>
      <c r="AU839" t="str">
        <f t="shared" si="112"/>
        <v>Clean</v>
      </c>
      <c r="AV839" s="8" t="str">
        <f t="shared" si="113"/>
        <v>Active</v>
      </c>
    </row>
    <row r="840" spans="1:48">
      <c r="A840" s="3" t="s">
        <v>1850</v>
      </c>
      <c r="B840" s="3" t="s">
        <v>1851</v>
      </c>
      <c r="C840" s="10">
        <f>IFERROR(DATEVALUE(MID(B840,4,2) &amp; "/" &amp; LEFT(B840,2) &amp; "/" &amp; RIGHT(B840,4)), IF(ISNUMBER(B840), B840, IFERROR(DATEVALUE(B840), "")))</f>
        <v>45519</v>
      </c>
      <c r="D840" s="9" t="str">
        <f>IF(B840="","Missing", IF(AND(ISNUMBER(B840)=FALSE, C840=""),"Invalid - Could Not Parse", IF(AND(ISNUMBER(B840)=FALSE, C840&lt;&gt;""),"Text - Converted to Date", IF(ISNUMBER(B840),"Valid","Check"))))</f>
        <v>Text - Converted to Date</v>
      </c>
      <c r="E840" s="5">
        <f t="shared" si="106"/>
        <v>8</v>
      </c>
      <c r="F840" s="5">
        <f t="shared" si="107"/>
        <v>2024</v>
      </c>
      <c r="G840" s="3" t="s">
        <v>1626</v>
      </c>
      <c r="H840" s="9">
        <f>IFERROR(DATEVALUE(TEXT(G840,"DD/MM/YYYY")), IF(ISNUMBER(G840), G840, ""))</f>
        <v>45525</v>
      </c>
      <c r="I840" s="9" t="str">
        <f>IF(G840="","Missing", IF(AND(ISNUMBER(G840)=FALSE, H840=""),"Invalid - Could Not Parse", IF(AND(ISNUMBER(G840)=FALSE, H840&lt;&gt;""),"Text - Converted to Date", IF(ISNUMBER(G840),"Valid","Check"))))</f>
        <v>Text - Converted to Date</v>
      </c>
      <c r="J840" s="9" t="str">
        <f>IF(OR(C840="", H840=""), "Cannot Check - Date Missing", IF(H840&lt;C840, "Invalid - Ship Before Order", "Valid"))</f>
        <v>Valid</v>
      </c>
      <c r="K840" s="5">
        <f>IF(OR(C840="", H840=""), "", IF(H840&lt;C840, "", H840-C840))</f>
        <v>6</v>
      </c>
      <c r="L840" s="3" t="s">
        <v>1852</v>
      </c>
      <c r="M840" s="3" t="s">
        <v>72</v>
      </c>
      <c r="N840" s="4" t="str">
        <f>TRIM(SUBSTITUTE(M840,"_"," "))</f>
        <v>Ananya Rao</v>
      </c>
      <c r="O840" s="3" t="s">
        <v>41</v>
      </c>
      <c r="P840" s="6" t="str">
        <f>PROPER(TRIM(SUBSTITUTE(O840,".","")))</f>
        <v>Small Business</v>
      </c>
      <c r="Q840" s="3" t="s">
        <v>73</v>
      </c>
      <c r="R840" s="7" t="str">
        <f>PROPER(TRIM(SUBSTITUTE(Q840,"  "," ")))</f>
        <v>West</v>
      </c>
      <c r="S840" s="3" t="s">
        <v>28</v>
      </c>
      <c r="T840" s="6" t="str">
        <f>PROPER(TRIM(SUBSTITUTE(S840,"  "," ")))</f>
        <v>Rajasthan</v>
      </c>
      <c r="U840" s="3" t="s">
        <v>135</v>
      </c>
      <c r="V840" s="6" t="str">
        <f>PROPER(TRIM(SUBSTITUTE(U840,"  "," ")))</f>
        <v>Udaipur</v>
      </c>
      <c r="W840" s="3" t="s">
        <v>86</v>
      </c>
      <c r="X840" s="6" t="str">
        <f>PROPER(TRIM(SUBSTITUTE(W840,"  "," ")))</f>
        <v>Technology</v>
      </c>
      <c r="Y840" s="3" t="s">
        <v>94</v>
      </c>
      <c r="Z840" s="6" t="str">
        <f>PROPER(TRIM(SUBSTITUTE(Y840,"  "," ")))</f>
        <v>Copiers</v>
      </c>
      <c r="AA840" s="3" t="s">
        <v>1853</v>
      </c>
      <c r="AB840" s="3" t="s">
        <v>56</v>
      </c>
      <c r="AC840" s="6" t="str">
        <f>PROPER(TRIM(SUBSTITUTE(AB840,"  "," ")))</f>
        <v>First Class</v>
      </c>
      <c r="AD840" s="3">
        <v>7</v>
      </c>
      <c r="AE840" s="3">
        <v>2333.81</v>
      </c>
      <c r="AF840" s="3">
        <v>0.2</v>
      </c>
      <c r="AG840" s="17">
        <v>0.2</v>
      </c>
      <c r="AH840" s="6" t="str">
        <f t="shared" si="108"/>
        <v>Valid</v>
      </c>
      <c r="AI840" s="3">
        <v>13069.34</v>
      </c>
      <c r="AJ840" s="3">
        <v>8768.59</v>
      </c>
      <c r="AK840" s="3">
        <v>4300.75</v>
      </c>
      <c r="AL840" s="3" t="s">
        <v>34</v>
      </c>
      <c r="AM840" s="6" t="str">
        <f>PROPER(TRIM(SUBSTITUTE(AL840,".","")))</f>
        <v>Paid</v>
      </c>
      <c r="AN840" s="3" t="s">
        <v>35</v>
      </c>
      <c r="AO840" s="8" t="str">
        <f>PROPER(TRIM(SUBSTITUTE(AN840,".","")))</f>
        <v>Completed</v>
      </c>
      <c r="AP840" t="str">
        <f>IF(COUNTIF($A$2:$A$933, A840) &gt; 1, "Duplicate ID", "Unique")</f>
        <v>Unique</v>
      </c>
      <c r="AR840">
        <f t="shared" si="109"/>
        <v>13069.336000000001</v>
      </c>
      <c r="AS840">
        <f t="shared" si="110"/>
        <v>4300.746000000001</v>
      </c>
      <c r="AT840" s="15">
        <f t="shared" si="111"/>
        <v>0.32907149988339124</v>
      </c>
      <c r="AU840" t="str">
        <f t="shared" si="112"/>
        <v>Clean</v>
      </c>
      <c r="AV840" s="8" t="str">
        <f t="shared" si="113"/>
        <v>Active</v>
      </c>
    </row>
    <row r="841" spans="1:48">
      <c r="A841" s="3" t="s">
        <v>1888</v>
      </c>
      <c r="B841" s="3" t="s">
        <v>1889</v>
      </c>
      <c r="C841" s="10">
        <f>IFERROR(DATEVALUE(MID(B841,4,2) &amp; "/" &amp; LEFT(B841,2) &amp; "/" &amp; RIGHT(B841,4)), IF(ISNUMBER(B841), B841, IFERROR(DATEVALUE(B841), "")))</f>
        <v>45554</v>
      </c>
      <c r="D841" s="9" t="str">
        <f>IF(B841="","Missing", IF(AND(ISNUMBER(B841)=FALSE, C841=""),"Invalid - Could Not Parse", IF(AND(ISNUMBER(B841)=FALSE, C841&lt;&gt;""),"Text - Converted to Date", IF(ISNUMBER(B841),"Valid","Check"))))</f>
        <v>Text - Converted to Date</v>
      </c>
      <c r="E841" s="5">
        <f t="shared" si="106"/>
        <v>9</v>
      </c>
      <c r="F841" s="5">
        <f t="shared" si="107"/>
        <v>2024</v>
      </c>
      <c r="G841" s="3" t="s">
        <v>1890</v>
      </c>
      <c r="H841" s="9">
        <f>IFERROR(DATEVALUE(TEXT(G841,"DD/MM/YYYY")), IF(ISNUMBER(G841), G841, ""))</f>
        <v>45558</v>
      </c>
      <c r="I841" s="9" t="str">
        <f>IF(G841="","Missing", IF(AND(ISNUMBER(G841)=FALSE, H841=""),"Invalid - Could Not Parse", IF(AND(ISNUMBER(G841)=FALSE, H841&lt;&gt;""),"Text - Converted to Date", IF(ISNUMBER(G841),"Valid","Check"))))</f>
        <v>Text - Converted to Date</v>
      </c>
      <c r="J841" s="9" t="str">
        <f>IF(OR(C841="", H841=""), "Cannot Check - Date Missing", IF(H841&lt;C841, "Invalid - Ship Before Order", "Valid"))</f>
        <v>Valid</v>
      </c>
      <c r="K841" s="5">
        <f>IF(OR(C841="", H841=""), "", IF(H841&lt;C841, "", H841-C841))</f>
        <v>4</v>
      </c>
      <c r="L841" s="3" t="s">
        <v>1891</v>
      </c>
      <c r="M841" s="3" t="s">
        <v>40</v>
      </c>
      <c r="N841" s="4" t="str">
        <f>TRIM(SUBSTITUTE(M841,"_"," "))</f>
        <v>Mira Das</v>
      </c>
      <c r="O841" s="3" t="s">
        <v>41</v>
      </c>
      <c r="P841" s="6" t="str">
        <f>PROPER(TRIM(SUBSTITUTE(O841,".","")))</f>
        <v>Small Business</v>
      </c>
      <c r="Q841" s="3" t="s">
        <v>62</v>
      </c>
      <c r="R841" s="7" t="str">
        <f>PROPER(TRIM(SUBSTITUTE(Q841,"  "," ")))</f>
        <v>South</v>
      </c>
      <c r="S841" s="3" t="s">
        <v>242</v>
      </c>
      <c r="T841" s="6" t="str">
        <f>PROPER(TRIM(SUBSTITUTE(S841,"  "," ")))</f>
        <v>Kerala</v>
      </c>
      <c r="U841" s="3" t="s">
        <v>243</v>
      </c>
      <c r="V841" s="6" t="str">
        <f>PROPER(TRIM(SUBSTITUTE(U841,"  "," ")))</f>
        <v>Kochi</v>
      </c>
      <c r="W841" s="3" t="s">
        <v>30</v>
      </c>
      <c r="X841" s="6" t="str">
        <f>PROPER(TRIM(SUBSTITUTE(W841,"  "," ")))</f>
        <v>Office Supplies</v>
      </c>
      <c r="Y841" s="3" t="s">
        <v>31</v>
      </c>
      <c r="Z841" s="6" t="str">
        <f>PROPER(TRIM(SUBSTITUTE(Y841,"  "," ")))</f>
        <v>Paper</v>
      </c>
      <c r="AA841" s="3" t="s">
        <v>1892</v>
      </c>
      <c r="AB841" s="3" t="s">
        <v>67</v>
      </c>
      <c r="AC841" s="6" t="str">
        <f>PROPER(TRIM(SUBSTITUTE(AB841,"  "," ")))</f>
        <v>Standard Class</v>
      </c>
      <c r="AD841" s="3">
        <v>7</v>
      </c>
      <c r="AE841" s="3">
        <v>1136.68</v>
      </c>
      <c r="AF841" s="3"/>
      <c r="AG841" s="18">
        <f>IF(ISBLANK(AF841), 0, AF841)</f>
        <v>0</v>
      </c>
      <c r="AH841" s="6" t="str">
        <f t="shared" si="108"/>
        <v>Missing</v>
      </c>
      <c r="AI841" s="3">
        <v>7956.76</v>
      </c>
      <c r="AJ841" s="3">
        <v>4799.54</v>
      </c>
      <c r="AK841" s="3">
        <v>3157.22</v>
      </c>
      <c r="AL841" s="3" t="s">
        <v>34</v>
      </c>
      <c r="AM841" s="6" t="str">
        <f>PROPER(TRIM(SUBSTITUTE(AL841,".","")))</f>
        <v>Paid</v>
      </c>
      <c r="AN841" s="3" t="s">
        <v>35</v>
      </c>
      <c r="AO841" s="8" t="str">
        <f>PROPER(TRIM(SUBSTITUTE(AN841,".","")))</f>
        <v>Completed</v>
      </c>
      <c r="AP841" t="str">
        <f>IF(COUNTIF($A$2:$A$933, A841) &gt; 1, "Duplicate ID", "Unique")</f>
        <v>Unique</v>
      </c>
      <c r="AR841">
        <f t="shared" si="109"/>
        <v>7956.76</v>
      </c>
      <c r="AS841">
        <f t="shared" si="110"/>
        <v>3157.2200000000003</v>
      </c>
      <c r="AT841" s="15">
        <f t="shared" si="111"/>
        <v>0.39679718880549369</v>
      </c>
      <c r="AU841" t="str">
        <f t="shared" si="112"/>
        <v>Warning</v>
      </c>
      <c r="AV841" s="8" t="str">
        <f t="shared" si="113"/>
        <v>Active</v>
      </c>
    </row>
    <row r="842" spans="1:48">
      <c r="A842" s="3" t="s">
        <v>1943</v>
      </c>
      <c r="B842" s="3" t="s">
        <v>1944</v>
      </c>
      <c r="C842" s="10">
        <f>IFERROR(DATEVALUE(MID(B842,4,2) &amp; "/" &amp; LEFT(B842,2) &amp; "/" &amp; RIGHT(B842,4)), IF(ISNUMBER(B842), B842, IFERROR(DATEVALUE(B842), "")))</f>
        <v>45341</v>
      </c>
      <c r="D842" s="9" t="str">
        <f>IF(B842="","Missing", IF(AND(ISNUMBER(B842)=FALSE, C842=""),"Invalid - Could Not Parse", IF(AND(ISNUMBER(B842)=FALSE, C842&lt;&gt;""),"Text - Converted to Date", IF(ISNUMBER(B842),"Valid","Check"))))</f>
        <v>Text - Converted to Date</v>
      </c>
      <c r="E842" s="5">
        <f t="shared" si="106"/>
        <v>2</v>
      </c>
      <c r="F842" s="5">
        <f t="shared" si="107"/>
        <v>2024</v>
      </c>
      <c r="G842" s="3" t="s">
        <v>1945</v>
      </c>
      <c r="H842" s="9">
        <f>IFERROR(DATEVALUE(TEXT(G842,"DD/MM/YYYY")), IF(ISNUMBER(G842), G842, ""))</f>
        <v>45344</v>
      </c>
      <c r="I842" s="9" t="str">
        <f>IF(G842="","Missing", IF(AND(ISNUMBER(G842)=FALSE, H842=""),"Invalid - Could Not Parse", IF(AND(ISNUMBER(G842)=FALSE, H842&lt;&gt;""),"Text - Converted to Date", IF(ISNUMBER(G842),"Valid","Check"))))</f>
        <v>Text - Converted to Date</v>
      </c>
      <c r="J842" s="9" t="str">
        <f>IF(OR(C842="", H842=""), "Cannot Check - Date Missing", IF(H842&lt;C842, "Invalid - Ship Before Order", "Valid"))</f>
        <v>Valid</v>
      </c>
      <c r="K842" s="5">
        <f>IF(OR(C842="", H842=""), "", IF(H842&lt;C842, "", H842-C842))</f>
        <v>3</v>
      </c>
      <c r="L842" s="3" t="s">
        <v>1946</v>
      </c>
      <c r="M842" s="3" t="s">
        <v>107</v>
      </c>
      <c r="N842" s="4" t="str">
        <f>TRIM(SUBSTITUTE(M842,"_"," "))</f>
        <v>Aditi Sen</v>
      </c>
      <c r="O842" s="3" t="s">
        <v>41</v>
      </c>
      <c r="P842" s="6" t="str">
        <f>PROPER(TRIM(SUBSTITUTE(O842,".","")))</f>
        <v>Small Business</v>
      </c>
      <c r="Q842" s="3" t="s">
        <v>62</v>
      </c>
      <c r="R842" s="7" t="str">
        <f>PROPER(TRIM(SUBSTITUTE(Q842,"  "," ")))</f>
        <v>South</v>
      </c>
      <c r="S842" s="3" t="s">
        <v>242</v>
      </c>
      <c r="T842" s="6" t="str">
        <f>PROPER(TRIM(SUBSTITUTE(S842,"  "," ")))</f>
        <v>Kerala</v>
      </c>
      <c r="U842" s="3" t="s">
        <v>243</v>
      </c>
      <c r="V842" s="6" t="str">
        <f>PROPER(TRIM(SUBSTITUTE(U842,"  "," ")))</f>
        <v>Kochi</v>
      </c>
      <c r="W842" s="3" t="s">
        <v>45</v>
      </c>
      <c r="X842" s="6" t="str">
        <f>PROPER(TRIM(SUBSTITUTE(W842,"  "," ")))</f>
        <v>Furniture</v>
      </c>
      <c r="Y842" s="3" t="s">
        <v>65</v>
      </c>
      <c r="Z842" s="6" t="str">
        <f>PROPER(TRIM(SUBSTITUTE(Y842,"  "," ")))</f>
        <v>Furnishings</v>
      </c>
      <c r="AA842" s="3" t="s">
        <v>1947</v>
      </c>
      <c r="AB842" s="3" t="s">
        <v>48</v>
      </c>
      <c r="AC842" s="6" t="str">
        <f>PROPER(TRIM(SUBSTITUTE(AB842,"  "," ")))</f>
        <v>Same Day</v>
      </c>
      <c r="AD842" s="3">
        <v>9</v>
      </c>
      <c r="AE842" s="3">
        <v>4053.01</v>
      </c>
      <c r="AF842" s="3">
        <v>0</v>
      </c>
      <c r="AG842" s="17">
        <v>0</v>
      </c>
      <c r="AH842" s="6" t="str">
        <f t="shared" si="108"/>
        <v>Valid</v>
      </c>
      <c r="AI842" s="3">
        <v>36477.089999999997</v>
      </c>
      <c r="AJ842" s="3">
        <v>24525.48</v>
      </c>
      <c r="AK842" s="3">
        <v>11951.61</v>
      </c>
      <c r="AL842" s="3" t="s">
        <v>34</v>
      </c>
      <c r="AM842" s="6" t="str">
        <f>PROPER(TRIM(SUBSTITUTE(AL842,".","")))</f>
        <v>Paid</v>
      </c>
      <c r="AN842" s="3" t="s">
        <v>35</v>
      </c>
      <c r="AO842" s="8" t="str">
        <f>PROPER(TRIM(SUBSTITUTE(AN842,".","")))</f>
        <v>Completed</v>
      </c>
      <c r="AP842" t="str">
        <f>IF(COUNTIF($A$2:$A$933, A842) &gt; 1, "Duplicate ID", "Unique")</f>
        <v>Unique</v>
      </c>
      <c r="AR842">
        <f t="shared" si="109"/>
        <v>36477.090000000004</v>
      </c>
      <c r="AS842">
        <f t="shared" si="110"/>
        <v>11951.610000000004</v>
      </c>
      <c r="AT842" s="15">
        <f t="shared" si="111"/>
        <v>0.32764702447481425</v>
      </c>
      <c r="AU842" t="str">
        <f t="shared" si="112"/>
        <v>Clean</v>
      </c>
      <c r="AV842" s="8" t="str">
        <f t="shared" si="113"/>
        <v>Active</v>
      </c>
    </row>
    <row r="843" spans="1:48">
      <c r="A843" s="3" t="s">
        <v>1996</v>
      </c>
      <c r="B843" s="3" t="s">
        <v>1997</v>
      </c>
      <c r="C843" s="10">
        <f>IFERROR(DATEVALUE(MID(B843,4,2) &amp; "/" &amp; LEFT(B843,2) &amp; "/" &amp; RIGHT(B843,4)), IF(ISNUMBER(B843), B843, IFERROR(DATEVALUE(B843), "")))</f>
        <v>45565</v>
      </c>
      <c r="D843" s="9" t="str">
        <f>IF(B843="","Missing", IF(AND(ISNUMBER(B843)=FALSE, C843=""),"Invalid - Could Not Parse", IF(AND(ISNUMBER(B843)=FALSE, C843&lt;&gt;""),"Text - Converted to Date", IF(ISNUMBER(B843),"Valid","Check"))))</f>
        <v>Text - Converted to Date</v>
      </c>
      <c r="E843" s="5">
        <f t="shared" si="106"/>
        <v>9</v>
      </c>
      <c r="F843" s="5">
        <f t="shared" si="107"/>
        <v>2024</v>
      </c>
      <c r="G843" s="3" t="s">
        <v>1998</v>
      </c>
      <c r="H843" s="9">
        <f>IFERROR(DATEVALUE(TEXT(G843,"DD/MM/YYYY")), IF(ISNUMBER(G843), G843, ""))</f>
        <v>45569</v>
      </c>
      <c r="I843" s="9" t="str">
        <f>IF(G843="","Missing", IF(AND(ISNUMBER(G843)=FALSE, H843=""),"Invalid - Could Not Parse", IF(AND(ISNUMBER(G843)=FALSE, H843&lt;&gt;""),"Text - Converted to Date", IF(ISNUMBER(G843),"Valid","Check"))))</f>
        <v>Text - Converted to Date</v>
      </c>
      <c r="J843" s="9" t="str">
        <f>IF(OR(C843="", H843=""), "Cannot Check - Date Missing", IF(H843&lt;C843, "Invalid - Ship Before Order", "Valid"))</f>
        <v>Valid</v>
      </c>
      <c r="K843" s="5">
        <f>IF(OR(C843="", H843=""), "", IF(H843&lt;C843, "", H843-C843))</f>
        <v>4</v>
      </c>
      <c r="L843" s="3" t="s">
        <v>1999</v>
      </c>
      <c r="M843" s="3" t="s">
        <v>61</v>
      </c>
      <c r="N843" s="4" t="str">
        <f>TRIM(SUBSTITUTE(M843,"_"," "))</f>
        <v>Arjun Bose</v>
      </c>
      <c r="O843" s="3" t="s">
        <v>41</v>
      </c>
      <c r="P843" s="6" t="str">
        <f>PROPER(TRIM(SUBSTITUTE(O843,".","")))</f>
        <v>Small Business</v>
      </c>
      <c r="Q843" s="3" t="s">
        <v>62</v>
      </c>
      <c r="R843" s="7" t="str">
        <f>PROPER(TRIM(SUBSTITUTE(Q843,"  "," ")))</f>
        <v>South</v>
      </c>
      <c r="S843" s="3" t="s">
        <v>242</v>
      </c>
      <c r="T843" s="6" t="str">
        <f>PROPER(TRIM(SUBSTITUTE(S843,"  "," ")))</f>
        <v>Kerala</v>
      </c>
      <c r="U843" s="3" t="s">
        <v>243</v>
      </c>
      <c r="V843" s="6" t="str">
        <f>PROPER(TRIM(SUBSTITUTE(U843,"  "," ")))</f>
        <v>Kochi</v>
      </c>
      <c r="W843" s="3" t="s">
        <v>30</v>
      </c>
      <c r="X843" s="6" t="str">
        <f>PROPER(TRIM(SUBSTITUTE(W843,"  "," ")))</f>
        <v>Office Supplies</v>
      </c>
      <c r="Y843" s="3" t="s">
        <v>2000</v>
      </c>
      <c r="Z843" s="6" t="str">
        <f>PROPER(TRIM(SUBSTITUTE(Y843,"  "," ")))</f>
        <v>Paper</v>
      </c>
      <c r="AA843" s="3" t="s">
        <v>2001</v>
      </c>
      <c r="AB843" s="3" t="s">
        <v>48</v>
      </c>
      <c r="AC843" s="6" t="str">
        <f>PROPER(TRIM(SUBSTITUTE(AB843,"  "," ")))</f>
        <v>Same Day</v>
      </c>
      <c r="AD843" s="3">
        <v>5</v>
      </c>
      <c r="AE843" s="3">
        <v>3512.25</v>
      </c>
      <c r="AF843" s="3">
        <v>0.05</v>
      </c>
      <c r="AG843" s="17">
        <v>0.05</v>
      </c>
      <c r="AH843" s="6" t="str">
        <f t="shared" si="108"/>
        <v>Valid</v>
      </c>
      <c r="AI843" s="3">
        <v>16683.189999999999</v>
      </c>
      <c r="AJ843" s="3">
        <v>10301.16</v>
      </c>
      <c r="AK843" s="3">
        <v>6382.03</v>
      </c>
      <c r="AL843" s="3" t="s">
        <v>34</v>
      </c>
      <c r="AM843" s="6" t="str">
        <f>PROPER(TRIM(SUBSTITUTE(AL843,".","")))</f>
        <v>Paid</v>
      </c>
      <c r="AN843" s="3" t="s">
        <v>125</v>
      </c>
      <c r="AO843" s="8" t="str">
        <f>PROPER(TRIM(SUBSTITUTE(AN843,".","")))</f>
        <v>Returned</v>
      </c>
      <c r="AP843" t="str">
        <f>IF(COUNTIF($A$2:$A$933, A843) &gt; 1, "Duplicate ID", "Unique")</f>
        <v>Unique</v>
      </c>
      <c r="AR843">
        <f t="shared" si="109"/>
        <v>16683.1875</v>
      </c>
      <c r="AS843">
        <f t="shared" si="110"/>
        <v>6382.0275000000001</v>
      </c>
      <c r="AT843" s="15">
        <f t="shared" si="111"/>
        <v>0.38254245479168775</v>
      </c>
      <c r="AU843" t="str">
        <f t="shared" si="112"/>
        <v>Clean</v>
      </c>
      <c r="AV843" s="8" t="str">
        <f t="shared" si="113"/>
        <v>Active</v>
      </c>
    </row>
    <row r="844" spans="1:48">
      <c r="A844" s="3" t="s">
        <v>2007</v>
      </c>
      <c r="B844" s="3" t="s">
        <v>2008</v>
      </c>
      <c r="C844" s="10">
        <f>IFERROR(DATEVALUE(MID(B844,4,2) &amp; "/" &amp; LEFT(B844,2) &amp; "/" &amp; RIGHT(B844,4)), IF(ISNUMBER(B844), B844, IFERROR(DATEVALUE(B844), "")))</f>
        <v>45558</v>
      </c>
      <c r="D844" s="9" t="str">
        <f>IF(B844="","Missing", IF(AND(ISNUMBER(B844)=FALSE, C844=""),"Invalid - Could Not Parse", IF(AND(ISNUMBER(B844)=FALSE, C844&lt;&gt;""),"Text - Converted to Date", IF(ISNUMBER(B844),"Valid","Check"))))</f>
        <v>Text - Converted to Date</v>
      </c>
      <c r="E844" s="5">
        <f t="shared" si="106"/>
        <v>9</v>
      </c>
      <c r="F844" s="5">
        <f t="shared" si="107"/>
        <v>2024</v>
      </c>
      <c r="G844" s="3" t="s">
        <v>2009</v>
      </c>
      <c r="H844" s="9">
        <f>IFERROR(DATEVALUE(TEXT(G844,"DD/MM/YYYY")), IF(ISNUMBER(G844), G844, ""))</f>
        <v>45559</v>
      </c>
      <c r="I844" s="9" t="str">
        <f>IF(G844="","Missing", IF(AND(ISNUMBER(G844)=FALSE, H844=""),"Invalid - Could Not Parse", IF(AND(ISNUMBER(G844)=FALSE, H844&lt;&gt;""),"Text - Converted to Date", IF(ISNUMBER(G844),"Valid","Check"))))</f>
        <v>Text - Converted to Date</v>
      </c>
      <c r="J844" s="9" t="str">
        <f>IF(OR(C844="", H844=""), "Cannot Check - Date Missing", IF(H844&lt;C844, "Invalid - Ship Before Order", "Valid"))</f>
        <v>Valid</v>
      </c>
      <c r="K844" s="5">
        <f>IF(OR(C844="", H844=""), "", IF(H844&lt;C844, "", H844-C844))</f>
        <v>1</v>
      </c>
      <c r="L844" s="3" t="s">
        <v>2010</v>
      </c>
      <c r="M844" s="3" t="s">
        <v>107</v>
      </c>
      <c r="N844" s="4" t="str">
        <f>TRIM(SUBSTITUTE(M844,"_"," "))</f>
        <v>Aditi Sen</v>
      </c>
      <c r="O844" s="3" t="s">
        <v>115</v>
      </c>
      <c r="P844" s="6" t="str">
        <f>PROPER(TRIM(SUBSTITUTE(O844,".","")))</f>
        <v>Home Office</v>
      </c>
      <c r="Q844" s="3" t="s">
        <v>73</v>
      </c>
      <c r="R844" s="7" t="str">
        <f>PROPER(TRIM(SUBSTITUTE(Q844,"  "," ")))</f>
        <v>West</v>
      </c>
      <c r="S844" s="3" t="s">
        <v>235</v>
      </c>
      <c r="T844" s="6" t="str">
        <f>PROPER(TRIM(SUBSTITUTE(S844,"  "," ")))</f>
        <v>Gujarat</v>
      </c>
      <c r="U844" s="3" t="s">
        <v>236</v>
      </c>
      <c r="V844" s="6" t="str">
        <f>PROPER(TRIM(SUBSTITUTE(U844,"  "," ")))</f>
        <v>Ahmedabad</v>
      </c>
      <c r="W844" s="3" t="s">
        <v>45</v>
      </c>
      <c r="X844" s="6" t="str">
        <f>PROPER(TRIM(SUBSTITUTE(W844,"  "," ")))</f>
        <v>Furniture</v>
      </c>
      <c r="Y844" s="3" t="s">
        <v>204</v>
      </c>
      <c r="Z844" s="6" t="str">
        <f>PROPER(TRIM(SUBSTITUTE(Y844,"  "," ")))</f>
        <v>Bookcases</v>
      </c>
      <c r="AA844" s="3" t="s">
        <v>2011</v>
      </c>
      <c r="AB844" s="3"/>
      <c r="AC844" s="11" t="str">
        <f>IF(ISBLANK(AB844), "Unknown", AB844)</f>
        <v>Unknown</v>
      </c>
      <c r="AD844" s="3">
        <v>7</v>
      </c>
      <c r="AE844" s="3">
        <v>3878.01</v>
      </c>
      <c r="AF844" s="3">
        <v>0.1</v>
      </c>
      <c r="AG844" s="17">
        <v>0.1</v>
      </c>
      <c r="AH844" s="6" t="str">
        <f t="shared" si="108"/>
        <v>Valid</v>
      </c>
      <c r="AI844" s="3">
        <v>24431.46</v>
      </c>
      <c r="AJ844" s="3">
        <v>18202.36</v>
      </c>
      <c r="AK844" s="3">
        <v>6229.1</v>
      </c>
      <c r="AL844" s="3" t="s">
        <v>34</v>
      </c>
      <c r="AM844" s="6" t="str">
        <f>PROPER(TRIM(SUBSTITUTE(AL844,".","")))</f>
        <v>Paid</v>
      </c>
      <c r="AN844" s="3" t="s">
        <v>35</v>
      </c>
      <c r="AO844" s="8" t="str">
        <f>PROPER(TRIM(SUBSTITUTE(AN844,".","")))</f>
        <v>Completed</v>
      </c>
      <c r="AP844" t="str">
        <f>IF(COUNTIF($A$2:$A$933, A844) &gt; 1, "Duplicate ID", "Unique")</f>
        <v>Unique</v>
      </c>
      <c r="AR844">
        <f t="shared" si="109"/>
        <v>24431.463</v>
      </c>
      <c r="AS844">
        <f t="shared" si="110"/>
        <v>6229.1029999999992</v>
      </c>
      <c r="AT844" s="15">
        <f t="shared" si="111"/>
        <v>0.25496234097810677</v>
      </c>
      <c r="AU844" t="str">
        <f t="shared" si="112"/>
        <v>Clean</v>
      </c>
      <c r="AV844" s="8" t="str">
        <f t="shared" si="113"/>
        <v>Active</v>
      </c>
    </row>
    <row r="845" spans="1:48">
      <c r="A845" s="3" t="s">
        <v>2050</v>
      </c>
      <c r="B845" s="3" t="s">
        <v>2051</v>
      </c>
      <c r="C845" s="10">
        <f>IFERROR(DATEVALUE(MID(B845,4,2) &amp; "/" &amp; LEFT(B845,2) &amp; "/" &amp; RIGHT(B845,4)), IF(ISNUMBER(B845), B845, IFERROR(DATEVALUE(B845), "")))</f>
        <v>45316</v>
      </c>
      <c r="D845" s="9" t="str">
        <f>IF(B845="","Missing", IF(AND(ISNUMBER(B845)=FALSE, C845=""),"Invalid - Could Not Parse", IF(AND(ISNUMBER(B845)=FALSE, C845&lt;&gt;""),"Text - Converted to Date", IF(ISNUMBER(B845),"Valid","Check"))))</f>
        <v>Text - Converted to Date</v>
      </c>
      <c r="E845" s="5">
        <f t="shared" si="106"/>
        <v>1</v>
      </c>
      <c r="F845" s="5">
        <f t="shared" si="107"/>
        <v>2024</v>
      </c>
      <c r="G845" s="3" t="s">
        <v>2003</v>
      </c>
      <c r="H845" s="9">
        <f>IFERROR(DATEVALUE(TEXT(G845,"DD/MM/YYYY")), IF(ISNUMBER(G845), G845, ""))</f>
        <v>45318</v>
      </c>
      <c r="I845" s="9" t="str">
        <f>IF(G845="","Missing", IF(AND(ISNUMBER(G845)=FALSE, H845=""),"Invalid - Could Not Parse", IF(AND(ISNUMBER(G845)=FALSE, H845&lt;&gt;""),"Text - Converted to Date", IF(ISNUMBER(G845),"Valid","Check"))))</f>
        <v>Text - Converted to Date</v>
      </c>
      <c r="J845" s="9" t="str">
        <f>IF(OR(C845="", H845=""), "Cannot Check - Date Missing", IF(H845&lt;C845, "Invalid - Ship Before Order", "Valid"))</f>
        <v>Valid</v>
      </c>
      <c r="K845" s="5">
        <f>IF(OR(C845="", H845=""), "", IF(H845&lt;C845, "", H845-C845))</f>
        <v>2</v>
      </c>
      <c r="L845" s="3" t="s">
        <v>2052</v>
      </c>
      <c r="M845" s="3" t="s">
        <v>162</v>
      </c>
      <c r="N845" s="4" t="str">
        <f>TRIM(SUBSTITUTE(M845,"_"," "))</f>
        <v>Aarav Sharma</v>
      </c>
      <c r="O845" s="3" t="s">
        <v>108</v>
      </c>
      <c r="P845" s="6" t="str">
        <f>PROPER(TRIM(SUBSTITUTE(O845,".","")))</f>
        <v>Corporate</v>
      </c>
      <c r="Q845" s="3" t="s">
        <v>62</v>
      </c>
      <c r="R845" s="7" t="str">
        <f>PROPER(TRIM(SUBSTITUTE(Q845,"  "," ")))</f>
        <v>South</v>
      </c>
      <c r="S845" s="3" t="s">
        <v>229</v>
      </c>
      <c r="T845" s="6" t="str">
        <f>PROPER(TRIM(SUBSTITUTE(S845,"  "," ")))</f>
        <v>Karnataka</v>
      </c>
      <c r="U845" s="3" t="s">
        <v>230</v>
      </c>
      <c r="V845" s="6" t="str">
        <f>PROPER(TRIM(SUBSTITUTE(U845,"  "," ")))</f>
        <v>Bengaluru</v>
      </c>
      <c r="W845" s="3" t="s">
        <v>30</v>
      </c>
      <c r="X845" s="6" t="str">
        <f>PROPER(TRIM(SUBSTITUTE(W845,"  "," ")))</f>
        <v>Office Supplies</v>
      </c>
      <c r="Y845" s="3" t="s">
        <v>156</v>
      </c>
      <c r="Z845" s="6" t="str">
        <f>PROPER(TRIM(SUBSTITUTE(Y845,"  "," ")))</f>
        <v>Storage</v>
      </c>
      <c r="AA845" s="3" t="s">
        <v>2053</v>
      </c>
      <c r="AB845" s="3" t="s">
        <v>48</v>
      </c>
      <c r="AC845" s="6" t="str">
        <f>PROPER(TRIM(SUBSTITUTE(AB845,"  "," ")))</f>
        <v>Same Day</v>
      </c>
      <c r="AD845" s="3">
        <v>7</v>
      </c>
      <c r="AE845" s="3">
        <v>1727.26</v>
      </c>
      <c r="AF845" s="3">
        <v>0.15</v>
      </c>
      <c r="AG845" s="17">
        <v>0.15</v>
      </c>
      <c r="AH845" s="6" t="str">
        <f t="shared" si="108"/>
        <v>Valid</v>
      </c>
      <c r="AI845" s="3">
        <v>10277.200000000001</v>
      </c>
      <c r="AJ845" s="3">
        <v>7906.5</v>
      </c>
      <c r="AK845" s="3">
        <v>2370.6999999999998</v>
      </c>
      <c r="AL845" s="3" t="s">
        <v>34</v>
      </c>
      <c r="AM845" s="6" t="str">
        <f>PROPER(TRIM(SUBSTITUTE(AL845,".","")))</f>
        <v>Paid</v>
      </c>
      <c r="AN845" s="3" t="s">
        <v>125</v>
      </c>
      <c r="AO845" s="8" t="str">
        <f>PROPER(TRIM(SUBSTITUTE(AN845,".","")))</f>
        <v>Returned</v>
      </c>
      <c r="AP845" t="str">
        <f>IF(COUNTIF($A$2:$A$933, A845) &gt; 1, "Duplicate ID", "Unique")</f>
        <v>Unique</v>
      </c>
      <c r="AR845">
        <f t="shared" si="109"/>
        <v>10277.197</v>
      </c>
      <c r="AS845">
        <f t="shared" si="110"/>
        <v>2370.6970000000001</v>
      </c>
      <c r="AT845" s="15">
        <f t="shared" si="111"/>
        <v>0.23067544584384245</v>
      </c>
      <c r="AU845" t="str">
        <f t="shared" si="112"/>
        <v>Warning</v>
      </c>
      <c r="AV845" s="8" t="str">
        <f t="shared" si="113"/>
        <v>Active</v>
      </c>
    </row>
    <row r="846" spans="1:48">
      <c r="A846" s="3" t="s">
        <v>2059</v>
      </c>
      <c r="B846" s="3" t="s">
        <v>1794</v>
      </c>
      <c r="C846" s="10">
        <f>IFERROR(DATEVALUE(MID(B846,4,2) &amp; "/" &amp; LEFT(B846,2) &amp; "/" &amp; RIGHT(B846,4)), IF(ISNUMBER(B846), B846, IFERROR(DATEVALUE(B846), "")))</f>
        <v>45686</v>
      </c>
      <c r="D846" s="9" t="str">
        <f>IF(B846="","Missing", IF(AND(ISNUMBER(B846)=FALSE, C846=""),"Invalid - Could Not Parse", IF(AND(ISNUMBER(B846)=FALSE, C846&lt;&gt;""),"Text - Converted to Date", IF(ISNUMBER(B846),"Valid","Check"))))</f>
        <v>Text - Converted to Date</v>
      </c>
      <c r="E846" s="5">
        <f t="shared" si="106"/>
        <v>1</v>
      </c>
      <c r="F846" s="5">
        <f t="shared" si="107"/>
        <v>2025</v>
      </c>
      <c r="G846" s="3" t="s">
        <v>2060</v>
      </c>
      <c r="H846" s="9">
        <f>IFERROR(DATEVALUE(TEXT(G846,"DD/MM/YYYY")), IF(ISNUMBER(G846), G846, ""))</f>
        <v>45779</v>
      </c>
      <c r="I846" s="9" t="str">
        <f>IF(G846="","Missing", IF(AND(ISNUMBER(G846)=FALSE, H846=""),"Invalid - Could Not Parse", IF(AND(ISNUMBER(G846)=FALSE, H846&lt;&gt;""),"Text - Converted to Date", IF(ISNUMBER(G846),"Valid","Check"))))</f>
        <v>Text - Converted to Date</v>
      </c>
      <c r="J846" s="9" t="str">
        <f>IF(OR(C846="", H846=""), "Cannot Check - Date Missing", IF(H846&lt;C846, "Invalid - Ship Before Order", "Valid"))</f>
        <v>Valid</v>
      </c>
      <c r="K846" s="5">
        <f>IF(OR(C846="", H846=""), "", IF(H846&lt;C846, "", H846-C846))</f>
        <v>93</v>
      </c>
      <c r="L846" s="3" t="s">
        <v>2061</v>
      </c>
      <c r="M846" s="3" t="s">
        <v>40</v>
      </c>
      <c r="N846" s="4" t="str">
        <f>TRIM(SUBSTITUTE(M846,"_"," "))</f>
        <v>Mira Das</v>
      </c>
      <c r="O846" s="3" t="s">
        <v>26</v>
      </c>
      <c r="P846" s="6" t="str">
        <f>PROPER(TRIM(SUBSTITUTE(O846,".","")))</f>
        <v>Consumer</v>
      </c>
      <c r="Q846" s="3" t="s">
        <v>73</v>
      </c>
      <c r="R846" s="7" t="str">
        <f>PROPER(TRIM(SUBSTITUTE(Q846,"  "," ")))</f>
        <v>West</v>
      </c>
      <c r="S846" s="3" t="s">
        <v>235</v>
      </c>
      <c r="T846" s="6" t="str">
        <f>PROPER(TRIM(SUBSTITUTE(S846,"  "," ")))</f>
        <v>Gujarat</v>
      </c>
      <c r="U846" s="3" t="s">
        <v>236</v>
      </c>
      <c r="V846" s="6" t="str">
        <f>PROPER(TRIM(SUBSTITUTE(U846,"  "," ")))</f>
        <v>Ahmedabad</v>
      </c>
      <c r="W846" s="3" t="s">
        <v>30</v>
      </c>
      <c r="X846" s="6" t="str">
        <f>PROPER(TRIM(SUBSTITUTE(W846,"  "," ")))</f>
        <v>Office Supplies</v>
      </c>
      <c r="Y846" s="3" t="s">
        <v>54</v>
      </c>
      <c r="Z846" s="6" t="str">
        <f>PROPER(TRIM(SUBSTITUTE(Y846,"  "," ")))</f>
        <v>Art</v>
      </c>
      <c r="AA846" s="3" t="s">
        <v>2062</v>
      </c>
      <c r="AB846" s="3" t="s">
        <v>56</v>
      </c>
      <c r="AC846" s="6" t="str">
        <f>PROPER(TRIM(SUBSTITUTE(AB846,"  "," ")))</f>
        <v>First Class</v>
      </c>
      <c r="AD846" s="3">
        <v>6</v>
      </c>
      <c r="AE846" s="3">
        <v>3863</v>
      </c>
      <c r="AF846" s="3">
        <v>0.2</v>
      </c>
      <c r="AG846" s="17">
        <v>0.2</v>
      </c>
      <c r="AH846" s="6" t="str">
        <f t="shared" si="108"/>
        <v>Valid</v>
      </c>
      <c r="AI846" s="3">
        <v>18542.400000000001</v>
      </c>
      <c r="AJ846" s="3">
        <v>11193.75</v>
      </c>
      <c r="AK846" s="3">
        <v>7348.65</v>
      </c>
      <c r="AL846" s="3" t="s">
        <v>34</v>
      </c>
      <c r="AM846" s="6" t="str">
        <f>PROPER(TRIM(SUBSTITUTE(AL846,".","")))</f>
        <v>Paid</v>
      </c>
      <c r="AN846" s="3" t="s">
        <v>35</v>
      </c>
      <c r="AO846" s="8" t="str">
        <f>PROPER(TRIM(SUBSTITUTE(AN846,".","")))</f>
        <v>Completed</v>
      </c>
      <c r="AP846" t="str">
        <f>IF(COUNTIF($A$2:$A$933, A846) &gt; 1, "Duplicate ID", "Unique")</f>
        <v>Unique</v>
      </c>
      <c r="AR846">
        <f t="shared" si="109"/>
        <v>18542.400000000001</v>
      </c>
      <c r="AS846">
        <f t="shared" si="110"/>
        <v>7348.6500000000015</v>
      </c>
      <c r="AT846" s="15">
        <f t="shared" si="111"/>
        <v>0.39631601087237905</v>
      </c>
      <c r="AU846" t="str">
        <f t="shared" si="112"/>
        <v>Clean</v>
      </c>
      <c r="AV846" s="8" t="str">
        <f t="shared" si="113"/>
        <v>Active</v>
      </c>
    </row>
    <row r="847" spans="1:48">
      <c r="A847" s="3" t="s">
        <v>2077</v>
      </c>
      <c r="B847" s="3" t="s">
        <v>2078</v>
      </c>
      <c r="C847" s="10">
        <f>IFERROR(DATEVALUE(MID(B847,4,2) &amp; "/" &amp; LEFT(B847,2) &amp; "/" &amp; RIGHT(B847,4)), IF(ISNUMBER(B847), B847, IFERROR(DATEVALUE(B847), "")))</f>
        <v>45822</v>
      </c>
      <c r="D847" s="9" t="str">
        <f>IF(B847="","Missing", IF(AND(ISNUMBER(B847)=FALSE, C847=""),"Invalid - Could Not Parse", IF(AND(ISNUMBER(B847)=FALSE, C847&lt;&gt;""),"Text - Converted to Date", IF(ISNUMBER(B847),"Valid","Check"))))</f>
        <v>Text - Converted to Date</v>
      </c>
      <c r="E847" s="5">
        <f t="shared" si="106"/>
        <v>6</v>
      </c>
      <c r="F847" s="5">
        <f t="shared" si="107"/>
        <v>2025</v>
      </c>
      <c r="G847" s="3" t="s">
        <v>2079</v>
      </c>
      <c r="H847" s="9">
        <f>IFERROR(DATEVALUE(TEXT(G847,"DD/MM/YYYY")), IF(ISNUMBER(G847), G847, ""))</f>
        <v>45827</v>
      </c>
      <c r="I847" s="9" t="str">
        <f>IF(G847="","Missing", IF(AND(ISNUMBER(G847)=FALSE, H847=""),"Invalid - Could Not Parse", IF(AND(ISNUMBER(G847)=FALSE, H847&lt;&gt;""),"Text - Converted to Date", IF(ISNUMBER(G847),"Valid","Check"))))</f>
        <v>Text - Converted to Date</v>
      </c>
      <c r="J847" s="9" t="str">
        <f>IF(OR(C847="", H847=""), "Cannot Check - Date Missing", IF(H847&lt;C847, "Invalid - Ship Before Order", "Valid"))</f>
        <v>Valid</v>
      </c>
      <c r="K847" s="5">
        <f>IF(OR(C847="", H847=""), "", IF(H847&lt;C847, "", H847-C847))</f>
        <v>5</v>
      </c>
      <c r="L847" s="3" t="s">
        <v>2080</v>
      </c>
      <c r="M847" s="3" t="s">
        <v>180</v>
      </c>
      <c r="N847" s="4" t="str">
        <f>TRIM(SUBSTITUTE(M847,"_"," "))</f>
        <v>Rohan Mehta</v>
      </c>
      <c r="O847" s="3" t="s">
        <v>41</v>
      </c>
      <c r="P847" s="6" t="str">
        <f>PROPER(TRIM(SUBSTITUTE(O847,".","")))</f>
        <v>Small Business</v>
      </c>
      <c r="Q847" s="3" t="s">
        <v>27</v>
      </c>
      <c r="R847" s="7" t="str">
        <f>PROPER(TRIM(SUBSTITUTE(Q847,"  "," ")))</f>
        <v>North</v>
      </c>
      <c r="S847" s="3" t="s">
        <v>506</v>
      </c>
      <c r="T847" s="6" t="str">
        <f>PROPER(TRIM(SUBSTITUTE(S847,"  "," ")))</f>
        <v>Delhi</v>
      </c>
      <c r="U847" s="3" t="s">
        <v>507</v>
      </c>
      <c r="V847" s="6" t="str">
        <f>PROPER(TRIM(SUBSTITUTE(U847,"  "," ")))</f>
        <v>New Delhi</v>
      </c>
      <c r="W847" s="3" t="s">
        <v>30</v>
      </c>
      <c r="X847" s="6" t="str">
        <f>PROPER(TRIM(SUBSTITUTE(W847,"  "," ")))</f>
        <v>Office Supplies</v>
      </c>
      <c r="Y847" s="3" t="s">
        <v>198</v>
      </c>
      <c r="Z847" s="6" t="str">
        <f>PROPER(TRIM(SUBSTITUTE(Y847,"  "," ")))</f>
        <v>Binders</v>
      </c>
      <c r="AA847" s="3" t="s">
        <v>2081</v>
      </c>
      <c r="AB847" s="3" t="s">
        <v>48</v>
      </c>
      <c r="AC847" s="6" t="str">
        <f>PROPER(TRIM(SUBSTITUTE(AB847,"  "," ")))</f>
        <v>Same Day</v>
      </c>
      <c r="AD847" s="3">
        <v>3</v>
      </c>
      <c r="AE847" s="3">
        <v>1037.45</v>
      </c>
      <c r="AF847" s="3">
        <v>0.2</v>
      </c>
      <c r="AG847" s="17">
        <v>0.2</v>
      </c>
      <c r="AH847" s="6" t="str">
        <f t="shared" si="108"/>
        <v>Valid</v>
      </c>
      <c r="AI847" s="3">
        <v>2489.88</v>
      </c>
      <c r="AJ847" s="3">
        <v>1707.52</v>
      </c>
      <c r="AK847" s="3">
        <v>782.36</v>
      </c>
      <c r="AL847" s="3" t="s">
        <v>137</v>
      </c>
      <c r="AM847" s="6" t="str">
        <f>PROPER(TRIM(SUBSTITUTE(AL847,".","")))</f>
        <v>Pending</v>
      </c>
      <c r="AN847" s="3" t="s">
        <v>125</v>
      </c>
      <c r="AO847" s="8" t="str">
        <f>PROPER(TRIM(SUBSTITUTE(AN847,".","")))</f>
        <v>Returned</v>
      </c>
      <c r="AP847" t="str">
        <f>IF(COUNTIF($A$2:$A$933, A847) &gt; 1, "Duplicate ID", "Unique")</f>
        <v>Unique</v>
      </c>
      <c r="AR847">
        <f t="shared" si="109"/>
        <v>2489.8800000000006</v>
      </c>
      <c r="AS847">
        <f t="shared" si="110"/>
        <v>782.36000000000058</v>
      </c>
      <c r="AT847" s="15">
        <f t="shared" si="111"/>
        <v>0.31421594615001541</v>
      </c>
      <c r="AU847" t="str">
        <f t="shared" si="112"/>
        <v>Clean</v>
      </c>
      <c r="AV847" s="8" t="str">
        <f t="shared" si="113"/>
        <v>Active</v>
      </c>
    </row>
    <row r="848" spans="1:48">
      <c r="A848" s="3" t="s">
        <v>2093</v>
      </c>
      <c r="B848" s="3" t="s">
        <v>2094</v>
      </c>
      <c r="C848" s="10">
        <f>IFERROR(DATEVALUE(MID(B848,4,2) &amp; "/" &amp; LEFT(B848,2) &amp; "/" &amp; RIGHT(B848,4)), IF(ISNUMBER(B848), B848, IFERROR(DATEVALUE(B848), "")))</f>
        <v>45469</v>
      </c>
      <c r="D848" s="9" t="str">
        <f>IF(B848="","Missing", IF(AND(ISNUMBER(B848)=FALSE, C848=""),"Invalid - Could Not Parse", IF(AND(ISNUMBER(B848)=FALSE, C848&lt;&gt;""),"Text - Converted to Date", IF(ISNUMBER(B848),"Valid","Check"))))</f>
        <v>Text - Converted to Date</v>
      </c>
      <c r="E848" s="5">
        <f t="shared" si="106"/>
        <v>6</v>
      </c>
      <c r="F848" s="5">
        <f t="shared" si="107"/>
        <v>2024</v>
      </c>
      <c r="G848" s="3" t="s">
        <v>2095</v>
      </c>
      <c r="H848" s="9">
        <f>IFERROR(DATEVALUE(TEXT(G848,"DD/MM/YYYY")), IF(ISNUMBER(G848), G848, ""))</f>
        <v>45472</v>
      </c>
      <c r="I848" s="9" t="str">
        <f>IF(G848="","Missing", IF(AND(ISNUMBER(G848)=FALSE, H848=""),"Invalid - Could Not Parse", IF(AND(ISNUMBER(G848)=FALSE, H848&lt;&gt;""),"Text - Converted to Date", IF(ISNUMBER(G848),"Valid","Check"))))</f>
        <v>Text - Converted to Date</v>
      </c>
      <c r="J848" s="9" t="str">
        <f>IF(OR(C848="", H848=""), "Cannot Check - Date Missing", IF(H848&lt;C848, "Invalid - Ship Before Order", "Valid"))</f>
        <v>Valid</v>
      </c>
      <c r="K848" s="5">
        <f>IF(OR(C848="", H848=""), "", IF(H848&lt;C848, "", H848-C848))</f>
        <v>3</v>
      </c>
      <c r="L848" s="3" t="s">
        <v>2096</v>
      </c>
      <c r="M848" s="3" t="s">
        <v>93</v>
      </c>
      <c r="N848" s="4" t="str">
        <f>TRIM(SUBSTITUTE(M848,"_"," "))</f>
        <v>Neha Gupta</v>
      </c>
      <c r="O848" s="3" t="s">
        <v>108</v>
      </c>
      <c r="P848" s="6" t="str">
        <f>PROPER(TRIM(SUBSTITUTE(O848,".","")))</f>
        <v>Corporate</v>
      </c>
      <c r="Q848" s="3" t="s">
        <v>27</v>
      </c>
      <c r="R848" s="7" t="str">
        <f>PROPER(TRIM(SUBSTITUTE(Q848,"  "," ")))</f>
        <v>North</v>
      </c>
      <c r="S848" s="3" t="s">
        <v>154</v>
      </c>
      <c r="T848" s="6" t="str">
        <f>PROPER(TRIM(SUBSTITUTE(S848,"  "," ")))</f>
        <v>Punjab</v>
      </c>
      <c r="U848" s="3" t="s">
        <v>155</v>
      </c>
      <c r="V848" s="6" t="str">
        <f>PROPER(TRIM(SUBSTITUTE(U848,"  "," ")))</f>
        <v>Ludhiana</v>
      </c>
      <c r="W848" s="3" t="s">
        <v>86</v>
      </c>
      <c r="X848" s="6" t="str">
        <f>PROPER(TRIM(SUBSTITUTE(W848,"  "," ")))</f>
        <v>Technology</v>
      </c>
      <c r="Y848" s="3" t="s">
        <v>223</v>
      </c>
      <c r="Z848" s="6" t="str">
        <f>PROPER(TRIM(SUBSTITUTE(Y848,"  "," ")))</f>
        <v>Phones</v>
      </c>
      <c r="AA848" s="3" t="s">
        <v>2097</v>
      </c>
      <c r="AB848" s="3" t="s">
        <v>67</v>
      </c>
      <c r="AC848" s="6" t="str">
        <f>PROPER(TRIM(SUBSTITUTE(AB848,"  "," ")))</f>
        <v>Standard Class</v>
      </c>
      <c r="AD848" s="3">
        <v>8</v>
      </c>
      <c r="AE848" s="3">
        <v>804.52</v>
      </c>
      <c r="AF848" s="3">
        <v>0</v>
      </c>
      <c r="AG848" s="17">
        <v>0</v>
      </c>
      <c r="AH848" s="6" t="str">
        <f t="shared" si="108"/>
        <v>Valid</v>
      </c>
      <c r="AI848" s="3">
        <v>6436.16</v>
      </c>
      <c r="AJ848" s="3">
        <v>4263.83</v>
      </c>
      <c r="AK848" s="3">
        <v>2172.33</v>
      </c>
      <c r="AL848" s="3" t="s">
        <v>34</v>
      </c>
      <c r="AM848" s="6" t="str">
        <f>PROPER(TRIM(SUBSTITUTE(AL848,".","")))</f>
        <v>Paid</v>
      </c>
      <c r="AN848" s="3" t="s">
        <v>35</v>
      </c>
      <c r="AO848" s="8" t="str">
        <f>PROPER(TRIM(SUBSTITUTE(AN848,".","")))</f>
        <v>Completed</v>
      </c>
      <c r="AP848" t="str">
        <f>IF(COUNTIF($A$2:$A$933, A848) &gt; 1, "Duplicate ID", "Unique")</f>
        <v>Unique</v>
      </c>
      <c r="AR848">
        <f t="shared" si="109"/>
        <v>6436.16</v>
      </c>
      <c r="AS848">
        <f t="shared" si="110"/>
        <v>2172.33</v>
      </c>
      <c r="AT848" s="15">
        <f t="shared" si="111"/>
        <v>0.33751957689056827</v>
      </c>
      <c r="AU848" t="str">
        <f t="shared" si="112"/>
        <v>Clean</v>
      </c>
      <c r="AV848" s="8" t="str">
        <f t="shared" si="113"/>
        <v>Active</v>
      </c>
    </row>
    <row r="849" spans="1:48">
      <c r="A849" s="3" t="s">
        <v>2133</v>
      </c>
      <c r="B849" s="3" t="s">
        <v>1950</v>
      </c>
      <c r="C849" s="10">
        <f>IFERROR(DATEVALUE(MID(B849,4,2) &amp; "/" &amp; LEFT(B849,2) &amp; "/" &amp; RIGHT(B849,4)), IF(ISNUMBER(B849), B849, IFERROR(DATEVALUE(B849), "")))</f>
        <v>45533</v>
      </c>
      <c r="D849" s="9" t="str">
        <f>IF(B849="","Missing", IF(AND(ISNUMBER(B849)=FALSE, C849=""),"Invalid - Could Not Parse", IF(AND(ISNUMBER(B849)=FALSE, C849&lt;&gt;""),"Text - Converted to Date", IF(ISNUMBER(B849),"Valid","Check"))))</f>
        <v>Text - Converted to Date</v>
      </c>
      <c r="E849" s="5">
        <f t="shared" si="106"/>
        <v>8</v>
      </c>
      <c r="F849" s="5">
        <f t="shared" si="107"/>
        <v>2024</v>
      </c>
      <c r="G849" s="3" t="s">
        <v>2125</v>
      </c>
      <c r="H849" s="9">
        <f>IFERROR(DATEVALUE(TEXT(G849,"DD/MM/YYYY")), IF(ISNUMBER(G849), G849, ""))</f>
        <v>45537</v>
      </c>
      <c r="I849" s="9" t="str">
        <f>IF(G849="","Missing", IF(AND(ISNUMBER(G849)=FALSE, H849=""),"Invalid - Could Not Parse", IF(AND(ISNUMBER(G849)=FALSE, H849&lt;&gt;""),"Text - Converted to Date", IF(ISNUMBER(G849),"Valid","Check"))))</f>
        <v>Text - Converted to Date</v>
      </c>
      <c r="J849" s="9" t="str">
        <f>IF(OR(C849="", H849=""), "Cannot Check - Date Missing", IF(H849&lt;C849, "Invalid - Ship Before Order", "Valid"))</f>
        <v>Valid</v>
      </c>
      <c r="K849" s="5">
        <f>IF(OR(C849="", H849=""), "", IF(H849&lt;C849, "", H849-C849))</f>
        <v>4</v>
      </c>
      <c r="L849" s="3" t="s">
        <v>2134</v>
      </c>
      <c r="M849" s="3" t="s">
        <v>142</v>
      </c>
      <c r="N849" s="4" t="str">
        <f>TRIM(SUBSTITUTE(M849,"_"," "))</f>
        <v>Priya Menon</v>
      </c>
      <c r="O849" s="3" t="s">
        <v>41</v>
      </c>
      <c r="P849" s="6" t="str">
        <f>PROPER(TRIM(SUBSTITUTE(O849,".","")))</f>
        <v>Small Business</v>
      </c>
      <c r="Q849" s="3" t="s">
        <v>73</v>
      </c>
      <c r="R849" s="7" t="str">
        <f>PROPER(TRIM(SUBSTITUTE(Q849,"  "," ")))</f>
        <v>West</v>
      </c>
      <c r="S849" s="3" t="s">
        <v>74</v>
      </c>
      <c r="T849" s="6" t="str">
        <f>PROPER(TRIM(SUBSTITUTE(S849,"  "," ")))</f>
        <v>Maharashtra</v>
      </c>
      <c r="U849" s="3" t="s">
        <v>75</v>
      </c>
      <c r="V849" s="6" t="str">
        <f>PROPER(TRIM(SUBSTITUTE(U849,"  "," ")))</f>
        <v>Mumbai</v>
      </c>
      <c r="W849" s="3" t="s">
        <v>45</v>
      </c>
      <c r="X849" s="6" t="str">
        <f>PROPER(TRIM(SUBSTITUTE(W849,"  "," ")))</f>
        <v>Furniture</v>
      </c>
      <c r="Y849" s="3" t="s">
        <v>204</v>
      </c>
      <c r="Z849" s="6" t="str">
        <f>PROPER(TRIM(SUBSTITUTE(Y849,"  "," ")))</f>
        <v>Bookcases</v>
      </c>
      <c r="AA849" s="3" t="s">
        <v>2135</v>
      </c>
      <c r="AB849" s="3" t="s">
        <v>67</v>
      </c>
      <c r="AC849" s="6" t="str">
        <f>PROPER(TRIM(SUBSTITUTE(AB849,"  "," ")))</f>
        <v>Standard Class</v>
      </c>
      <c r="AD849" s="3">
        <v>6</v>
      </c>
      <c r="AE849" s="3">
        <v>172.82</v>
      </c>
      <c r="AF849" s="3">
        <v>0.05</v>
      </c>
      <c r="AG849" s="17">
        <v>0.05</v>
      </c>
      <c r="AH849" s="6" t="str">
        <f t="shared" si="108"/>
        <v>Valid</v>
      </c>
      <c r="AI849" s="3">
        <v>985.07</v>
      </c>
      <c r="AJ849" s="3">
        <v>844.48</v>
      </c>
      <c r="AK849" s="3">
        <v>140.59</v>
      </c>
      <c r="AL849" s="3" t="s">
        <v>34</v>
      </c>
      <c r="AM849" s="6" t="str">
        <f>PROPER(TRIM(SUBSTITUTE(AL849,".","")))</f>
        <v>Paid</v>
      </c>
      <c r="AN849" s="3" t="s">
        <v>35</v>
      </c>
      <c r="AO849" s="8" t="str">
        <f>PROPER(TRIM(SUBSTITUTE(AN849,".","")))</f>
        <v>Completed</v>
      </c>
      <c r="AP849" t="str">
        <f>IF(COUNTIF($A$2:$A$933, A849) &gt; 1, "Duplicate ID", "Unique")</f>
        <v>Unique</v>
      </c>
      <c r="AR849">
        <f t="shared" si="109"/>
        <v>985.07400000000007</v>
      </c>
      <c r="AS849">
        <f t="shared" si="110"/>
        <v>140.59400000000005</v>
      </c>
      <c r="AT849" s="15">
        <f t="shared" si="111"/>
        <v>0.14272430294576857</v>
      </c>
      <c r="AU849" t="str">
        <f t="shared" si="112"/>
        <v>Clean</v>
      </c>
      <c r="AV849" s="8" t="str">
        <f t="shared" si="113"/>
        <v>Active</v>
      </c>
    </row>
    <row r="850" spans="1:48">
      <c r="A850" s="3" t="s">
        <v>2136</v>
      </c>
      <c r="B850" s="3" t="s">
        <v>2137</v>
      </c>
      <c r="C850" s="10">
        <f>IFERROR(DATEVALUE(MID(B850,4,2) &amp; "/" &amp; LEFT(B850,2) &amp; "/" &amp; RIGHT(B850,4)), IF(ISNUMBER(B850), B850, IFERROR(DATEVALUE(B850), "")))</f>
        <v>45401</v>
      </c>
      <c r="D850" s="9" t="str">
        <f>IF(B850="","Missing", IF(AND(ISNUMBER(B850)=FALSE, C850=""),"Invalid - Could Not Parse", IF(AND(ISNUMBER(B850)=FALSE, C850&lt;&gt;""),"Text - Converted to Date", IF(ISNUMBER(B850),"Valid","Check"))))</f>
        <v>Text - Converted to Date</v>
      </c>
      <c r="E850" s="5">
        <f t="shared" si="106"/>
        <v>4</v>
      </c>
      <c r="F850" s="5">
        <f t="shared" si="107"/>
        <v>2024</v>
      </c>
      <c r="G850" s="3" t="s">
        <v>2138</v>
      </c>
      <c r="H850" s="9">
        <f>IFERROR(DATEVALUE(TEXT(G850,"DD/MM/YYYY")), IF(ISNUMBER(G850), G850, ""))</f>
        <v>45402</v>
      </c>
      <c r="I850" s="9" t="str">
        <f>IF(G850="","Missing", IF(AND(ISNUMBER(G850)=FALSE, H850=""),"Invalid - Could Not Parse", IF(AND(ISNUMBER(G850)=FALSE, H850&lt;&gt;""),"Text - Converted to Date", IF(ISNUMBER(G850),"Valid","Check"))))</f>
        <v>Text - Converted to Date</v>
      </c>
      <c r="J850" s="9" t="str">
        <f>IF(OR(C850="", H850=""), "Cannot Check - Date Missing", IF(H850&lt;C850, "Invalid - Ship Before Order", "Valid"))</f>
        <v>Valid</v>
      </c>
      <c r="K850" s="5">
        <f>IF(OR(C850="", H850=""), "", IF(H850&lt;C850, "", H850-C850))</f>
        <v>1</v>
      </c>
      <c r="L850" s="3" t="s">
        <v>2139</v>
      </c>
      <c r="M850" s="3" t="s">
        <v>142</v>
      </c>
      <c r="N850" s="4" t="str">
        <f>TRIM(SUBSTITUTE(M850,"_"," "))</f>
        <v>Priya Menon</v>
      </c>
      <c r="O850" s="3" t="s">
        <v>108</v>
      </c>
      <c r="P850" s="6" t="str">
        <f>PROPER(TRIM(SUBSTITUTE(O850,".","")))</f>
        <v>Corporate</v>
      </c>
      <c r="Q850" s="3" t="s">
        <v>62</v>
      </c>
      <c r="R850" s="7" t="str">
        <f>PROPER(TRIM(SUBSTITUTE(Q850,"  "," ")))</f>
        <v>South</v>
      </c>
      <c r="S850" s="3" t="s">
        <v>242</v>
      </c>
      <c r="T850" s="6" t="str">
        <f>PROPER(TRIM(SUBSTITUTE(S850,"  "," ")))</f>
        <v>Kerala</v>
      </c>
      <c r="U850" s="3" t="s">
        <v>243</v>
      </c>
      <c r="V850" s="6" t="str">
        <f>PROPER(TRIM(SUBSTITUTE(U850,"  "," ")))</f>
        <v>Kochi</v>
      </c>
      <c r="W850" s="3" t="s">
        <v>30</v>
      </c>
      <c r="X850" s="6" t="str">
        <f>PROPER(TRIM(SUBSTITUTE(W850,"  "," ")))</f>
        <v>Office Supplies</v>
      </c>
      <c r="Y850" s="3" t="s">
        <v>54</v>
      </c>
      <c r="Z850" s="6" t="str">
        <f>PROPER(TRIM(SUBSTITUTE(Y850,"  "," ")))</f>
        <v>Art</v>
      </c>
      <c r="AA850" s="3" t="s">
        <v>2140</v>
      </c>
      <c r="AB850" s="3" t="s">
        <v>33</v>
      </c>
      <c r="AC850" s="6" t="str">
        <f>PROPER(TRIM(SUBSTITUTE(AB850,"  "," ")))</f>
        <v>Second Class</v>
      </c>
      <c r="AD850" s="3">
        <v>4</v>
      </c>
      <c r="AE850" s="3">
        <v>1540.22</v>
      </c>
      <c r="AF850" s="3">
        <v>0</v>
      </c>
      <c r="AG850" s="17">
        <v>0</v>
      </c>
      <c r="AH850" s="6" t="str">
        <f t="shared" si="108"/>
        <v>Valid</v>
      </c>
      <c r="AI850" s="3">
        <v>6160.88</v>
      </c>
      <c r="AJ850" s="3">
        <v>4938.7</v>
      </c>
      <c r="AK850" s="3">
        <v>1222.18</v>
      </c>
      <c r="AL850" s="3" t="s">
        <v>124</v>
      </c>
      <c r="AM850" s="6" t="str">
        <f>PROPER(TRIM(SUBSTITUTE(AL850,".","")))</f>
        <v>Refunded</v>
      </c>
      <c r="AN850" s="3" t="s">
        <v>125</v>
      </c>
      <c r="AO850" s="8" t="str">
        <f>PROPER(TRIM(SUBSTITUTE(AN850,".","")))</f>
        <v>Returned</v>
      </c>
      <c r="AP850" t="str">
        <f>IF(COUNTIF($A$2:$A$933, A850) &gt; 1, "Duplicate ID", "Unique")</f>
        <v>Unique</v>
      </c>
      <c r="AR850">
        <f t="shared" si="109"/>
        <v>6160.88</v>
      </c>
      <c r="AS850">
        <f t="shared" si="110"/>
        <v>1222.1800000000003</v>
      </c>
      <c r="AT850" s="15">
        <f t="shared" si="111"/>
        <v>0.19837750451234243</v>
      </c>
      <c r="AU850" t="str">
        <f t="shared" si="112"/>
        <v>Clean</v>
      </c>
      <c r="AV850" s="8" t="str">
        <f t="shared" si="113"/>
        <v>Refund</v>
      </c>
    </row>
    <row r="851" spans="1:48">
      <c r="A851" s="3" t="s">
        <v>2204</v>
      </c>
      <c r="B851" s="3" t="s">
        <v>2205</v>
      </c>
      <c r="C851" s="10">
        <f>IFERROR(DATEVALUE(MID(B851,4,2) &amp; "/" &amp; LEFT(B851,2) &amp; "/" &amp; RIGHT(B851,4)), IF(ISNUMBER(B851), B851, IFERROR(DATEVALUE(B851), "")))</f>
        <v>45306</v>
      </c>
      <c r="D851" s="9" t="str">
        <f>IF(B851="","Missing", IF(AND(ISNUMBER(B851)=FALSE, C851=""),"Invalid - Could Not Parse", IF(AND(ISNUMBER(B851)=FALSE, C851&lt;&gt;""),"Text - Converted to Date", IF(ISNUMBER(B851),"Valid","Check"))))</f>
        <v>Text - Converted to Date</v>
      </c>
      <c r="E851" s="5">
        <f t="shared" si="106"/>
        <v>1</v>
      </c>
      <c r="F851" s="5">
        <f t="shared" si="107"/>
        <v>2024</v>
      </c>
      <c r="G851" s="3" t="s">
        <v>327</v>
      </c>
      <c r="H851" s="9">
        <f>IFERROR(DATEVALUE(TEXT(G851,"DD/MM/YYYY")), IF(ISNUMBER(G851), G851, ""))</f>
        <v>45309</v>
      </c>
      <c r="I851" s="9" t="str">
        <f>IF(G851="","Missing", IF(AND(ISNUMBER(G851)=FALSE, H851=""),"Invalid - Could Not Parse", IF(AND(ISNUMBER(G851)=FALSE, H851&lt;&gt;""),"Text - Converted to Date", IF(ISNUMBER(G851),"Valid","Check"))))</f>
        <v>Text - Converted to Date</v>
      </c>
      <c r="J851" s="9" t="str">
        <f>IF(OR(C851="", H851=""), "Cannot Check - Date Missing", IF(H851&lt;C851, "Invalid - Ship Before Order", "Valid"))</f>
        <v>Valid</v>
      </c>
      <c r="K851" s="5">
        <f>IF(OR(C851="", H851=""), "", IF(H851&lt;C851, "", H851-C851))</f>
        <v>3</v>
      </c>
      <c r="L851" s="3" t="s">
        <v>2206</v>
      </c>
      <c r="M851" s="3" t="s">
        <v>40</v>
      </c>
      <c r="N851" s="4" t="str">
        <f>TRIM(SUBSTITUTE(M851,"_"," "))</f>
        <v>Mira Das</v>
      </c>
      <c r="O851" s="3" t="s">
        <v>41</v>
      </c>
      <c r="P851" s="6" t="str">
        <f>PROPER(TRIM(SUBSTITUTE(O851,".","")))</f>
        <v>Small Business</v>
      </c>
      <c r="Q851" s="3" t="s">
        <v>62</v>
      </c>
      <c r="R851" s="7" t="str">
        <f>PROPER(TRIM(SUBSTITUTE(Q851,"  "," ")))</f>
        <v>South</v>
      </c>
      <c r="S851" s="3" t="s">
        <v>100</v>
      </c>
      <c r="T851" s="6" t="str">
        <f>PROPER(TRIM(SUBSTITUTE(S851,"  "," ")))</f>
        <v>Andhra Pradesh</v>
      </c>
      <c r="U851" s="3" t="s">
        <v>101</v>
      </c>
      <c r="V851" s="6" t="str">
        <f>PROPER(TRIM(SUBSTITUTE(U851,"  "," ")))</f>
        <v>Vijayawada</v>
      </c>
      <c r="W851" s="3" t="s">
        <v>45</v>
      </c>
      <c r="X851" s="6" t="str">
        <f>PROPER(TRIM(SUBSTITUTE(W851,"  "," ")))</f>
        <v>Furniture</v>
      </c>
      <c r="Y851" s="3" t="s">
        <v>76</v>
      </c>
      <c r="Z851" s="6" t="str">
        <f>PROPER(TRIM(SUBSTITUTE(Y851,"  "," ")))</f>
        <v>Chairs</v>
      </c>
      <c r="AA851" s="3" t="s">
        <v>2207</v>
      </c>
      <c r="AB851" s="3" t="s">
        <v>56</v>
      </c>
      <c r="AC851" s="6" t="str">
        <f>PROPER(TRIM(SUBSTITUTE(AB851,"  "," ")))</f>
        <v>First Class</v>
      </c>
      <c r="AD851" s="3">
        <v>2</v>
      </c>
      <c r="AE851" s="3">
        <v>201.21</v>
      </c>
      <c r="AF851" s="3">
        <v>0.15</v>
      </c>
      <c r="AG851" s="17">
        <v>0.15</v>
      </c>
      <c r="AH851" s="6" t="str">
        <f t="shared" si="108"/>
        <v>Valid</v>
      </c>
      <c r="AI851" s="3">
        <v>342.06</v>
      </c>
      <c r="AJ851" s="3">
        <v>244.57</v>
      </c>
      <c r="AK851" s="3">
        <v>97.49</v>
      </c>
      <c r="AL851" s="3" t="s">
        <v>34</v>
      </c>
      <c r="AM851" s="6" t="str">
        <f>PROPER(TRIM(SUBSTITUTE(AL851,".","")))</f>
        <v>Paid</v>
      </c>
      <c r="AN851" s="3" t="s">
        <v>35</v>
      </c>
      <c r="AO851" s="8" t="str">
        <f>PROPER(TRIM(SUBSTITUTE(AN851,".","")))</f>
        <v>Completed</v>
      </c>
      <c r="AP851" t="str">
        <f>IF(COUNTIF($A$2:$A$933, A851) &gt; 1, "Duplicate ID", "Unique")</f>
        <v>Unique</v>
      </c>
      <c r="AR851">
        <f t="shared" si="109"/>
        <v>342.05700000000002</v>
      </c>
      <c r="AS851">
        <f t="shared" si="110"/>
        <v>97.487000000000023</v>
      </c>
      <c r="AT851" s="15">
        <f t="shared" si="111"/>
        <v>0.28500220723446684</v>
      </c>
      <c r="AU851" t="str">
        <f t="shared" si="112"/>
        <v>Clean</v>
      </c>
      <c r="AV851" s="8" t="str">
        <f t="shared" si="113"/>
        <v>Active</v>
      </c>
    </row>
    <row r="852" spans="1:48">
      <c r="A852" s="3" t="s">
        <v>2252</v>
      </c>
      <c r="B852" s="3" t="s">
        <v>2253</v>
      </c>
      <c r="C852" s="10">
        <f>IFERROR(DATEVALUE(MID(B852,4,2) &amp; "/" &amp; LEFT(B852,2) &amp; "/" &amp; RIGHT(B852,4)), IF(ISNUMBER(B852), B852, IFERROR(DATEVALUE(B852), "")))</f>
        <v>45379</v>
      </c>
      <c r="D852" s="9" t="str">
        <f>IF(B852="","Missing", IF(AND(ISNUMBER(B852)=FALSE, C852=""),"Invalid - Could Not Parse", IF(AND(ISNUMBER(B852)=FALSE, C852&lt;&gt;""),"Text - Converted to Date", IF(ISNUMBER(B852),"Valid","Check"))))</f>
        <v>Text - Converted to Date</v>
      </c>
      <c r="E852" s="5">
        <f t="shared" si="106"/>
        <v>3</v>
      </c>
      <c r="F852" s="5">
        <f t="shared" si="107"/>
        <v>2024</v>
      </c>
      <c r="G852" s="3" t="s">
        <v>2183</v>
      </c>
      <c r="H852" s="9">
        <f>IFERROR(DATEVALUE(TEXT(G852,"DD/MM/YYYY")), IF(ISNUMBER(G852), G852, ""))</f>
        <v>45386</v>
      </c>
      <c r="I852" s="9" t="str">
        <f>IF(G852="","Missing", IF(AND(ISNUMBER(G852)=FALSE, H852=""),"Invalid - Could Not Parse", IF(AND(ISNUMBER(G852)=FALSE, H852&lt;&gt;""),"Text - Converted to Date", IF(ISNUMBER(G852),"Valid","Check"))))</f>
        <v>Text - Converted to Date</v>
      </c>
      <c r="J852" s="9" t="str">
        <f>IF(OR(C852="", H852=""), "Cannot Check - Date Missing", IF(H852&lt;C852, "Invalid - Ship Before Order", "Valid"))</f>
        <v>Valid</v>
      </c>
      <c r="K852" s="5">
        <f>IF(OR(C852="", H852=""), "", IF(H852&lt;C852, "", H852-C852))</f>
        <v>7</v>
      </c>
      <c r="L852" s="3" t="s">
        <v>2254</v>
      </c>
      <c r="M852" s="3" t="s">
        <v>72</v>
      </c>
      <c r="N852" s="4" t="str">
        <f>TRIM(SUBSTITUTE(M852,"_"," "))</f>
        <v>Ananya Rao</v>
      </c>
      <c r="O852" s="3" t="s">
        <v>115</v>
      </c>
      <c r="P852" s="6" t="str">
        <f>PROPER(TRIM(SUBSTITUTE(O852,".","")))</f>
        <v>Home Office</v>
      </c>
      <c r="Q852" s="3" t="s">
        <v>73</v>
      </c>
      <c r="R852" s="7" t="str">
        <f>PROPER(TRIM(SUBSTITUTE(Q852,"  "," ")))</f>
        <v>West</v>
      </c>
      <c r="S852" s="3" t="s">
        <v>249</v>
      </c>
      <c r="T852" s="6" t="str">
        <f>PROPER(TRIM(SUBSTITUTE(S852,"  "," ")))</f>
        <v>Goa</v>
      </c>
      <c r="U852" s="3" t="s">
        <v>250</v>
      </c>
      <c r="V852" s="6" t="str">
        <f>PROPER(TRIM(SUBSTITUTE(U852,"  "," ")))</f>
        <v>Panaji</v>
      </c>
      <c r="W852" s="3" t="s">
        <v>30</v>
      </c>
      <c r="X852" s="6" t="str">
        <f>PROPER(TRIM(SUBSTITUTE(W852,"  "," ")))</f>
        <v>Office Supplies</v>
      </c>
      <c r="Y852" s="3" t="s">
        <v>31</v>
      </c>
      <c r="Z852" s="6" t="str">
        <f>PROPER(TRIM(SUBSTITUTE(Y852,"  "," ")))</f>
        <v>Paper</v>
      </c>
      <c r="AA852" s="3" t="s">
        <v>2255</v>
      </c>
      <c r="AB852" s="3" t="s">
        <v>56</v>
      </c>
      <c r="AC852" s="6" t="str">
        <f>PROPER(TRIM(SUBSTITUTE(AB852,"  "," ")))</f>
        <v>First Class</v>
      </c>
      <c r="AD852" s="3">
        <v>3</v>
      </c>
      <c r="AE852" s="3">
        <v>1150.92</v>
      </c>
      <c r="AF852" s="3">
        <v>0</v>
      </c>
      <c r="AG852" s="17">
        <v>0</v>
      </c>
      <c r="AH852" s="6" t="str">
        <f t="shared" si="108"/>
        <v>Valid</v>
      </c>
      <c r="AI852" s="3">
        <v>3452.76</v>
      </c>
      <c r="AJ852" s="3">
        <v>2077.96</v>
      </c>
      <c r="AK852" s="3">
        <v>1374.8</v>
      </c>
      <c r="AL852" s="3" t="s">
        <v>34</v>
      </c>
      <c r="AM852" s="6" t="str">
        <f>PROPER(TRIM(SUBSTITUTE(AL852,".","")))</f>
        <v>Paid</v>
      </c>
      <c r="AN852" s="3" t="s">
        <v>35</v>
      </c>
      <c r="AO852" s="8" t="str">
        <f>PROPER(TRIM(SUBSTITUTE(AN852,".","")))</f>
        <v>Completed</v>
      </c>
      <c r="AP852" t="str">
        <f>IF(COUNTIF($A$2:$A$933, A852) &gt; 1, "Duplicate ID", "Unique")</f>
        <v>Unique</v>
      </c>
      <c r="AR852">
        <f t="shared" si="109"/>
        <v>3452.76</v>
      </c>
      <c r="AS852">
        <f t="shared" si="110"/>
        <v>1374.8000000000002</v>
      </c>
      <c r="AT852" s="15">
        <f t="shared" si="111"/>
        <v>0.39817421425178701</v>
      </c>
      <c r="AU852" t="str">
        <f t="shared" si="112"/>
        <v>Clean</v>
      </c>
      <c r="AV852" s="8" t="str">
        <f t="shared" si="113"/>
        <v>Active</v>
      </c>
    </row>
    <row r="853" spans="1:48">
      <c r="A853" s="3" t="s">
        <v>2261</v>
      </c>
      <c r="B853" s="3" t="s">
        <v>2262</v>
      </c>
      <c r="C853" s="10">
        <f>IFERROR(DATEVALUE(MID(B853,4,2) &amp; "/" &amp; LEFT(B853,2) &amp; "/" &amp; RIGHT(B853,4)), IF(ISNUMBER(B853), B853, IFERROR(DATEVALUE(B853), "")))</f>
        <v>45802</v>
      </c>
      <c r="D853" s="9" t="str">
        <f>IF(B853="","Missing", IF(AND(ISNUMBER(B853)=FALSE, C853=""),"Invalid - Could Not Parse", IF(AND(ISNUMBER(B853)=FALSE, C853&lt;&gt;""),"Text - Converted to Date", IF(ISNUMBER(B853),"Valid","Check"))))</f>
        <v>Text - Converted to Date</v>
      </c>
      <c r="E853" s="5">
        <f t="shared" si="106"/>
        <v>5</v>
      </c>
      <c r="F853" s="5">
        <f t="shared" si="107"/>
        <v>2025</v>
      </c>
      <c r="G853" s="3" t="s">
        <v>1522</v>
      </c>
      <c r="H853" s="9">
        <f>IFERROR(DATEVALUE(MID(G853,4,2) &amp; "/" &amp; LEFT(G853,2) &amp; "/" &amp; RIGHT(G853,4)), IF(ISNUMBER(G853), G853, IFERROR(DATEVALUE(G853), "")))</f>
        <v>45803</v>
      </c>
      <c r="I853" s="9" t="str">
        <f>IF(G853="","Missing", IF(AND(ISNUMBER(G853)=FALSE, H853=""),"Invalid - Could Not Parse", IF(AND(ISNUMBER(G853)=FALSE, H853&lt;&gt;""),"Text - Converted to Date", IF(ISNUMBER(G853),"Valid","Check"))))</f>
        <v>Text - Converted to Date</v>
      </c>
      <c r="J853" s="9" t="str">
        <f>IF(OR(C853="", H853=""), "Cannot Check - Date Missing", IF(H853&lt;C853, "Invalid - Ship Before Order", "Valid"))</f>
        <v>Valid</v>
      </c>
      <c r="K853" s="5">
        <f>IF(OR(C853="", H853=""), "", IF(H853&lt;C853, "", H853-C853))</f>
        <v>1</v>
      </c>
      <c r="L853" s="3" t="s">
        <v>2263</v>
      </c>
      <c r="M853" s="3" t="s">
        <v>93</v>
      </c>
      <c r="N853" s="4" t="str">
        <f>TRIM(SUBSTITUTE(M853,"_"," "))</f>
        <v>Neha Gupta</v>
      </c>
      <c r="O853" s="3" t="s">
        <v>108</v>
      </c>
      <c r="P853" s="6" t="str">
        <f>PROPER(TRIM(SUBSTITUTE(O853,".","")))</f>
        <v>Corporate</v>
      </c>
      <c r="Q853" s="3" t="s">
        <v>62</v>
      </c>
      <c r="R853" s="7" t="str">
        <f>PROPER(TRIM(SUBSTITUTE(Q853,"  "," ")))</f>
        <v>South</v>
      </c>
      <c r="S853" s="3" t="s">
        <v>100</v>
      </c>
      <c r="T853" s="6" t="str">
        <f>PROPER(TRIM(SUBSTITUTE(S853,"  "," ")))</f>
        <v>Andhra Pradesh</v>
      </c>
      <c r="U853" s="3" t="s">
        <v>101</v>
      </c>
      <c r="V853" s="6" t="str">
        <f>PROPER(TRIM(SUBSTITUTE(U853,"  "," ")))</f>
        <v>Vijayawada</v>
      </c>
      <c r="W853" s="3" t="s">
        <v>30</v>
      </c>
      <c r="X853" s="6" t="str">
        <f>PROPER(TRIM(SUBSTITUTE(W853,"  "," ")))</f>
        <v>Office Supplies</v>
      </c>
      <c r="Y853" s="3" t="s">
        <v>31</v>
      </c>
      <c r="Z853" s="6" t="str">
        <f>PROPER(TRIM(SUBSTITUTE(Y853,"  "," ")))</f>
        <v>Paper</v>
      </c>
      <c r="AA853" s="3" t="s">
        <v>2264</v>
      </c>
      <c r="AB853" s="3" t="s">
        <v>67</v>
      </c>
      <c r="AC853" s="6" t="str">
        <f>PROPER(TRIM(SUBSTITUTE(AB853,"  "," ")))</f>
        <v>Standard Class</v>
      </c>
      <c r="AD853" s="3">
        <v>3</v>
      </c>
      <c r="AE853" s="3">
        <v>3378.15</v>
      </c>
      <c r="AF853" s="3">
        <v>0.15</v>
      </c>
      <c r="AG853" s="17">
        <v>0.15</v>
      </c>
      <c r="AH853" s="6" t="str">
        <f t="shared" si="108"/>
        <v>Valid</v>
      </c>
      <c r="AI853" s="3">
        <v>8614.2800000000007</v>
      </c>
      <c r="AJ853" s="3">
        <v>7052.08</v>
      </c>
      <c r="AK853" s="3">
        <v>1562.2</v>
      </c>
      <c r="AL853" s="3" t="s">
        <v>34</v>
      </c>
      <c r="AM853" s="6" t="str">
        <f>PROPER(TRIM(SUBSTITUTE(AL853,".","")))</f>
        <v>Paid</v>
      </c>
      <c r="AN853" s="3" t="s">
        <v>35</v>
      </c>
      <c r="AO853" s="8" t="str">
        <f>PROPER(TRIM(SUBSTITUTE(AN853,".","")))</f>
        <v>Completed</v>
      </c>
      <c r="AP853" t="str">
        <f>IF(COUNTIF($A$2:$A$933, A853) &gt; 1, "Duplicate ID", "Unique")</f>
        <v>Unique</v>
      </c>
      <c r="AR853">
        <f t="shared" si="109"/>
        <v>8614.2825000000012</v>
      </c>
      <c r="AS853">
        <f t="shared" si="110"/>
        <v>1562.2025000000012</v>
      </c>
      <c r="AT853" s="15">
        <f t="shared" si="111"/>
        <v>0.18135027496486225</v>
      </c>
      <c r="AU853" t="str">
        <f t="shared" si="112"/>
        <v>Clean</v>
      </c>
      <c r="AV853" s="8" t="str">
        <f t="shared" si="113"/>
        <v>Active</v>
      </c>
    </row>
    <row r="854" spans="1:48">
      <c r="A854" s="3" t="s">
        <v>2265</v>
      </c>
      <c r="B854" s="3" t="s">
        <v>2008</v>
      </c>
      <c r="C854" s="10">
        <f>IFERROR(DATEVALUE(MID(B854,4,2) &amp; "/" &amp; LEFT(B854,2) &amp; "/" &amp; RIGHT(B854,4)), IF(ISNUMBER(B854), B854, IFERROR(DATEVALUE(B854), "")))</f>
        <v>45558</v>
      </c>
      <c r="D854" s="9" t="str">
        <f>IF(B854="","Missing", IF(AND(ISNUMBER(B854)=FALSE, C854=""),"Invalid - Could Not Parse", IF(AND(ISNUMBER(B854)=FALSE, C854&lt;&gt;""),"Text - Converted to Date", IF(ISNUMBER(B854),"Valid","Check"))))</f>
        <v>Text - Converted to Date</v>
      </c>
      <c r="E854" s="5">
        <f t="shared" si="106"/>
        <v>9</v>
      </c>
      <c r="F854" s="5">
        <f t="shared" si="107"/>
        <v>2024</v>
      </c>
      <c r="G854" s="3" t="s">
        <v>2266</v>
      </c>
      <c r="H854" s="9">
        <f>IFERROR(DATEVALUE(TEXT(G854,"DD/MM/YYYY")), IF(ISNUMBER(G854), G854, ""))</f>
        <v>45560</v>
      </c>
      <c r="I854" s="9" t="str">
        <f>IF(G854="","Missing", IF(AND(ISNUMBER(G854)=FALSE, H854=""),"Invalid - Could Not Parse", IF(AND(ISNUMBER(G854)=FALSE, H854&lt;&gt;""),"Text - Converted to Date", IF(ISNUMBER(G854),"Valid","Check"))))</f>
        <v>Text - Converted to Date</v>
      </c>
      <c r="J854" s="9" t="str">
        <f>IF(OR(C854="", H854=""), "Cannot Check - Date Missing", IF(H854&lt;C854, "Invalid - Ship Before Order", "Valid"))</f>
        <v>Valid</v>
      </c>
      <c r="K854" s="5">
        <f>IF(OR(C854="", H854=""), "", IF(H854&lt;C854, "", H854-C854))</f>
        <v>2</v>
      </c>
      <c r="L854" s="3" t="s">
        <v>2267</v>
      </c>
      <c r="M854" s="3" t="s">
        <v>162</v>
      </c>
      <c r="N854" s="4" t="str">
        <f>TRIM(SUBSTITUTE(M854,"_"," "))</f>
        <v>Aarav Sharma</v>
      </c>
      <c r="O854" s="3" t="s">
        <v>115</v>
      </c>
      <c r="P854" s="6" t="str">
        <f>PROPER(TRIM(SUBSTITUTE(O854,".","")))</f>
        <v>Home Office</v>
      </c>
      <c r="Q854" s="3" t="s">
        <v>27</v>
      </c>
      <c r="R854" s="7" t="str">
        <f>PROPER(TRIM(SUBSTITUTE(Q854,"  "," ")))</f>
        <v>North</v>
      </c>
      <c r="S854" s="3" t="s">
        <v>506</v>
      </c>
      <c r="T854" s="6" t="str">
        <f>PROPER(TRIM(SUBSTITUTE(S854,"  "," ")))</f>
        <v>Delhi</v>
      </c>
      <c r="U854" s="3" t="s">
        <v>507</v>
      </c>
      <c r="V854" s="6" t="str">
        <f>PROPER(TRIM(SUBSTITUTE(U854,"  "," ")))</f>
        <v>New Delhi</v>
      </c>
      <c r="W854" s="3" t="s">
        <v>30</v>
      </c>
      <c r="X854" s="6" t="str">
        <f>PROPER(TRIM(SUBSTITUTE(W854,"  "," ")))</f>
        <v>Office Supplies</v>
      </c>
      <c r="Y854" s="3" t="s">
        <v>198</v>
      </c>
      <c r="Z854" s="6" t="str">
        <f>PROPER(TRIM(SUBSTITUTE(Y854,"  "," ")))</f>
        <v>Binders</v>
      </c>
      <c r="AA854" s="3" t="s">
        <v>2268</v>
      </c>
      <c r="AB854" s="3" t="s">
        <v>56</v>
      </c>
      <c r="AC854" s="6" t="str">
        <f>PROPER(TRIM(SUBSTITUTE(AB854,"  "," ")))</f>
        <v>First Class</v>
      </c>
      <c r="AD854" s="3">
        <v>2</v>
      </c>
      <c r="AE854" s="3">
        <v>1275.1400000000001</v>
      </c>
      <c r="AF854" s="3">
        <v>0.2</v>
      </c>
      <c r="AG854" s="17">
        <v>0.2</v>
      </c>
      <c r="AH854" s="6" t="str">
        <f t="shared" si="108"/>
        <v>Valid</v>
      </c>
      <c r="AI854" s="3">
        <v>2040.22</v>
      </c>
      <c r="AJ854" s="3">
        <v>1395.71</v>
      </c>
      <c r="AK854" s="3">
        <v>644.51</v>
      </c>
      <c r="AL854" s="3" t="s">
        <v>34</v>
      </c>
      <c r="AM854" s="6" t="str">
        <f>PROPER(TRIM(SUBSTITUTE(AL854,".","")))</f>
        <v>Paid</v>
      </c>
      <c r="AN854" s="3" t="s">
        <v>35</v>
      </c>
      <c r="AO854" s="8" t="str">
        <f>PROPER(TRIM(SUBSTITUTE(AN854,".","")))</f>
        <v>Completed</v>
      </c>
      <c r="AP854" t="str">
        <f>IF(COUNTIF($A$2:$A$933, A854) &gt; 1, "Duplicate ID", "Unique")</f>
        <v>Unique</v>
      </c>
      <c r="AR854">
        <f t="shared" si="109"/>
        <v>2040.2240000000002</v>
      </c>
      <c r="AS854">
        <f t="shared" si="110"/>
        <v>644.51400000000012</v>
      </c>
      <c r="AT854" s="15">
        <f t="shared" si="111"/>
        <v>0.31590354784572677</v>
      </c>
      <c r="AU854" t="str">
        <f t="shared" si="112"/>
        <v>Clean</v>
      </c>
      <c r="AV854" s="8" t="str">
        <f t="shared" si="113"/>
        <v>Active</v>
      </c>
    </row>
    <row r="855" spans="1:48">
      <c r="A855" s="3" t="s">
        <v>2332</v>
      </c>
      <c r="B855" s="3" t="s">
        <v>2333</v>
      </c>
      <c r="C855" s="10">
        <f>IFERROR(DATEVALUE(MID(B855,4,2) &amp; "/" &amp; LEFT(B855,2) &amp; "/" &amp; RIGHT(B855,4)), IF(ISNUMBER(B855), B855, IFERROR(DATEVALUE(B855), "")))</f>
        <v>45892</v>
      </c>
      <c r="D855" s="9" t="str">
        <f>IF(B855="","Missing", IF(AND(ISNUMBER(B855)=FALSE, C855=""),"Invalid - Could Not Parse", IF(AND(ISNUMBER(B855)=FALSE, C855&lt;&gt;""),"Text - Converted to Date", IF(ISNUMBER(B855),"Valid","Check"))))</f>
        <v>Text - Converted to Date</v>
      </c>
      <c r="E855" s="5">
        <f t="shared" si="106"/>
        <v>8</v>
      </c>
      <c r="F855" s="5">
        <f t="shared" si="107"/>
        <v>2025</v>
      </c>
      <c r="G855" s="3" t="s">
        <v>2334</v>
      </c>
      <c r="H855" s="9">
        <f>IFERROR(DATEVALUE(TEXT(G855,"DD/MM/YYYY")), IF(ISNUMBER(G855), G855, ""))</f>
        <v>45897</v>
      </c>
      <c r="I855" s="9" t="str">
        <f>IF(G855="","Missing", IF(AND(ISNUMBER(G855)=FALSE, H855=""),"Invalid - Could Not Parse", IF(AND(ISNUMBER(G855)=FALSE, H855&lt;&gt;""),"Text - Converted to Date", IF(ISNUMBER(G855),"Valid","Check"))))</f>
        <v>Text - Converted to Date</v>
      </c>
      <c r="J855" s="9" t="str">
        <f>IF(OR(C855="", H855=""), "Cannot Check - Date Missing", IF(H855&lt;C855, "Invalid - Ship Before Order", "Valid"))</f>
        <v>Valid</v>
      </c>
      <c r="K855" s="5">
        <f>IF(OR(C855="", H855=""), "", IF(H855&lt;C855, "", H855-C855))</f>
        <v>5</v>
      </c>
      <c r="L855" s="3" t="s">
        <v>2335</v>
      </c>
      <c r="M855" s="3" t="s">
        <v>83</v>
      </c>
      <c r="N855" s="4" t="str">
        <f>TRIM(SUBSTITUTE(M855,"_"," "))</f>
        <v>Vikram Iyer</v>
      </c>
      <c r="O855" s="3" t="s">
        <v>108</v>
      </c>
      <c r="P855" s="6" t="str">
        <f>PROPER(TRIM(SUBSTITUTE(O855,".","")))</f>
        <v>Corporate</v>
      </c>
      <c r="Q855" s="3" t="s">
        <v>73</v>
      </c>
      <c r="R855" s="7" t="str">
        <f>PROPER(TRIM(SUBSTITUTE(Q855,"  "," ")))</f>
        <v>West</v>
      </c>
      <c r="S855" s="3" t="s">
        <v>235</v>
      </c>
      <c r="T855" s="6" t="str">
        <f>PROPER(TRIM(SUBSTITUTE(S855,"  "," ")))</f>
        <v>Gujarat</v>
      </c>
      <c r="U855" s="3" t="s">
        <v>236</v>
      </c>
      <c r="V855" s="6" t="str">
        <f>PROPER(TRIM(SUBSTITUTE(U855,"  "," ")))</f>
        <v>Ahmedabad</v>
      </c>
      <c r="W855" s="3" t="s">
        <v>45</v>
      </c>
      <c r="X855" s="6" t="str">
        <f>PROPER(TRIM(SUBSTITUTE(W855,"  "," ")))</f>
        <v>Furniture</v>
      </c>
      <c r="Y855" s="3" t="s">
        <v>76</v>
      </c>
      <c r="Z855" s="6" t="str">
        <f>PROPER(TRIM(SUBSTITUTE(Y855,"  "," ")))</f>
        <v>Chairs</v>
      </c>
      <c r="AA855" s="3" t="s">
        <v>2336</v>
      </c>
      <c r="AB855" s="3" t="s">
        <v>67</v>
      </c>
      <c r="AC855" s="6" t="str">
        <f>PROPER(TRIM(SUBSTITUTE(AB855,"  "," ")))</f>
        <v>Standard Class</v>
      </c>
      <c r="AD855" s="3">
        <v>6</v>
      </c>
      <c r="AE855" s="3">
        <v>2193.23</v>
      </c>
      <c r="AF855" s="3">
        <v>0.1</v>
      </c>
      <c r="AG855" s="17">
        <v>0.1</v>
      </c>
      <c r="AH855" s="6" t="str">
        <f t="shared" si="108"/>
        <v>Valid</v>
      </c>
      <c r="AI855" s="3">
        <v>11843.44</v>
      </c>
      <c r="AJ855" s="3">
        <v>9356.8799999999992</v>
      </c>
      <c r="AK855" s="3">
        <v>2486.56</v>
      </c>
      <c r="AL855" s="3" t="s">
        <v>34</v>
      </c>
      <c r="AM855" s="6" t="str">
        <f>PROPER(TRIM(SUBSTITUTE(AL855,".","")))</f>
        <v>Paid</v>
      </c>
      <c r="AN855" s="3" t="s">
        <v>78</v>
      </c>
      <c r="AO855" s="8" t="str">
        <f>PROPER(TRIM(SUBSTITUTE(AN855,".","")))</f>
        <v>Cancelled</v>
      </c>
      <c r="AP855" t="str">
        <f>IF(COUNTIF($A$2:$A$933, A855) &gt; 1, "Duplicate ID", "Unique")</f>
        <v>Unique</v>
      </c>
      <c r="AR855">
        <f t="shared" si="109"/>
        <v>11843.442000000001</v>
      </c>
      <c r="AS855">
        <f t="shared" si="110"/>
        <v>2486.5620000000017</v>
      </c>
      <c r="AT855" s="15">
        <f t="shared" si="111"/>
        <v>0.20995264721184953</v>
      </c>
      <c r="AU855" t="str">
        <f t="shared" si="112"/>
        <v>Clean</v>
      </c>
      <c r="AV855" s="8" t="str">
        <f t="shared" si="113"/>
        <v>Cancelled</v>
      </c>
    </row>
    <row r="856" spans="1:48">
      <c r="A856" s="3" t="s">
        <v>2354</v>
      </c>
      <c r="B856" s="3" t="s">
        <v>263</v>
      </c>
      <c r="C856" s="10">
        <f>IFERROR(DATEVALUE(MID(B856,4,2) &amp; "/" &amp; LEFT(B856,2) &amp; "/" &amp; RIGHT(B856,4)), IF(ISNUMBER(B856), B856, IFERROR(DATEVALUE(B856), "")))</f>
        <v>45495</v>
      </c>
      <c r="D856" s="9" t="str">
        <f>IF(B856="","Missing", IF(AND(ISNUMBER(B856)=FALSE, C856=""),"Invalid - Could Not Parse", IF(AND(ISNUMBER(B856)=FALSE, C856&lt;&gt;""),"Text - Converted to Date", IF(ISNUMBER(B856),"Valid","Check"))))</f>
        <v>Text - Converted to Date</v>
      </c>
      <c r="E856" s="5">
        <f t="shared" si="106"/>
        <v>7</v>
      </c>
      <c r="F856" s="5">
        <f t="shared" si="107"/>
        <v>2024</v>
      </c>
      <c r="G856" s="3" t="s">
        <v>263</v>
      </c>
      <c r="H856" s="9">
        <f>IFERROR(DATEVALUE(MID(G856,4,2) &amp; "/" &amp; LEFT(G856,2) &amp; "/" &amp; RIGHT(G856,4)), IF(ISNUMBER(G856), G856, IFERROR(DATEVALUE(G856), "")))</f>
        <v>45495</v>
      </c>
      <c r="I856" s="9" t="str">
        <f>IF(G856="","Missing", IF(AND(ISNUMBER(G856)=FALSE, H856=""),"Invalid - Could Not Parse", IF(AND(ISNUMBER(G856)=FALSE, H856&lt;&gt;""),"Text - Converted to Date", IF(ISNUMBER(G856),"Valid","Check"))))</f>
        <v>Text - Converted to Date</v>
      </c>
      <c r="J856" s="9" t="str">
        <f>IF(OR(C856="", H856=""), "Cannot Check - Date Missing", IF(H856&lt;C856, "Invalid - Ship Before Order", "Valid"))</f>
        <v>Valid</v>
      </c>
      <c r="K856" s="5">
        <f>IF(OR(C856="", H856=""), "", IF(H856&lt;C856, "", H856-C856))</f>
        <v>0</v>
      </c>
      <c r="L856" s="3" t="s">
        <v>2355</v>
      </c>
      <c r="M856" s="3" t="s">
        <v>142</v>
      </c>
      <c r="N856" s="4" t="str">
        <f>TRIM(SUBSTITUTE(M856,"_"," "))</f>
        <v>Priya Menon</v>
      </c>
      <c r="O856" s="3" t="s">
        <v>26</v>
      </c>
      <c r="P856" s="6" t="str">
        <f>PROPER(TRIM(SUBSTITUTE(O856,".","")))</f>
        <v>Consumer</v>
      </c>
      <c r="Q856" s="3" t="s">
        <v>62</v>
      </c>
      <c r="R856" s="7" t="str">
        <f>PROPER(TRIM(SUBSTITUTE(Q856,"  "," ")))</f>
        <v>South</v>
      </c>
      <c r="S856" s="3" t="s">
        <v>229</v>
      </c>
      <c r="T856" s="6" t="str">
        <f>PROPER(TRIM(SUBSTITUTE(S856,"  "," ")))</f>
        <v>Karnataka</v>
      </c>
      <c r="U856" s="3" t="s">
        <v>230</v>
      </c>
      <c r="V856" s="6" t="str">
        <f>PROPER(TRIM(SUBSTITUTE(U856,"  "," ")))</f>
        <v>Bengaluru</v>
      </c>
      <c r="W856" s="3" t="s">
        <v>86</v>
      </c>
      <c r="X856" s="6" t="str">
        <f>PROPER(TRIM(SUBSTITUTE(W856,"  "," ")))</f>
        <v>Technology</v>
      </c>
      <c r="Y856" s="3" t="s">
        <v>87</v>
      </c>
      <c r="Z856" s="6" t="str">
        <f>PROPER(TRIM(SUBSTITUTE(Y856,"  "," ")))</f>
        <v>Accessories</v>
      </c>
      <c r="AA856" s="3" t="s">
        <v>2356</v>
      </c>
      <c r="AB856" s="3" t="s">
        <v>33</v>
      </c>
      <c r="AC856" s="6" t="str">
        <f>PROPER(TRIM(SUBSTITUTE(AB856,"  "," ")))</f>
        <v>Second Class</v>
      </c>
      <c r="AD856" s="3">
        <v>3</v>
      </c>
      <c r="AE856" s="3">
        <v>1286.22</v>
      </c>
      <c r="AF856" s="3">
        <v>0.25</v>
      </c>
      <c r="AG856" s="17">
        <v>0.25</v>
      </c>
      <c r="AH856" s="6" t="str">
        <f t="shared" si="108"/>
        <v>Valid</v>
      </c>
      <c r="AI856" s="3">
        <v>2893.99</v>
      </c>
      <c r="AJ856" s="3">
        <v>1856.03</v>
      </c>
      <c r="AK856" s="3">
        <v>1037.96</v>
      </c>
      <c r="AL856" s="3" t="s">
        <v>34</v>
      </c>
      <c r="AM856" s="6" t="str">
        <f>PROPER(TRIM(SUBSTITUTE(AL856,".","")))</f>
        <v>Paid</v>
      </c>
      <c r="AN856" s="3" t="s">
        <v>35</v>
      </c>
      <c r="AO856" s="8" t="str">
        <f>PROPER(TRIM(SUBSTITUTE(AN856,".","")))</f>
        <v>Completed</v>
      </c>
      <c r="AP856" t="str">
        <f>IF(COUNTIF($A$2:$A$933, A856) &gt; 1, "Duplicate ID", "Unique")</f>
        <v>Unique</v>
      </c>
      <c r="AR856">
        <f t="shared" si="109"/>
        <v>2893.9949999999999</v>
      </c>
      <c r="AS856">
        <f t="shared" si="110"/>
        <v>1037.9649999999999</v>
      </c>
      <c r="AT856" s="15">
        <f t="shared" si="111"/>
        <v>0.35866164247001114</v>
      </c>
      <c r="AU856" t="str">
        <f t="shared" si="112"/>
        <v>Clean</v>
      </c>
      <c r="AV856" s="8" t="str">
        <f t="shared" si="113"/>
        <v>Active</v>
      </c>
    </row>
    <row r="857" spans="1:48">
      <c r="A857" s="3" t="s">
        <v>2433</v>
      </c>
      <c r="B857" s="3" t="s">
        <v>1129</v>
      </c>
      <c r="C857" s="10">
        <f>IFERROR(DATEVALUE(MID(B857,4,2) &amp; "/" &amp; LEFT(B857,2) &amp; "/" &amp; RIGHT(B857,4)), IF(ISNUMBER(B857), B857, IFERROR(DATEVALUE(B857), "")))</f>
        <v>45429</v>
      </c>
      <c r="D857" s="9" t="str">
        <f>IF(B857="","Missing", IF(AND(ISNUMBER(B857)=FALSE, C857=""),"Invalid - Could Not Parse", IF(AND(ISNUMBER(B857)=FALSE, C857&lt;&gt;""),"Text - Converted to Date", IF(ISNUMBER(B857),"Valid","Check"))))</f>
        <v>Text - Converted to Date</v>
      </c>
      <c r="E857" s="5">
        <f t="shared" si="106"/>
        <v>5</v>
      </c>
      <c r="F857" s="5">
        <f t="shared" si="107"/>
        <v>2024</v>
      </c>
      <c r="G857" s="3" t="s">
        <v>2434</v>
      </c>
      <c r="H857" s="9">
        <f>IFERROR(DATEVALUE(MID(G857,4,2) &amp; "/" &amp; LEFT(G857,2) &amp; "/" &amp; RIGHT(G857,4)), IF(ISNUMBER(G857), G857, IFERROR(DATEVALUE(G857), "")))</f>
        <v>45434</v>
      </c>
      <c r="I857" s="9" t="str">
        <f>IF(G857="","Missing", IF(AND(ISNUMBER(G857)=FALSE, H857=""),"Invalid - Could Not Parse", IF(AND(ISNUMBER(G857)=FALSE, H857&lt;&gt;""),"Text - Converted to Date", IF(ISNUMBER(G857),"Valid","Check"))))</f>
        <v>Text - Converted to Date</v>
      </c>
      <c r="J857" s="9" t="str">
        <f>IF(OR(C857="", H857=""), "Cannot Check - Date Missing", IF(H857&lt;C857, "Invalid - Ship Before Order", "Valid"))</f>
        <v>Valid</v>
      </c>
      <c r="K857" s="5">
        <f>IF(OR(C857="", H857=""), "", IF(H857&lt;C857, "", H857-C857))</f>
        <v>5</v>
      </c>
      <c r="L857" s="3" t="s">
        <v>2435</v>
      </c>
      <c r="M857" s="3" t="s">
        <v>168</v>
      </c>
      <c r="N857" s="4" t="str">
        <f>TRIM(SUBSTITUTE(M857,"_"," "))</f>
        <v>Sneha Kapoor</v>
      </c>
      <c r="O857" s="3" t="s">
        <v>26</v>
      </c>
      <c r="P857" s="6" t="str">
        <f>PROPER(TRIM(SUBSTITUTE(O857,".","")))</f>
        <v>Consumer</v>
      </c>
      <c r="Q857" s="3" t="s">
        <v>62</v>
      </c>
      <c r="R857" s="7" t="str">
        <f>PROPER(TRIM(SUBSTITUTE(Q857,"  "," ")))</f>
        <v>South</v>
      </c>
      <c r="S857" s="3" t="s">
        <v>242</v>
      </c>
      <c r="T857" s="6" t="str">
        <f>PROPER(TRIM(SUBSTITUTE(S857,"  "," ")))</f>
        <v>Kerala</v>
      </c>
      <c r="U857" s="3" t="s">
        <v>243</v>
      </c>
      <c r="V857" s="6" t="str">
        <f>PROPER(TRIM(SUBSTITUTE(U857,"  "," ")))</f>
        <v>Kochi</v>
      </c>
      <c r="W857" s="3" t="s">
        <v>86</v>
      </c>
      <c r="X857" s="6" t="str">
        <f>PROPER(TRIM(SUBSTITUTE(W857,"  "," ")))</f>
        <v>Technology</v>
      </c>
      <c r="Y857" s="3" t="s">
        <v>223</v>
      </c>
      <c r="Z857" s="6" t="str">
        <f>PROPER(TRIM(SUBSTITUTE(Y857,"  "," ")))</f>
        <v>Phones</v>
      </c>
      <c r="AA857" s="3" t="s">
        <v>2436</v>
      </c>
      <c r="AB857" s="3" t="s">
        <v>48</v>
      </c>
      <c r="AC857" s="6" t="str">
        <f>PROPER(TRIM(SUBSTITUTE(AB857,"  "," ")))</f>
        <v>Same Day</v>
      </c>
      <c r="AD857" s="3">
        <v>9</v>
      </c>
      <c r="AE857" s="3">
        <v>3795.99</v>
      </c>
      <c r="AF857" s="3" t="s">
        <v>1170</v>
      </c>
      <c r="AG857" s="17" t="s">
        <v>1170</v>
      </c>
      <c r="AH857" s="6" t="str">
        <f t="shared" si="108"/>
        <v>Invalid - Above Range</v>
      </c>
      <c r="AI857" s="3">
        <v>34163.910000000003</v>
      </c>
      <c r="AJ857" s="3">
        <v>28577.15</v>
      </c>
      <c r="AK857" s="3">
        <v>5586.76</v>
      </c>
      <c r="AL857" s="3" t="s">
        <v>34</v>
      </c>
      <c r="AM857" s="6" t="str">
        <f>PROPER(TRIM(SUBSTITUTE(AL857,".","")))</f>
        <v>Paid</v>
      </c>
      <c r="AN857" s="3" t="s">
        <v>35</v>
      </c>
      <c r="AO857" s="8" t="str">
        <f>PROPER(TRIM(SUBSTITUTE(AN857,".","")))</f>
        <v>Completed</v>
      </c>
      <c r="AP857" t="str">
        <f>IF(COUNTIF($A$2:$A$933, A857) &gt; 1, "Duplicate ID", "Unique")</f>
        <v>Unique</v>
      </c>
      <c r="AR857">
        <f t="shared" si="109"/>
        <v>5124.5865000000003</v>
      </c>
      <c r="AS857">
        <f t="shared" si="110"/>
        <v>-23452.5635</v>
      </c>
      <c r="AT857" s="15">
        <f t="shared" si="111"/>
        <v>-4.5764791949555343</v>
      </c>
      <c r="AU857" t="str">
        <f t="shared" si="112"/>
        <v>Invalid</v>
      </c>
      <c r="AV857" s="8" t="str">
        <f t="shared" si="113"/>
        <v>Active</v>
      </c>
    </row>
    <row r="858" spans="1:48">
      <c r="A858" s="3" t="s">
        <v>2477</v>
      </c>
      <c r="B858" s="3" t="s">
        <v>644</v>
      </c>
      <c r="C858" s="10">
        <f>IFERROR(DATEVALUE(MID(B858,4,2) &amp; "/" &amp; LEFT(B858,2) &amp; "/" &amp; RIGHT(B858,4)), IF(ISNUMBER(B858), B858, IFERROR(DATEVALUE(B858), "")))</f>
        <v>45583</v>
      </c>
      <c r="D858" s="9" t="str">
        <f>IF(B858="","Missing", IF(AND(ISNUMBER(B858)=FALSE, C858=""),"Invalid - Could Not Parse", IF(AND(ISNUMBER(B858)=FALSE, C858&lt;&gt;""),"Text - Converted to Date", IF(ISNUMBER(B858),"Valid","Check"))))</f>
        <v>Text - Converted to Date</v>
      </c>
      <c r="E858" s="5">
        <f t="shared" si="106"/>
        <v>10</v>
      </c>
      <c r="F858" s="5">
        <f t="shared" si="107"/>
        <v>2024</v>
      </c>
      <c r="G858" s="3" t="s">
        <v>2478</v>
      </c>
      <c r="H858" s="9">
        <f>IFERROR(DATEVALUE(TEXT(G858,"DD/MM/YYYY")), IF(ISNUMBER(G858), G858, ""))</f>
        <v>45586</v>
      </c>
      <c r="I858" s="9" t="str">
        <f>IF(G858="","Missing", IF(AND(ISNUMBER(G858)=FALSE, H858=""),"Invalid - Could Not Parse", IF(AND(ISNUMBER(G858)=FALSE, H858&lt;&gt;""),"Text - Converted to Date", IF(ISNUMBER(G858),"Valid","Check"))))</f>
        <v>Text - Converted to Date</v>
      </c>
      <c r="J858" s="9" t="str">
        <f>IF(OR(C858="", H858=""), "Cannot Check - Date Missing", IF(H858&lt;C858, "Invalid - Ship Before Order", "Valid"))</f>
        <v>Valid</v>
      </c>
      <c r="K858" s="5">
        <f>IF(OR(C858="", H858=""), "", IF(H858&lt;C858, "", H858-C858))</f>
        <v>3</v>
      </c>
      <c r="L858" s="3" t="s">
        <v>2479</v>
      </c>
      <c r="M858" s="3" t="s">
        <v>2480</v>
      </c>
      <c r="N858" s="4" t="str">
        <f>TRIM(SUBSTITUTE(M858,"_"," "))</f>
        <v>Aarav Sharma</v>
      </c>
      <c r="O858" s="3" t="s">
        <v>26</v>
      </c>
      <c r="P858" s="6" t="str">
        <f>PROPER(TRIM(SUBSTITUTE(O858,".","")))</f>
        <v>Consumer</v>
      </c>
      <c r="Q858" s="3" t="s">
        <v>62</v>
      </c>
      <c r="R858" s="7" t="str">
        <f>PROPER(TRIM(SUBSTITUTE(Q858,"  "," ")))</f>
        <v>South</v>
      </c>
      <c r="S858" s="3" t="s">
        <v>229</v>
      </c>
      <c r="T858" s="6" t="str">
        <f>PROPER(TRIM(SUBSTITUTE(S858,"  "," ")))</f>
        <v>Karnataka</v>
      </c>
      <c r="U858" s="3" t="s">
        <v>230</v>
      </c>
      <c r="V858" s="6" t="str">
        <f>PROPER(TRIM(SUBSTITUTE(U858,"  "," ")))</f>
        <v>Bengaluru</v>
      </c>
      <c r="W858" s="3" t="s">
        <v>30</v>
      </c>
      <c r="X858" s="6" t="str">
        <f>PROPER(TRIM(SUBSTITUTE(W858,"  "," ")))</f>
        <v>Office Supplies</v>
      </c>
      <c r="Y858" s="3" t="s">
        <v>156</v>
      </c>
      <c r="Z858" s="6" t="str">
        <f>PROPER(TRIM(SUBSTITUTE(Y858,"  "," ")))</f>
        <v>Storage</v>
      </c>
      <c r="AA858" s="3" t="s">
        <v>2481</v>
      </c>
      <c r="AB858" s="3" t="s">
        <v>33</v>
      </c>
      <c r="AC858" s="6" t="str">
        <f>PROPER(TRIM(SUBSTITUTE(AB858,"  "," ")))</f>
        <v>Second Class</v>
      </c>
      <c r="AD858" s="3">
        <v>2</v>
      </c>
      <c r="AE858" s="3">
        <v>4238.51</v>
      </c>
      <c r="AF858" s="3">
        <v>0</v>
      </c>
      <c r="AG858" s="17">
        <v>0</v>
      </c>
      <c r="AH858" s="6" t="str">
        <f t="shared" si="108"/>
        <v>Valid</v>
      </c>
      <c r="AI858" s="3">
        <v>8477.02</v>
      </c>
      <c r="AJ858" s="3">
        <v>6884.96</v>
      </c>
      <c r="AK858" s="3">
        <v>1592.06</v>
      </c>
      <c r="AL858" s="3" t="s">
        <v>34</v>
      </c>
      <c r="AM858" s="6" t="str">
        <f>PROPER(TRIM(SUBSTITUTE(AL858,".","")))</f>
        <v>Paid</v>
      </c>
      <c r="AN858" s="3" t="s">
        <v>35</v>
      </c>
      <c r="AO858" s="8" t="str">
        <f>PROPER(TRIM(SUBSTITUTE(AN858,".","")))</f>
        <v>Completed</v>
      </c>
      <c r="AP858" t="str">
        <f>IF(COUNTIF($A$2:$A$933, A858) &gt; 1, "Duplicate ID", "Unique")</f>
        <v>Unique</v>
      </c>
      <c r="AR858">
        <f t="shared" si="109"/>
        <v>8477.02</v>
      </c>
      <c r="AS858">
        <f t="shared" si="110"/>
        <v>1592.0600000000004</v>
      </c>
      <c r="AT858" s="15">
        <f t="shared" si="111"/>
        <v>0.18780892341884298</v>
      </c>
      <c r="AU858" t="str">
        <f t="shared" si="112"/>
        <v>Clean</v>
      </c>
      <c r="AV858" s="8" t="str">
        <f t="shared" si="113"/>
        <v>Active</v>
      </c>
    </row>
    <row r="859" spans="1:48">
      <c r="A859" s="3" t="s">
        <v>2482</v>
      </c>
      <c r="B859" s="3" t="s">
        <v>2483</v>
      </c>
      <c r="C859" s="10">
        <f>IFERROR(DATEVALUE(MID(B859,4,2) &amp; "/" &amp; LEFT(B859,2) &amp; "/" &amp; RIGHT(B859,4)), IF(ISNUMBER(B859), B859, IFERROR(DATEVALUE(B859), "")))</f>
        <v>45588</v>
      </c>
      <c r="D859" s="9" t="str">
        <f>IF(B859="","Missing", IF(AND(ISNUMBER(B859)=FALSE, C859=""),"Invalid - Could Not Parse", IF(AND(ISNUMBER(B859)=FALSE, C859&lt;&gt;""),"Text - Converted to Date", IF(ISNUMBER(B859),"Valid","Check"))))</f>
        <v>Text - Converted to Date</v>
      </c>
      <c r="E859" s="5">
        <f t="shared" si="106"/>
        <v>10</v>
      </c>
      <c r="F859" s="5">
        <f t="shared" si="107"/>
        <v>2024</v>
      </c>
      <c r="G859" s="3" t="s">
        <v>2484</v>
      </c>
      <c r="H859" s="9">
        <f>IFERROR(DATEVALUE(TEXT(G859,"DD/MM/YYYY")), IF(ISNUMBER(G859), G859, ""))</f>
        <v>45591</v>
      </c>
      <c r="I859" s="9" t="str">
        <f>IF(G859="","Missing", IF(AND(ISNUMBER(G859)=FALSE, H859=""),"Invalid - Could Not Parse", IF(AND(ISNUMBER(G859)=FALSE, H859&lt;&gt;""),"Text - Converted to Date", IF(ISNUMBER(G859),"Valid","Check"))))</f>
        <v>Text - Converted to Date</v>
      </c>
      <c r="J859" s="9" t="str">
        <f>IF(OR(C859="", H859=""), "Cannot Check - Date Missing", IF(H859&lt;C859, "Invalid - Ship Before Order", "Valid"))</f>
        <v>Valid</v>
      </c>
      <c r="K859" s="5">
        <f>IF(OR(C859="", H859=""), "", IF(H859&lt;C859, "", H859-C859))</f>
        <v>3</v>
      </c>
      <c r="L859" s="3" t="s">
        <v>2485</v>
      </c>
      <c r="M859" s="3" t="s">
        <v>168</v>
      </c>
      <c r="N859" s="4" t="str">
        <f>TRIM(SUBSTITUTE(M859,"_"," "))</f>
        <v>Sneha Kapoor</v>
      </c>
      <c r="O859" s="3" t="s">
        <v>26</v>
      </c>
      <c r="P859" s="6" t="str">
        <f>PROPER(TRIM(SUBSTITUTE(O859,".","")))</f>
        <v>Consumer</v>
      </c>
      <c r="Q859" s="3" t="s">
        <v>73</v>
      </c>
      <c r="R859" s="7" t="str">
        <f>PROPER(TRIM(SUBSTITUTE(Q859,"  "," ")))</f>
        <v>West</v>
      </c>
      <c r="S859" s="3" t="s">
        <v>84</v>
      </c>
      <c r="T859" s="6" t="str">
        <f>PROPER(TRIM(SUBSTITUTE(S859,"  "," ")))</f>
        <v>Madhya Pradesh</v>
      </c>
      <c r="U859" s="3" t="s">
        <v>85</v>
      </c>
      <c r="V859" s="6" t="str">
        <f>PROPER(TRIM(SUBSTITUTE(U859,"  "," ")))</f>
        <v>Indore</v>
      </c>
      <c r="W859" s="3" t="s">
        <v>45</v>
      </c>
      <c r="X859" s="6" t="str">
        <f>PROPER(TRIM(SUBSTITUTE(W859,"  "," ")))</f>
        <v>Furniture</v>
      </c>
      <c r="Y859" s="3" t="s">
        <v>204</v>
      </c>
      <c r="Z859" s="6" t="str">
        <f>PROPER(TRIM(SUBSTITUTE(Y859,"  "," ")))</f>
        <v>Bookcases</v>
      </c>
      <c r="AA859" s="3" t="s">
        <v>2486</v>
      </c>
      <c r="AB859" s="3" t="s">
        <v>67</v>
      </c>
      <c r="AC859" s="6" t="str">
        <f>PROPER(TRIM(SUBSTITUTE(AB859,"  "," ")))</f>
        <v>Standard Class</v>
      </c>
      <c r="AD859" s="3">
        <v>9</v>
      </c>
      <c r="AE859" s="3">
        <v>544.27</v>
      </c>
      <c r="AF859" s="3">
        <v>0.25</v>
      </c>
      <c r="AG859" s="17">
        <v>0.25</v>
      </c>
      <c r="AH859" s="6" t="str">
        <f t="shared" si="108"/>
        <v>Valid</v>
      </c>
      <c r="AI859" s="3">
        <v>3673.82</v>
      </c>
      <c r="AJ859" s="3">
        <v>2088.15</v>
      </c>
      <c r="AK859" s="3">
        <v>1585.67</v>
      </c>
      <c r="AL859" s="3" t="s">
        <v>34</v>
      </c>
      <c r="AM859" s="6" t="str">
        <f>PROPER(TRIM(SUBSTITUTE(AL859,".","")))</f>
        <v>Paid</v>
      </c>
      <c r="AN859" s="3" t="s">
        <v>35</v>
      </c>
      <c r="AO859" s="8" t="str">
        <f>PROPER(TRIM(SUBSTITUTE(AN859,".","")))</f>
        <v>Completed</v>
      </c>
      <c r="AP859" t="str">
        <f>IF(COUNTIF($A$2:$A$933, A859) &gt; 1, "Duplicate ID", "Unique")</f>
        <v>Unique</v>
      </c>
      <c r="AR859">
        <f t="shared" si="109"/>
        <v>3673.8225000000002</v>
      </c>
      <c r="AS859">
        <f t="shared" si="110"/>
        <v>1585.6725000000001</v>
      </c>
      <c r="AT859" s="15">
        <f t="shared" si="111"/>
        <v>0.43161380278987349</v>
      </c>
      <c r="AU859" t="str">
        <f t="shared" si="112"/>
        <v>Clean</v>
      </c>
      <c r="AV859" s="8" t="str">
        <f t="shared" si="113"/>
        <v>Active</v>
      </c>
    </row>
    <row r="860" spans="1:48">
      <c r="A860" s="3" t="s">
        <v>2501</v>
      </c>
      <c r="B860" s="3" t="s">
        <v>2502</v>
      </c>
      <c r="C860" s="10">
        <f>IFERROR(DATEVALUE(MID(B860,4,2) &amp; "/" &amp; LEFT(B860,2) &amp; "/" &amp; RIGHT(B860,4)), IF(ISNUMBER(B860), B860, IFERROR(DATEVALUE(B860), "")))</f>
        <v>45563</v>
      </c>
      <c r="D860" s="9" t="str">
        <f>IF(B860="","Missing", IF(AND(ISNUMBER(B860)=FALSE, C860=""),"Invalid - Could Not Parse", IF(AND(ISNUMBER(B860)=FALSE, C860&lt;&gt;""),"Text - Converted to Date", IF(ISNUMBER(B860),"Valid","Check"))))</f>
        <v>Text - Converted to Date</v>
      </c>
      <c r="E860" s="5">
        <f t="shared" si="106"/>
        <v>9</v>
      </c>
      <c r="F860" s="5">
        <f t="shared" si="107"/>
        <v>2024</v>
      </c>
      <c r="G860" s="3" t="s">
        <v>2503</v>
      </c>
      <c r="H860" s="9">
        <f>IFERROR(DATEVALUE(TEXT(G860,"DD/MM/YYYY")), IF(ISNUMBER(G860), G860, ""))</f>
        <v>45569</v>
      </c>
      <c r="I860" s="9" t="str">
        <f>IF(G860="","Missing", IF(AND(ISNUMBER(G860)=FALSE, H860=""),"Invalid - Could Not Parse", IF(AND(ISNUMBER(G860)=FALSE, H860&lt;&gt;""),"Text - Converted to Date", IF(ISNUMBER(G860),"Valid","Check"))))</f>
        <v>Text - Converted to Date</v>
      </c>
      <c r="J860" s="9" t="str">
        <f>IF(OR(C860="", H860=""), "Cannot Check - Date Missing", IF(H860&lt;C860, "Invalid - Ship Before Order", "Valid"))</f>
        <v>Valid</v>
      </c>
      <c r="K860" s="5">
        <f>IF(OR(C860="", H860=""), "", IF(H860&lt;C860, "", H860-C860))</f>
        <v>6</v>
      </c>
      <c r="L860" s="3" t="s">
        <v>2504</v>
      </c>
      <c r="M860" s="3" t="s">
        <v>366</v>
      </c>
      <c r="N860" s="4" t="str">
        <f>TRIM(SUBSTITUTE(M860,"_"," "))</f>
        <v>Kabir Singh</v>
      </c>
      <c r="O860" s="3" t="s">
        <v>115</v>
      </c>
      <c r="P860" s="6" t="str">
        <f>PROPER(TRIM(SUBSTITUTE(O860,".","")))</f>
        <v>Home Office</v>
      </c>
      <c r="Q860" s="3" t="s">
        <v>27</v>
      </c>
      <c r="R860" s="7" t="str">
        <f>PROPER(TRIM(SUBSTITUTE(Q860,"  "," ")))</f>
        <v>North</v>
      </c>
      <c r="S860" s="3" t="s">
        <v>506</v>
      </c>
      <c r="T860" s="6" t="str">
        <f>PROPER(TRIM(SUBSTITUTE(S860,"  "," ")))</f>
        <v>Delhi</v>
      </c>
      <c r="U860" s="3" t="s">
        <v>507</v>
      </c>
      <c r="V860" s="6" t="str">
        <f>PROPER(TRIM(SUBSTITUTE(U860,"  "," ")))</f>
        <v>New Delhi</v>
      </c>
      <c r="W860" s="3" t="s">
        <v>86</v>
      </c>
      <c r="X860" s="6" t="str">
        <f>PROPER(TRIM(SUBSTITUTE(W860,"  "," ")))</f>
        <v>Technology</v>
      </c>
      <c r="Y860" s="3" t="s">
        <v>94</v>
      </c>
      <c r="Z860" s="6" t="str">
        <f>PROPER(TRIM(SUBSTITUTE(Y860,"  "," ")))</f>
        <v>Copiers</v>
      </c>
      <c r="AA860" s="3" t="s">
        <v>2505</v>
      </c>
      <c r="AB860" s="3" t="s">
        <v>67</v>
      </c>
      <c r="AC860" s="6" t="str">
        <f>PROPER(TRIM(SUBSTITUTE(AB860,"  "," ")))</f>
        <v>Standard Class</v>
      </c>
      <c r="AD860" s="3">
        <v>1</v>
      </c>
      <c r="AE860" s="3">
        <v>2233.1799999999998</v>
      </c>
      <c r="AF860" s="3">
        <v>0</v>
      </c>
      <c r="AG860" s="17">
        <v>0</v>
      </c>
      <c r="AH860" s="6" t="str">
        <f t="shared" si="108"/>
        <v>Valid</v>
      </c>
      <c r="AI860" s="3">
        <v>2233.1799999999998</v>
      </c>
      <c r="AJ860" s="3">
        <v>1585.82</v>
      </c>
      <c r="AK860" s="3">
        <v>647.36</v>
      </c>
      <c r="AL860" s="3" t="s">
        <v>200</v>
      </c>
      <c r="AM860" s="6" t="str">
        <f>PROPER(TRIM(SUBSTITUTE(AL860,".","")))</f>
        <v>Failed</v>
      </c>
      <c r="AN860" s="3" t="s">
        <v>125</v>
      </c>
      <c r="AO860" s="8" t="str">
        <f>PROPER(TRIM(SUBSTITUTE(AN860,".","")))</f>
        <v>Returned</v>
      </c>
      <c r="AP860" t="str">
        <f>IF(COUNTIF($A$2:$A$933, A860) &gt; 1, "Duplicate ID", "Unique")</f>
        <v>Unique</v>
      </c>
      <c r="AR860">
        <f t="shared" si="109"/>
        <v>2233.1799999999998</v>
      </c>
      <c r="AS860">
        <f t="shared" si="110"/>
        <v>647.3599999999999</v>
      </c>
      <c r="AT860" s="15">
        <f t="shared" si="111"/>
        <v>0.28988258895386843</v>
      </c>
      <c r="AU860" t="str">
        <f t="shared" si="112"/>
        <v>Clean</v>
      </c>
      <c r="AV860" s="8" t="str">
        <f t="shared" si="113"/>
        <v>Active</v>
      </c>
    </row>
    <row r="861" spans="1:48">
      <c r="A861" s="3" t="s">
        <v>2527</v>
      </c>
      <c r="B861" s="3" t="s">
        <v>2528</v>
      </c>
      <c r="C861" s="10">
        <f>IFERROR(DATEVALUE(MID(B861,4,2) &amp; "/" &amp; LEFT(B861,2) &amp; "/" &amp; RIGHT(B861,4)), IF(ISNUMBER(B861), B861, IFERROR(DATEVALUE(B861), "")))</f>
        <v>45716</v>
      </c>
      <c r="D861" s="9" t="str">
        <f>IF(B861="","Missing", IF(AND(ISNUMBER(B861)=FALSE, C861=""),"Invalid - Could Not Parse", IF(AND(ISNUMBER(B861)=FALSE, C861&lt;&gt;""),"Text - Converted to Date", IF(ISNUMBER(B861),"Valid","Check"))))</f>
        <v>Text - Converted to Date</v>
      </c>
      <c r="E861" s="5">
        <f t="shared" si="106"/>
        <v>2</v>
      </c>
      <c r="F861" s="5">
        <f t="shared" si="107"/>
        <v>2025</v>
      </c>
      <c r="G861" s="3" t="s">
        <v>2324</v>
      </c>
      <c r="H861" s="9">
        <f>IFERROR(DATEVALUE(TEXT(G861,"DD/MM/YYYY")), IF(ISNUMBER(G861), G861, ""))</f>
        <v>45724</v>
      </c>
      <c r="I861" s="9" t="str">
        <f>IF(G861="","Missing", IF(AND(ISNUMBER(G861)=FALSE, H861=""),"Invalid - Could Not Parse", IF(AND(ISNUMBER(G861)=FALSE, H861&lt;&gt;""),"Text - Converted to Date", IF(ISNUMBER(G861),"Valid","Check"))))</f>
        <v>Text - Converted to Date</v>
      </c>
      <c r="J861" s="9" t="str">
        <f>IF(OR(C861="", H861=""), "Cannot Check - Date Missing", IF(H861&lt;C861, "Invalid - Ship Before Order", "Valid"))</f>
        <v>Valid</v>
      </c>
      <c r="K861" s="5">
        <f>IF(OR(C861="", H861=""), "", IF(H861&lt;C861, "", H861-C861))</f>
        <v>8</v>
      </c>
      <c r="L861" s="3" t="s">
        <v>2529</v>
      </c>
      <c r="M861" s="3" t="s">
        <v>93</v>
      </c>
      <c r="N861" s="4" t="str">
        <f>TRIM(SUBSTITUTE(M861,"_"," "))</f>
        <v>Neha Gupta</v>
      </c>
      <c r="O861" s="3" t="s">
        <v>41</v>
      </c>
      <c r="P861" s="6" t="str">
        <f>PROPER(TRIM(SUBSTITUTE(O861,".","")))</f>
        <v>Small Business</v>
      </c>
      <c r="Q861" s="3" t="s">
        <v>42</v>
      </c>
      <c r="R861" s="7" t="str">
        <f>PROPER(TRIM(SUBSTITUTE(Q861,"  "," ")))</f>
        <v>East</v>
      </c>
      <c r="S861" s="3" t="s">
        <v>311</v>
      </c>
      <c r="T861" s="6" t="str">
        <f>PROPER(TRIM(SUBSTITUTE(S861,"  "," ")))</f>
        <v>Jharkhand</v>
      </c>
      <c r="U861" s="3" t="s">
        <v>312</v>
      </c>
      <c r="V861" s="6" t="str">
        <f>PROPER(TRIM(SUBSTITUTE(U861,"  "," ")))</f>
        <v>Ranchi</v>
      </c>
      <c r="W861" s="3" t="s">
        <v>86</v>
      </c>
      <c r="X861" s="6" t="str">
        <f>PROPER(TRIM(SUBSTITUTE(W861,"  "," ")))</f>
        <v>Technology</v>
      </c>
      <c r="Y861" s="3" t="s">
        <v>223</v>
      </c>
      <c r="Z861" s="6" t="str">
        <f>PROPER(TRIM(SUBSTITUTE(Y861,"  "," ")))</f>
        <v>Phones</v>
      </c>
      <c r="AA861" s="3" t="s">
        <v>2530</v>
      </c>
      <c r="AB861" s="3" t="s">
        <v>56</v>
      </c>
      <c r="AC861" s="6" t="str">
        <f>PROPER(TRIM(SUBSTITUTE(AB861,"  "," ")))</f>
        <v>First Class</v>
      </c>
      <c r="AD861" s="3">
        <v>9</v>
      </c>
      <c r="AE861" s="3">
        <v>3670.54</v>
      </c>
      <c r="AF861" s="3">
        <v>0</v>
      </c>
      <c r="AG861" s="17">
        <v>0</v>
      </c>
      <c r="AH861" s="6" t="str">
        <f t="shared" si="108"/>
        <v>Valid</v>
      </c>
      <c r="AI861" s="3">
        <v>33034.86</v>
      </c>
      <c r="AJ861" s="3">
        <v>24539.83</v>
      </c>
      <c r="AK861" s="3">
        <v>8495.0300000000007</v>
      </c>
      <c r="AL861" s="3" t="s">
        <v>34</v>
      </c>
      <c r="AM861" s="6" t="str">
        <f>PROPER(TRIM(SUBSTITUTE(AL861,".","")))</f>
        <v>Paid</v>
      </c>
      <c r="AN861" s="3" t="s">
        <v>35</v>
      </c>
      <c r="AO861" s="8" t="str">
        <f>PROPER(TRIM(SUBSTITUTE(AN861,".","")))</f>
        <v>Completed</v>
      </c>
      <c r="AP861" t="str">
        <f>IF(COUNTIF($A$2:$A$933, A861) &gt; 1, "Duplicate ID", "Unique")</f>
        <v>Unique</v>
      </c>
      <c r="AR861">
        <f t="shared" si="109"/>
        <v>33034.86</v>
      </c>
      <c r="AS861">
        <f t="shared" si="110"/>
        <v>8495.0299999999988</v>
      </c>
      <c r="AT861" s="15">
        <f t="shared" si="111"/>
        <v>0.25715350390466307</v>
      </c>
      <c r="AU861" t="str">
        <f t="shared" si="112"/>
        <v>Clean</v>
      </c>
      <c r="AV861" s="8" t="str">
        <f t="shared" si="113"/>
        <v>Active</v>
      </c>
    </row>
    <row r="862" spans="1:48">
      <c r="A862" s="3" t="s">
        <v>2541</v>
      </c>
      <c r="B862" s="3" t="s">
        <v>2542</v>
      </c>
      <c r="C862" s="10">
        <f>IFERROR(DATEVALUE(MID(B862,4,2) &amp; "/" &amp; LEFT(B862,2) &amp; "/" &amp; RIGHT(B862,4)), IF(ISNUMBER(B862), B862, IFERROR(DATEVALUE(B862), "")))</f>
        <v>45582</v>
      </c>
      <c r="D862" s="9" t="str">
        <f>IF(B862="","Missing", IF(AND(ISNUMBER(B862)=FALSE, C862=""),"Invalid - Could Not Parse", IF(AND(ISNUMBER(B862)=FALSE, C862&lt;&gt;""),"Text - Converted to Date", IF(ISNUMBER(B862),"Valid","Check"))))</f>
        <v>Text - Converted to Date</v>
      </c>
      <c r="E862" s="5">
        <f t="shared" si="106"/>
        <v>10</v>
      </c>
      <c r="F862" s="5">
        <f t="shared" si="107"/>
        <v>2024</v>
      </c>
      <c r="G862" s="3" t="s">
        <v>2543</v>
      </c>
      <c r="H862" s="9">
        <f>IFERROR(DATEVALUE(TEXT(G862,"DD/MM/YYYY")), IF(ISNUMBER(G862), G862, ""))</f>
        <v>45582</v>
      </c>
      <c r="I862" s="9" t="str">
        <f>IF(G862="","Missing", IF(AND(ISNUMBER(G862)=FALSE, H862=""),"Invalid - Could Not Parse", IF(AND(ISNUMBER(G862)=FALSE, H862&lt;&gt;""),"Text - Converted to Date", IF(ISNUMBER(G862),"Valid","Check"))))</f>
        <v>Text - Converted to Date</v>
      </c>
      <c r="J862" s="9" t="str">
        <f>IF(OR(C862="", H862=""), "Cannot Check - Date Missing", IF(H862&lt;C862, "Invalid - Ship Before Order", "Valid"))</f>
        <v>Valid</v>
      </c>
      <c r="K862" s="5">
        <f>IF(OR(C862="", H862=""), "", IF(H862&lt;C862, "", H862-C862))</f>
        <v>0</v>
      </c>
      <c r="L862" s="3" t="s">
        <v>2544</v>
      </c>
      <c r="M862" s="3" t="s">
        <v>142</v>
      </c>
      <c r="N862" s="4" t="str">
        <f>TRIM(SUBSTITUTE(M862,"_"," "))</f>
        <v>Priya Menon</v>
      </c>
      <c r="O862" s="3" t="s">
        <v>115</v>
      </c>
      <c r="P862" s="6" t="str">
        <f>PROPER(TRIM(SUBSTITUTE(O862,".","")))</f>
        <v>Home Office</v>
      </c>
      <c r="Q862" s="3" t="s">
        <v>42</v>
      </c>
      <c r="R862" s="7" t="str">
        <f>PROPER(TRIM(SUBSTITUTE(Q862,"  "," ")))</f>
        <v>East</v>
      </c>
      <c r="S862" s="3" t="s">
        <v>121</v>
      </c>
      <c r="T862" s="6" t="str">
        <f>PROPER(TRIM(SUBSTITUTE(S862,"  "," ")))</f>
        <v>West Bengal</v>
      </c>
      <c r="U862" s="3" t="s">
        <v>122</v>
      </c>
      <c r="V862" s="6" t="str">
        <f>PROPER(TRIM(SUBSTITUTE(U862,"  "," ")))</f>
        <v>Kolkata</v>
      </c>
      <c r="W862" s="3" t="s">
        <v>45</v>
      </c>
      <c r="X862" s="6" t="str">
        <f>PROPER(TRIM(SUBSTITUTE(W862,"  "," ")))</f>
        <v>Furniture</v>
      </c>
      <c r="Y862" s="3" t="s">
        <v>76</v>
      </c>
      <c r="Z862" s="6" t="str">
        <f>PROPER(TRIM(SUBSTITUTE(Y862,"  "," ")))</f>
        <v>Chairs</v>
      </c>
      <c r="AA862" s="3" t="s">
        <v>2545</v>
      </c>
      <c r="AB862" s="3" t="s">
        <v>67</v>
      </c>
      <c r="AC862" s="6" t="str">
        <f>PROPER(TRIM(SUBSTITUTE(AB862,"  "," ")))</f>
        <v>Standard Class</v>
      </c>
      <c r="AD862" s="3">
        <v>5</v>
      </c>
      <c r="AE862" s="3">
        <v>2524.4</v>
      </c>
      <c r="AF862" s="3">
        <v>0.1</v>
      </c>
      <c r="AG862" s="17">
        <v>0.1</v>
      </c>
      <c r="AH862" s="6" t="str">
        <f t="shared" si="108"/>
        <v>Valid</v>
      </c>
      <c r="AI862" s="3">
        <v>11359.8</v>
      </c>
      <c r="AJ862" s="3">
        <v>7062.44</v>
      </c>
      <c r="AK862" s="3">
        <v>4297.3599999999997</v>
      </c>
      <c r="AL862" s="3" t="s">
        <v>34</v>
      </c>
      <c r="AM862" s="6" t="str">
        <f>PROPER(TRIM(SUBSTITUTE(AL862,".","")))</f>
        <v>Paid</v>
      </c>
      <c r="AN862" s="3" t="s">
        <v>35</v>
      </c>
      <c r="AO862" s="8" t="str">
        <f>PROPER(TRIM(SUBSTITUTE(AN862,".","")))</f>
        <v>Completed</v>
      </c>
      <c r="AP862" t="str">
        <f>IF(COUNTIF($A$2:$A$933, A862) &gt; 1, "Duplicate ID", "Unique")</f>
        <v>Unique</v>
      </c>
      <c r="AR862">
        <f t="shared" si="109"/>
        <v>11359.800000000001</v>
      </c>
      <c r="AS862">
        <f t="shared" si="110"/>
        <v>4297.3600000000015</v>
      </c>
      <c r="AT862" s="15">
        <f t="shared" si="111"/>
        <v>0.37829539252451638</v>
      </c>
      <c r="AU862" t="str">
        <f t="shared" si="112"/>
        <v>Clean</v>
      </c>
      <c r="AV862" s="8" t="str">
        <f t="shared" si="113"/>
        <v>Active</v>
      </c>
    </row>
    <row r="863" spans="1:48">
      <c r="A863" s="3" t="s">
        <v>2564</v>
      </c>
      <c r="B863" s="3" t="s">
        <v>2565</v>
      </c>
      <c r="C863" s="10">
        <f>IFERROR(DATEVALUE(MID(B863,4,2) &amp; "/" &amp; LEFT(B863,2) &amp; "/" &amp; RIGHT(B863,4)), IF(ISNUMBER(B863), B863, IFERROR(DATEVALUE(B863), "")))</f>
        <v>45807</v>
      </c>
      <c r="D863" s="9" t="str">
        <f>IF(B863="","Missing", IF(AND(ISNUMBER(B863)=FALSE, C863=""),"Invalid - Could Not Parse", IF(AND(ISNUMBER(B863)=FALSE, C863&lt;&gt;""),"Text - Converted to Date", IF(ISNUMBER(B863),"Valid","Check"))))</f>
        <v>Text - Converted to Date</v>
      </c>
      <c r="E863" s="5">
        <f t="shared" si="106"/>
        <v>5</v>
      </c>
      <c r="F863" s="5">
        <f t="shared" si="107"/>
        <v>2025</v>
      </c>
      <c r="G863" s="3" t="s">
        <v>2566</v>
      </c>
      <c r="H863" s="9">
        <f>IFERROR(DATEVALUE(TEXT(G863,"DD/MM/YYYY")), IF(ISNUMBER(G863), G863, ""))</f>
        <v>45809</v>
      </c>
      <c r="I863" s="9" t="str">
        <f>IF(G863="","Missing", IF(AND(ISNUMBER(G863)=FALSE, H863=""),"Invalid - Could Not Parse", IF(AND(ISNUMBER(G863)=FALSE, H863&lt;&gt;""),"Text - Converted to Date", IF(ISNUMBER(G863),"Valid","Check"))))</f>
        <v>Text - Converted to Date</v>
      </c>
      <c r="J863" s="9" t="str">
        <f>IF(OR(C863="", H863=""), "Cannot Check - Date Missing", IF(H863&lt;C863, "Invalid - Ship Before Order", "Valid"))</f>
        <v>Valid</v>
      </c>
      <c r="K863" s="5">
        <f>IF(OR(C863="", H863=""), "", IF(H863&lt;C863, "", H863-C863))</f>
        <v>2</v>
      </c>
      <c r="L863" s="3" t="s">
        <v>2567</v>
      </c>
      <c r="M863" s="3" t="s">
        <v>148</v>
      </c>
      <c r="N863" s="4" t="str">
        <f>TRIM(SUBSTITUTE(M863,"_"," "))</f>
        <v>Rahul Verma</v>
      </c>
      <c r="O863" s="3" t="s">
        <v>115</v>
      </c>
      <c r="P863" s="6" t="str">
        <f>PROPER(TRIM(SUBSTITUTE(O863,".","")))</f>
        <v>Home Office</v>
      </c>
      <c r="Q863" s="3" t="s">
        <v>62</v>
      </c>
      <c r="R863" s="7" t="str">
        <f>PROPER(TRIM(SUBSTITUTE(Q863,"  "," ")))</f>
        <v>South</v>
      </c>
      <c r="S863" s="3" t="s">
        <v>339</v>
      </c>
      <c r="T863" s="6" t="str">
        <f>PROPER(TRIM(SUBSTITUTE(S863,"  "," ")))</f>
        <v>Tamil Nadu</v>
      </c>
      <c r="U863" s="3" t="s">
        <v>340</v>
      </c>
      <c r="V863" s="6" t="str">
        <f>PROPER(TRIM(SUBSTITUTE(U863,"  "," ")))</f>
        <v>Chennai</v>
      </c>
      <c r="W863" s="3" t="s">
        <v>30</v>
      </c>
      <c r="X863" s="6" t="str">
        <f>PROPER(TRIM(SUBSTITUTE(W863,"  "," ")))</f>
        <v>Office Supplies</v>
      </c>
      <c r="Y863" s="3" t="s">
        <v>198</v>
      </c>
      <c r="Z863" s="6" t="str">
        <f>PROPER(TRIM(SUBSTITUTE(Y863,"  "," ")))</f>
        <v>Binders</v>
      </c>
      <c r="AA863" s="3" t="s">
        <v>2568</v>
      </c>
      <c r="AB863" s="3" t="s">
        <v>67</v>
      </c>
      <c r="AC863" s="6" t="str">
        <f>PROPER(TRIM(SUBSTITUTE(AB863,"  "," ")))</f>
        <v>Standard Class</v>
      </c>
      <c r="AD863" s="3">
        <v>9</v>
      </c>
      <c r="AE863" s="3">
        <v>1994.51</v>
      </c>
      <c r="AF863" s="3">
        <v>0.05</v>
      </c>
      <c r="AG863" s="17">
        <v>0.05</v>
      </c>
      <c r="AH863" s="6" t="str">
        <f t="shared" si="108"/>
        <v>Valid</v>
      </c>
      <c r="AI863" s="3">
        <v>17053.060000000001</v>
      </c>
      <c r="AJ863" s="3">
        <v>10742.38</v>
      </c>
      <c r="AK863" s="3">
        <v>6310.68</v>
      </c>
      <c r="AL863" s="3" t="s">
        <v>34</v>
      </c>
      <c r="AM863" s="6" t="str">
        <f>PROPER(TRIM(SUBSTITUTE(AL863,".","")))</f>
        <v>Paid</v>
      </c>
      <c r="AN863" s="3" t="s">
        <v>35</v>
      </c>
      <c r="AO863" s="8" t="str">
        <f>PROPER(TRIM(SUBSTITUTE(AN863,".","")))</f>
        <v>Completed</v>
      </c>
      <c r="AP863" t="str">
        <f>IF(COUNTIF($A$2:$A$933, A863) &gt; 1, "Duplicate ID", "Unique")</f>
        <v>Unique</v>
      </c>
      <c r="AR863">
        <f t="shared" si="109"/>
        <v>17053.0605</v>
      </c>
      <c r="AS863">
        <f t="shared" si="110"/>
        <v>6310.6805000000004</v>
      </c>
      <c r="AT863" s="15">
        <f t="shared" si="111"/>
        <v>0.37006146198801093</v>
      </c>
      <c r="AU863" t="str">
        <f t="shared" si="112"/>
        <v>Clean</v>
      </c>
      <c r="AV863" s="8" t="str">
        <f t="shared" si="113"/>
        <v>Active</v>
      </c>
    </row>
    <row r="864" spans="1:48">
      <c r="A864" s="3" t="s">
        <v>2580</v>
      </c>
      <c r="B864" s="3" t="s">
        <v>2581</v>
      </c>
      <c r="C864" s="10">
        <f>IFERROR(DATEVALUE(MID(B864,4,2) &amp; "/" &amp; LEFT(B864,2) &amp; "/" &amp; RIGHT(B864,4)), IF(ISNUMBER(B864), B864, IFERROR(DATEVALUE(B864), "")))</f>
        <v>45774</v>
      </c>
      <c r="D864" s="9" t="str">
        <f>IF(B864="","Missing", IF(AND(ISNUMBER(B864)=FALSE, C864=""),"Invalid - Could Not Parse", IF(AND(ISNUMBER(B864)=FALSE, C864&lt;&gt;""),"Text - Converted to Date", IF(ISNUMBER(B864),"Valid","Check"))))</f>
        <v>Text - Converted to Date</v>
      </c>
      <c r="E864" s="5">
        <f t="shared" si="106"/>
        <v>4</v>
      </c>
      <c r="F864" s="5">
        <f t="shared" si="107"/>
        <v>2025</v>
      </c>
      <c r="G864" s="3" t="s">
        <v>2582</v>
      </c>
      <c r="H864" s="9">
        <f>IFERROR(DATEVALUE(TEXT(G864,"DD/MM/YYYY")), IF(ISNUMBER(G864), G864, ""))</f>
        <v>45782</v>
      </c>
      <c r="I864" s="9" t="str">
        <f>IF(G864="","Missing", IF(AND(ISNUMBER(G864)=FALSE, H864=""),"Invalid - Could Not Parse", IF(AND(ISNUMBER(G864)=FALSE, H864&lt;&gt;""),"Text - Converted to Date", IF(ISNUMBER(G864),"Valid","Check"))))</f>
        <v>Text - Converted to Date</v>
      </c>
      <c r="J864" s="9" t="str">
        <f>IF(OR(C864="", H864=""), "Cannot Check - Date Missing", IF(H864&lt;C864, "Invalid - Ship Before Order", "Valid"))</f>
        <v>Valid</v>
      </c>
      <c r="K864" s="5">
        <f>IF(OR(C864="", H864=""), "", IF(H864&lt;C864, "", H864-C864))</f>
        <v>8</v>
      </c>
      <c r="L864" s="3" t="s">
        <v>2583</v>
      </c>
      <c r="M864" s="3" t="s">
        <v>180</v>
      </c>
      <c r="N864" s="4" t="str">
        <f>TRIM(SUBSTITUTE(M864,"_"," "))</f>
        <v>Rohan Mehta</v>
      </c>
      <c r="O864" s="3" t="s">
        <v>115</v>
      </c>
      <c r="P864" s="6" t="str">
        <f>PROPER(TRIM(SUBSTITUTE(O864,".","")))</f>
        <v>Home Office</v>
      </c>
      <c r="Q864" s="3" t="s">
        <v>42</v>
      </c>
      <c r="R864" s="7" t="str">
        <f>PROPER(TRIM(SUBSTITUTE(Q864,"  "," ")))</f>
        <v>East</v>
      </c>
      <c r="S864" s="3" t="s">
        <v>186</v>
      </c>
      <c r="T864" s="6" t="str">
        <f>PROPER(TRIM(SUBSTITUTE(S864,"  "," ")))</f>
        <v>Bihar</v>
      </c>
      <c r="U864" s="3" t="s">
        <v>187</v>
      </c>
      <c r="V864" s="6" t="str">
        <f>PROPER(TRIM(SUBSTITUTE(U864,"  "," ")))</f>
        <v>Patna</v>
      </c>
      <c r="W864" s="3" t="s">
        <v>86</v>
      </c>
      <c r="X864" s="6" t="str">
        <f>PROPER(TRIM(SUBSTITUTE(W864,"  "," ")))</f>
        <v>Technology</v>
      </c>
      <c r="Y864" s="3" t="s">
        <v>87</v>
      </c>
      <c r="Z864" s="6" t="str">
        <f>PROPER(TRIM(SUBSTITUTE(Y864,"  "," ")))</f>
        <v>Accessories</v>
      </c>
      <c r="AA864" s="3" t="s">
        <v>2584</v>
      </c>
      <c r="AB864" s="3" t="s">
        <v>33</v>
      </c>
      <c r="AC864" s="6" t="str">
        <f>PROPER(TRIM(SUBSTITUTE(AB864,"  "," ")))</f>
        <v>Second Class</v>
      </c>
      <c r="AD864" s="3">
        <v>4</v>
      </c>
      <c r="AE864" s="3">
        <v>3963.39</v>
      </c>
      <c r="AF864" s="3">
        <v>0.1</v>
      </c>
      <c r="AG864" s="17">
        <v>0.1</v>
      </c>
      <c r="AH864" s="6" t="str">
        <f t="shared" si="108"/>
        <v>Valid</v>
      </c>
      <c r="AI864" s="3">
        <v>14268.2</v>
      </c>
      <c r="AJ864" s="3">
        <v>11705.3</v>
      </c>
      <c r="AK864" s="3">
        <v>2562.9</v>
      </c>
      <c r="AL864" s="3" t="s">
        <v>137</v>
      </c>
      <c r="AM864" s="6" t="str">
        <f>PROPER(TRIM(SUBSTITUTE(AL864,".","")))</f>
        <v>Pending</v>
      </c>
      <c r="AN864" s="3" t="s">
        <v>125</v>
      </c>
      <c r="AO864" s="8" t="str">
        <f>PROPER(TRIM(SUBSTITUTE(AN864,".","")))</f>
        <v>Returned</v>
      </c>
      <c r="AP864" t="str">
        <f>IF(COUNTIF($A$2:$A$933, A864) &gt; 1, "Duplicate ID", "Unique")</f>
        <v>Unique</v>
      </c>
      <c r="AR864">
        <f t="shared" si="109"/>
        <v>14268.204</v>
      </c>
      <c r="AS864">
        <f t="shared" si="110"/>
        <v>2562.9040000000005</v>
      </c>
      <c r="AT864" s="15">
        <f t="shared" si="111"/>
        <v>0.17962344805274724</v>
      </c>
      <c r="AU864" t="str">
        <f t="shared" si="112"/>
        <v>Clean</v>
      </c>
      <c r="AV864" s="8" t="str">
        <f t="shared" si="113"/>
        <v>Active</v>
      </c>
    </row>
    <row r="865" spans="1:48">
      <c r="A865" s="3" t="s">
        <v>2616</v>
      </c>
      <c r="B865" s="3" t="s">
        <v>2617</v>
      </c>
      <c r="C865" s="10">
        <f>IFERROR(DATEVALUE(MID(B865,4,2) &amp; "/" &amp; LEFT(B865,2) &amp; "/" &amp; RIGHT(B865,4)), IF(ISNUMBER(B865), B865, IFERROR(DATEVALUE(B865), "")))</f>
        <v>45552</v>
      </c>
      <c r="D865" s="9" t="str">
        <f>IF(B865="","Missing", IF(AND(ISNUMBER(B865)=FALSE, C865=""),"Invalid - Could Not Parse", IF(AND(ISNUMBER(B865)=FALSE, C865&lt;&gt;""),"Text - Converted to Date", IF(ISNUMBER(B865),"Valid","Check"))))</f>
        <v>Text - Converted to Date</v>
      </c>
      <c r="E865" s="5">
        <f t="shared" si="106"/>
        <v>9</v>
      </c>
      <c r="F865" s="5">
        <f t="shared" si="107"/>
        <v>2024</v>
      </c>
      <c r="G865" s="3" t="s">
        <v>2618</v>
      </c>
      <c r="H865" s="9">
        <f>IFERROR(DATEVALUE(TEXT(G865,"DD/MM/YYYY")), IF(ISNUMBER(G865), G865, ""))</f>
        <v>45558</v>
      </c>
      <c r="I865" s="9" t="str">
        <f>IF(G865="","Missing", IF(AND(ISNUMBER(G865)=FALSE, H865=""),"Invalid - Could Not Parse", IF(AND(ISNUMBER(G865)=FALSE, H865&lt;&gt;""),"Text - Converted to Date", IF(ISNUMBER(G865),"Valid","Check"))))</f>
        <v>Text - Converted to Date</v>
      </c>
      <c r="J865" s="9" t="str">
        <f>IF(OR(C865="", H865=""), "Cannot Check - Date Missing", IF(H865&lt;C865, "Invalid - Ship Before Order", "Valid"))</f>
        <v>Valid</v>
      </c>
      <c r="K865" s="5">
        <f>IF(OR(C865="", H865=""), "", IF(H865&lt;C865, "", H865-C865))</f>
        <v>6</v>
      </c>
      <c r="L865" s="3" t="s">
        <v>2619</v>
      </c>
      <c r="M865" s="3" t="s">
        <v>148</v>
      </c>
      <c r="N865" s="4" t="str">
        <f>TRIM(SUBSTITUTE(M865,"_"," "))</f>
        <v>Rahul Verma</v>
      </c>
      <c r="O865" s="3" t="s">
        <v>115</v>
      </c>
      <c r="P865" s="6" t="str">
        <f>PROPER(TRIM(SUBSTITUTE(O865,".","")))</f>
        <v>Home Office</v>
      </c>
      <c r="Q865" s="3" t="s">
        <v>62</v>
      </c>
      <c r="R865" s="7" t="str">
        <f>PROPER(TRIM(SUBSTITUTE(Q865,"  "," ")))</f>
        <v>South</v>
      </c>
      <c r="S865" s="3" t="s">
        <v>242</v>
      </c>
      <c r="T865" s="6" t="str">
        <f>PROPER(TRIM(SUBSTITUTE(S865,"  "," ")))</f>
        <v>Kerala</v>
      </c>
      <c r="U865" s="3" t="s">
        <v>243</v>
      </c>
      <c r="V865" s="6" t="str">
        <f>PROPER(TRIM(SUBSTITUTE(U865,"  "," ")))</f>
        <v>Kochi</v>
      </c>
      <c r="W865" s="3" t="s">
        <v>45</v>
      </c>
      <c r="X865" s="6" t="str">
        <f>PROPER(TRIM(SUBSTITUTE(W865,"  "," ")))</f>
        <v>Furniture</v>
      </c>
      <c r="Y865" s="3" t="s">
        <v>204</v>
      </c>
      <c r="Z865" s="6" t="str">
        <f>PROPER(TRIM(SUBSTITUTE(Y865,"  "," ")))</f>
        <v>Bookcases</v>
      </c>
      <c r="AA865" s="3" t="s">
        <v>2620</v>
      </c>
      <c r="AB865" s="3" t="s">
        <v>33</v>
      </c>
      <c r="AC865" s="6" t="str">
        <f>PROPER(TRIM(SUBSTITUTE(AB865,"  "," ")))</f>
        <v>Second Class</v>
      </c>
      <c r="AD865" s="3">
        <v>3</v>
      </c>
      <c r="AE865" s="3">
        <v>4067.62</v>
      </c>
      <c r="AF865" s="3">
        <v>0.2</v>
      </c>
      <c r="AG865" s="17">
        <v>0.2</v>
      </c>
      <c r="AH865" s="6" t="str">
        <f t="shared" si="108"/>
        <v>Valid</v>
      </c>
      <c r="AI865" s="3">
        <v>9988.5300000000007</v>
      </c>
      <c r="AJ865" s="3">
        <v>8368.24</v>
      </c>
      <c r="AK865" s="3">
        <v>1394.05</v>
      </c>
      <c r="AL865" s="3" t="s">
        <v>34</v>
      </c>
      <c r="AM865" s="6" t="str">
        <f>PROPER(TRIM(SUBSTITUTE(AL865,".","")))</f>
        <v>Paid</v>
      </c>
      <c r="AN865" s="3" t="s">
        <v>2621</v>
      </c>
      <c r="AO865" s="8" t="str">
        <f>PROPER(TRIM(SUBSTITUTE(AN865,".","")))</f>
        <v>Cancelled</v>
      </c>
      <c r="AP865" t="str">
        <f>IF(COUNTIF($A$2:$A$933, A865) &gt; 1, "Duplicate ID", "Unique")</f>
        <v>Unique</v>
      </c>
      <c r="AR865">
        <f t="shared" si="109"/>
        <v>9762.2880000000005</v>
      </c>
      <c r="AS865">
        <f t="shared" si="110"/>
        <v>1394.0480000000007</v>
      </c>
      <c r="AT865" s="15">
        <f t="shared" si="111"/>
        <v>0.14279931098119628</v>
      </c>
      <c r="AU865" t="str">
        <f t="shared" si="112"/>
        <v>Clean</v>
      </c>
      <c r="AV865" s="8" t="str">
        <f t="shared" si="113"/>
        <v>Cancelled</v>
      </c>
    </row>
    <row r="866" spans="1:48">
      <c r="A866" s="3" t="s">
        <v>2630</v>
      </c>
      <c r="B866" s="3" t="s">
        <v>2631</v>
      </c>
      <c r="C866" s="10">
        <f>IFERROR(DATEVALUE(MID(B866,4,2) &amp; "/" &amp; LEFT(B866,2) &amp; "/" &amp; RIGHT(B866,4)), IF(ISNUMBER(B866), B866, IFERROR(DATEVALUE(B866), "")))</f>
        <v>45439</v>
      </c>
      <c r="D866" s="9" t="str">
        <f>IF(B866="","Missing", IF(AND(ISNUMBER(B866)=FALSE, C866=""),"Invalid - Could Not Parse", IF(AND(ISNUMBER(B866)=FALSE, C866&lt;&gt;""),"Text - Converted to Date", IF(ISNUMBER(B866),"Valid","Check"))))</f>
        <v>Text - Converted to Date</v>
      </c>
      <c r="E866" s="5">
        <f t="shared" si="106"/>
        <v>5</v>
      </c>
      <c r="F866" s="5">
        <f t="shared" si="107"/>
        <v>2024</v>
      </c>
      <c r="G866" s="3" t="s">
        <v>2632</v>
      </c>
      <c r="H866" s="9">
        <f>IFERROR(DATEVALUE(TEXT(G866,"DD/MM/YYYY")), IF(ISNUMBER(G866), G866, ""))</f>
        <v>45442</v>
      </c>
      <c r="I866" s="9" t="str">
        <f>IF(G866="","Missing", IF(AND(ISNUMBER(G866)=FALSE, H866=""),"Invalid - Could Not Parse", IF(AND(ISNUMBER(G866)=FALSE, H866&lt;&gt;""),"Text - Converted to Date", IF(ISNUMBER(G866),"Valid","Check"))))</f>
        <v>Text - Converted to Date</v>
      </c>
      <c r="J866" s="9" t="str">
        <f>IF(OR(C866="", H866=""), "Cannot Check - Date Missing", IF(H866&lt;C866, "Invalid - Ship Before Order", "Valid"))</f>
        <v>Valid</v>
      </c>
      <c r="K866" s="5">
        <f>IF(OR(C866="", H866=""), "", IF(H866&lt;C866, "", H866-C866))</f>
        <v>3</v>
      </c>
      <c r="L866" s="3" t="s">
        <v>2633</v>
      </c>
      <c r="M866" s="3" t="s">
        <v>366</v>
      </c>
      <c r="N866" s="4" t="str">
        <f>TRIM(SUBSTITUTE(M866,"_"," "))</f>
        <v>Kabir Singh</v>
      </c>
      <c r="O866" s="3" t="s">
        <v>41</v>
      </c>
      <c r="P866" s="6" t="str">
        <f>PROPER(TRIM(SUBSTITUTE(O866,".","")))</f>
        <v>Small Business</v>
      </c>
      <c r="Q866" s="3" t="s">
        <v>42</v>
      </c>
      <c r="R866" s="7" t="str">
        <f>PROPER(TRIM(SUBSTITUTE(Q866,"  "," ")))</f>
        <v>East</v>
      </c>
      <c r="S866" s="3" t="s">
        <v>311</v>
      </c>
      <c r="T866" s="6" t="str">
        <f>PROPER(TRIM(SUBSTITUTE(S866,"  "," ")))</f>
        <v>Jharkhand</v>
      </c>
      <c r="U866" s="3" t="s">
        <v>312</v>
      </c>
      <c r="V866" s="6" t="str">
        <f>PROPER(TRIM(SUBSTITUTE(U866,"  "," ")))</f>
        <v>Ranchi</v>
      </c>
      <c r="W866" s="3" t="s">
        <v>30</v>
      </c>
      <c r="X866" s="6" t="str">
        <f>PROPER(TRIM(SUBSTITUTE(W866,"  "," ")))</f>
        <v>Office Supplies</v>
      </c>
      <c r="Y866" s="3" t="s">
        <v>156</v>
      </c>
      <c r="Z866" s="6" t="str">
        <f>PROPER(TRIM(SUBSTITUTE(Y866,"  "," ")))</f>
        <v>Storage</v>
      </c>
      <c r="AA866" s="3" t="s">
        <v>2634</v>
      </c>
      <c r="AB866" s="3" t="s">
        <v>48</v>
      </c>
      <c r="AC866" s="6" t="str">
        <f>PROPER(TRIM(SUBSTITUTE(AB866,"  "," ")))</f>
        <v>Same Day</v>
      </c>
      <c r="AD866" s="3">
        <v>7</v>
      </c>
      <c r="AE866" s="3">
        <v>2900.86</v>
      </c>
      <c r="AF866" s="3">
        <v>0.15</v>
      </c>
      <c r="AG866" s="17">
        <v>0.15</v>
      </c>
      <c r="AH866" s="6" t="str">
        <f t="shared" si="108"/>
        <v>Valid</v>
      </c>
      <c r="AI866" s="3">
        <v>17260.12</v>
      </c>
      <c r="AJ866" s="3">
        <v>13513.51</v>
      </c>
      <c r="AK866" s="3">
        <v>3746.61</v>
      </c>
      <c r="AL866" s="3" t="s">
        <v>34</v>
      </c>
      <c r="AM866" s="6" t="str">
        <f>PROPER(TRIM(SUBSTITUTE(AL866,".","")))</f>
        <v>Paid</v>
      </c>
      <c r="AN866" s="3" t="s">
        <v>35</v>
      </c>
      <c r="AO866" s="8" t="str">
        <f>PROPER(TRIM(SUBSTITUTE(AN866,".","")))</f>
        <v>Completed</v>
      </c>
      <c r="AP866" t="str">
        <f>IF(COUNTIF($A$2:$A$933, A866) &gt; 1, "Duplicate ID", "Unique")</f>
        <v>Unique</v>
      </c>
      <c r="AR866">
        <f t="shared" si="109"/>
        <v>17260.116999999998</v>
      </c>
      <c r="AS866">
        <f t="shared" si="110"/>
        <v>3746.6069999999982</v>
      </c>
      <c r="AT866" s="15">
        <f t="shared" si="111"/>
        <v>0.21706730029697935</v>
      </c>
      <c r="AU866" t="str">
        <f t="shared" si="112"/>
        <v>Clean</v>
      </c>
      <c r="AV866" s="8" t="str">
        <f t="shared" si="113"/>
        <v>Active</v>
      </c>
    </row>
    <row r="867" spans="1:48">
      <c r="A867" s="3" t="s">
        <v>2664</v>
      </c>
      <c r="B867" s="3" t="s">
        <v>2665</v>
      </c>
      <c r="C867" s="10">
        <f>IFERROR(DATEVALUE(MID(B867,4,2) &amp; "/" &amp; LEFT(B867,2) &amp; "/" &amp; RIGHT(B867,4)), IF(ISNUMBER(B867), B867, IFERROR(DATEVALUE(B867), "")))</f>
        <v>45772</v>
      </c>
      <c r="D867" s="9" t="str">
        <f>IF(B867="","Missing", IF(AND(ISNUMBER(B867)=FALSE, C867=""),"Invalid - Could Not Parse", IF(AND(ISNUMBER(B867)=FALSE, C867&lt;&gt;""),"Text - Converted to Date", IF(ISNUMBER(B867),"Valid","Check"))))</f>
        <v>Text - Converted to Date</v>
      </c>
      <c r="E867" s="5">
        <f t="shared" si="106"/>
        <v>4</v>
      </c>
      <c r="F867" s="5">
        <f t="shared" si="107"/>
        <v>2025</v>
      </c>
      <c r="G867" s="3" t="s">
        <v>2666</v>
      </c>
      <c r="H867" s="9">
        <f>IFERROR(DATEVALUE(TEXT(G867,"DD/MM/YYYY")), IF(ISNUMBER(G867), G867, ""))</f>
        <v>45775</v>
      </c>
      <c r="I867" s="9" t="str">
        <f>IF(G867="","Missing", IF(AND(ISNUMBER(G867)=FALSE, H867=""),"Invalid - Could Not Parse", IF(AND(ISNUMBER(G867)=FALSE, H867&lt;&gt;""),"Text - Converted to Date", IF(ISNUMBER(G867),"Valid","Check"))))</f>
        <v>Text - Converted to Date</v>
      </c>
      <c r="J867" s="9" t="str">
        <f>IF(OR(C867="", H867=""), "Cannot Check - Date Missing", IF(H867&lt;C867, "Invalid - Ship Before Order", "Valid"))</f>
        <v>Valid</v>
      </c>
      <c r="K867" s="5">
        <f>IF(OR(C867="", H867=""), "", IF(H867&lt;C867, "", H867-C867))</f>
        <v>3</v>
      </c>
      <c r="L867" s="3" t="s">
        <v>2667</v>
      </c>
      <c r="M867" s="3" t="s">
        <v>162</v>
      </c>
      <c r="N867" s="4" t="str">
        <f>TRIM(SUBSTITUTE(M867,"_"," "))</f>
        <v>Aarav Sharma</v>
      </c>
      <c r="O867" s="3" t="s">
        <v>41</v>
      </c>
      <c r="P867" s="6" t="str">
        <f>PROPER(TRIM(SUBSTITUTE(O867,".","")))</f>
        <v>Small Business</v>
      </c>
      <c r="Q867" s="3" t="s">
        <v>73</v>
      </c>
      <c r="R867" s="7" t="str">
        <f>PROPER(TRIM(SUBSTITUTE(Q867,"  "," ")))</f>
        <v>West</v>
      </c>
      <c r="S867" s="3" t="s">
        <v>235</v>
      </c>
      <c r="T867" s="6" t="str">
        <f>PROPER(TRIM(SUBSTITUTE(S867,"  "," ")))</f>
        <v>Gujarat</v>
      </c>
      <c r="U867" s="3" t="s">
        <v>236</v>
      </c>
      <c r="V867" s="6" t="str">
        <f>PROPER(TRIM(SUBSTITUTE(U867,"  "," ")))</f>
        <v>Ahmedabad</v>
      </c>
      <c r="W867" s="3" t="s">
        <v>30</v>
      </c>
      <c r="X867" s="6" t="str">
        <f>PROPER(TRIM(SUBSTITUTE(W867,"  "," ")))</f>
        <v>Office Supplies</v>
      </c>
      <c r="Y867" s="3" t="s">
        <v>156</v>
      </c>
      <c r="Z867" s="6" t="str">
        <f>PROPER(TRIM(SUBSTITUTE(Y867,"  "," ")))</f>
        <v>Storage</v>
      </c>
      <c r="AA867" s="3" t="s">
        <v>2668</v>
      </c>
      <c r="AB867" s="3" t="s">
        <v>56</v>
      </c>
      <c r="AC867" s="6" t="str">
        <f>PROPER(TRIM(SUBSTITUTE(AB867,"  "," ")))</f>
        <v>First Class</v>
      </c>
      <c r="AD867" s="3">
        <v>9</v>
      </c>
      <c r="AE867" s="3">
        <v>1294.1099999999999</v>
      </c>
      <c r="AF867" s="3">
        <v>0.25</v>
      </c>
      <c r="AG867" s="17">
        <v>0.25</v>
      </c>
      <c r="AH867" s="6" t="str">
        <f t="shared" si="108"/>
        <v>Valid</v>
      </c>
      <c r="AI867" s="3">
        <v>8735.24</v>
      </c>
      <c r="AJ867" s="3">
        <v>6620.07</v>
      </c>
      <c r="AK867" s="3">
        <v>2115.17</v>
      </c>
      <c r="AL867" s="3" t="s">
        <v>34</v>
      </c>
      <c r="AM867" s="6" t="str">
        <f>PROPER(TRIM(SUBSTITUTE(AL867,".","")))</f>
        <v>Paid</v>
      </c>
      <c r="AN867" s="3" t="s">
        <v>35</v>
      </c>
      <c r="AO867" s="8" t="str">
        <f>PROPER(TRIM(SUBSTITUTE(AN867,".","")))</f>
        <v>Completed</v>
      </c>
      <c r="AP867" t="str">
        <f>IF(COUNTIF($A$2:$A$933, A867) &gt; 1, "Duplicate ID", "Unique")</f>
        <v>Unique</v>
      </c>
      <c r="AR867">
        <f t="shared" si="109"/>
        <v>8735.2425000000003</v>
      </c>
      <c r="AS867">
        <f t="shared" si="110"/>
        <v>2115.1725000000006</v>
      </c>
      <c r="AT867" s="15">
        <f t="shared" si="111"/>
        <v>0.24214239043735769</v>
      </c>
      <c r="AU867" t="str">
        <f t="shared" si="112"/>
        <v>Clean</v>
      </c>
      <c r="AV867" s="8" t="str">
        <f t="shared" si="113"/>
        <v>Active</v>
      </c>
    </row>
    <row r="868" spans="1:48">
      <c r="A868" s="3" t="s">
        <v>2748</v>
      </c>
      <c r="B868" s="3" t="s">
        <v>2749</v>
      </c>
      <c r="C868" s="10">
        <f>IFERROR(DATEVALUE(MID(B868,4,2) &amp; "/" &amp; LEFT(B868,2) &amp; "/" &amp; RIGHT(B868,4)), IF(ISNUMBER(B868), B868, IFERROR(DATEVALUE(B868), "")))</f>
        <v>45922</v>
      </c>
      <c r="D868" s="9" t="str">
        <f>IF(B868="","Missing", IF(AND(ISNUMBER(B868)=FALSE, C868=""),"Invalid - Could Not Parse", IF(AND(ISNUMBER(B868)=FALSE, C868&lt;&gt;""),"Text - Converted to Date", IF(ISNUMBER(B868),"Valid","Check"))))</f>
        <v>Text - Converted to Date</v>
      </c>
      <c r="E868" s="5">
        <f t="shared" si="106"/>
        <v>9</v>
      </c>
      <c r="F868" s="5">
        <f t="shared" si="107"/>
        <v>2025</v>
      </c>
      <c r="G868" s="3" t="s">
        <v>2750</v>
      </c>
      <c r="H868" s="9">
        <f>IFERROR(DATEVALUE(MID(G868,4,2) &amp; "/" &amp; LEFT(G868,2) &amp; "/" &amp; RIGHT(G868,4)), IF(ISNUMBER(G868), G868, IFERROR(DATEVALUE(G868), "")))</f>
        <v>45926</v>
      </c>
      <c r="I868" s="9" t="str">
        <f>IF(G868="","Missing", IF(AND(ISNUMBER(G868)=FALSE, H868=""),"Invalid - Could Not Parse", IF(AND(ISNUMBER(G868)=FALSE, H868&lt;&gt;""),"Text - Converted to Date", IF(ISNUMBER(G868),"Valid","Check"))))</f>
        <v>Text - Converted to Date</v>
      </c>
      <c r="J868" s="9" t="str">
        <f>IF(OR(C868="", H868=""), "Cannot Check - Date Missing", IF(H868&lt;C868, "Invalid - Ship Before Order", "Valid"))</f>
        <v>Valid</v>
      </c>
      <c r="K868" s="5">
        <f>IF(OR(C868="", H868=""), "", IF(H868&lt;C868, "", H868-C868))</f>
        <v>4</v>
      </c>
      <c r="L868" s="3" t="s">
        <v>2751</v>
      </c>
      <c r="M868" s="3" t="s">
        <v>53</v>
      </c>
      <c r="N868" s="4" t="str">
        <f>TRIM(SUBSTITUTE(M868,"_"," "))</f>
        <v>Isha Nair</v>
      </c>
      <c r="O868" s="3" t="s">
        <v>26</v>
      </c>
      <c r="P868" s="6" t="str">
        <f>PROPER(TRIM(SUBSTITUTE(O868,".","")))</f>
        <v>Consumer</v>
      </c>
      <c r="Q868" s="3" t="s">
        <v>62</v>
      </c>
      <c r="R868" s="7" t="str">
        <f>PROPER(TRIM(SUBSTITUTE(Q868,"  "," ")))</f>
        <v>South</v>
      </c>
      <c r="S868" s="3" t="s">
        <v>100</v>
      </c>
      <c r="T868" s="6" t="str">
        <f>PROPER(TRIM(SUBSTITUTE(S868,"  "," ")))</f>
        <v>Andhra Pradesh</v>
      </c>
      <c r="U868" s="3" t="s">
        <v>101</v>
      </c>
      <c r="V868" s="6" t="str">
        <f>PROPER(TRIM(SUBSTITUTE(U868,"  "," ")))</f>
        <v>Vijayawada</v>
      </c>
      <c r="W868" s="3" t="s">
        <v>86</v>
      </c>
      <c r="X868" s="6" t="str">
        <f>PROPER(TRIM(SUBSTITUTE(W868,"  "," ")))</f>
        <v>Technology</v>
      </c>
      <c r="Y868" s="3" t="s">
        <v>223</v>
      </c>
      <c r="Z868" s="6" t="str">
        <f>PROPER(TRIM(SUBSTITUTE(Y868,"  "," ")))</f>
        <v>Phones</v>
      </c>
      <c r="AA868" s="3" t="s">
        <v>2752</v>
      </c>
      <c r="AB868" s="3" t="s">
        <v>67</v>
      </c>
      <c r="AC868" s="6" t="str">
        <f>PROPER(TRIM(SUBSTITUTE(AB868,"  "," ")))</f>
        <v>Standard Class</v>
      </c>
      <c r="AD868" s="3">
        <v>1</v>
      </c>
      <c r="AE868" s="3">
        <v>573.65</v>
      </c>
      <c r="AF868" s="3">
        <v>0</v>
      </c>
      <c r="AG868" s="17">
        <v>0</v>
      </c>
      <c r="AH868" s="6" t="str">
        <f t="shared" si="108"/>
        <v>Valid</v>
      </c>
      <c r="AI868" s="3">
        <v>573.65</v>
      </c>
      <c r="AJ868" s="3">
        <v>322.67</v>
      </c>
      <c r="AK868" s="3">
        <v>250.98</v>
      </c>
      <c r="AL868" s="3" t="s">
        <v>34</v>
      </c>
      <c r="AM868" s="6" t="str">
        <f>PROPER(TRIM(SUBSTITUTE(AL868,".","")))</f>
        <v>Paid</v>
      </c>
      <c r="AN868" s="3" t="s">
        <v>35</v>
      </c>
      <c r="AO868" s="8" t="str">
        <f>PROPER(TRIM(SUBSTITUTE(AN868,".","")))</f>
        <v>Completed</v>
      </c>
      <c r="AP868" t="str">
        <f>IF(COUNTIF($A$2:$A$933, A868) &gt; 1, "Duplicate ID", "Unique")</f>
        <v>Unique</v>
      </c>
      <c r="AR868">
        <f t="shared" si="109"/>
        <v>573.65</v>
      </c>
      <c r="AS868">
        <f t="shared" si="110"/>
        <v>250.97999999999996</v>
      </c>
      <c r="AT868" s="15">
        <f t="shared" si="111"/>
        <v>0.43751416368866031</v>
      </c>
      <c r="AU868" t="str">
        <f t="shared" si="112"/>
        <v>Clean</v>
      </c>
      <c r="AV868" s="8" t="str">
        <f t="shared" si="113"/>
        <v>Active</v>
      </c>
    </row>
    <row r="869" spans="1:48">
      <c r="A869" s="3" t="s">
        <v>2766</v>
      </c>
      <c r="B869" s="3" t="s">
        <v>435</v>
      </c>
      <c r="C869" s="10">
        <f>IFERROR(DATEVALUE(MID(B869,4,2) &amp; "/" &amp; LEFT(B869,2) &amp; "/" &amp; RIGHT(B869,4)), IF(ISNUMBER(B869), B869, IFERROR(DATEVALUE(B869), "")))</f>
        <v>45897</v>
      </c>
      <c r="D869" s="9" t="str">
        <f>IF(B869="","Missing", IF(AND(ISNUMBER(B869)=FALSE, C869=""),"Invalid - Could Not Parse", IF(AND(ISNUMBER(B869)=FALSE, C869&lt;&gt;""),"Text - Converted to Date", IF(ISNUMBER(B869),"Valid","Check"))))</f>
        <v>Text - Converted to Date</v>
      </c>
      <c r="E869" s="5">
        <f t="shared" si="106"/>
        <v>8</v>
      </c>
      <c r="F869" s="5">
        <f t="shared" si="107"/>
        <v>2025</v>
      </c>
      <c r="G869" s="3" t="s">
        <v>2767</v>
      </c>
      <c r="H869" s="9">
        <f>IFERROR(DATEVALUE(TEXT(G869,"DD/MM/YYYY")), IF(ISNUMBER(G869), G869, ""))</f>
        <v>45903</v>
      </c>
      <c r="I869" s="9" t="str">
        <f>IF(G869="","Missing", IF(AND(ISNUMBER(G869)=FALSE, H869=""),"Invalid - Could Not Parse", IF(AND(ISNUMBER(G869)=FALSE, H869&lt;&gt;""),"Text - Converted to Date", IF(ISNUMBER(G869),"Valid","Check"))))</f>
        <v>Text - Converted to Date</v>
      </c>
      <c r="J869" s="9" t="str">
        <f>IF(OR(C869="", H869=""), "Cannot Check - Date Missing", IF(H869&lt;C869, "Invalid - Ship Before Order", "Valid"))</f>
        <v>Valid</v>
      </c>
      <c r="K869" s="5">
        <f>IF(OR(C869="", H869=""), "", IF(H869&lt;C869, "", H869-C869))</f>
        <v>6</v>
      </c>
      <c r="L869" s="3" t="s">
        <v>2768</v>
      </c>
      <c r="M869" s="3" t="s">
        <v>142</v>
      </c>
      <c r="N869" s="4" t="str">
        <f>TRIM(SUBSTITUTE(M869,"_"," "))</f>
        <v>Priya Menon</v>
      </c>
      <c r="O869" s="3" t="s">
        <v>108</v>
      </c>
      <c r="P869" s="6" t="str">
        <f>PROPER(TRIM(SUBSTITUTE(O869,".","")))</f>
        <v>Corporate</v>
      </c>
      <c r="Q869" s="3" t="s">
        <v>73</v>
      </c>
      <c r="R869" s="7" t="str">
        <f>PROPER(TRIM(SUBSTITUTE(Q869,"  "," ")))</f>
        <v>West</v>
      </c>
      <c r="S869" s="3" t="s">
        <v>84</v>
      </c>
      <c r="T869" s="6" t="str">
        <f>PROPER(TRIM(SUBSTITUTE(S869,"  "," ")))</f>
        <v>Madhya Pradesh</v>
      </c>
      <c r="U869" s="3" t="s">
        <v>85</v>
      </c>
      <c r="V869" s="6" t="str">
        <f>PROPER(TRIM(SUBSTITUTE(U869,"  "," ")))</f>
        <v>Indore</v>
      </c>
      <c r="W869" s="3" t="s">
        <v>45</v>
      </c>
      <c r="X869" s="6" t="str">
        <f>PROPER(TRIM(SUBSTITUTE(W869,"  "," ")))</f>
        <v>Furniture</v>
      </c>
      <c r="Y869" s="3" t="s">
        <v>65</v>
      </c>
      <c r="Z869" s="6" t="str">
        <f>PROPER(TRIM(SUBSTITUTE(Y869,"  "," ")))</f>
        <v>Furnishings</v>
      </c>
      <c r="AA869" s="3" t="s">
        <v>2769</v>
      </c>
      <c r="AB869" s="3" t="s">
        <v>67</v>
      </c>
      <c r="AC869" s="6" t="str">
        <f>PROPER(TRIM(SUBSTITUTE(AB869,"  "," ")))</f>
        <v>Standard Class</v>
      </c>
      <c r="AD869" s="3">
        <v>7</v>
      </c>
      <c r="AE869" s="3">
        <v>268.45</v>
      </c>
      <c r="AF869" s="3">
        <v>0</v>
      </c>
      <c r="AG869" s="17">
        <v>0</v>
      </c>
      <c r="AH869" s="6" t="str">
        <f t="shared" si="108"/>
        <v>Valid</v>
      </c>
      <c r="AI869" s="3">
        <v>1879.15</v>
      </c>
      <c r="AJ869" s="3">
        <v>1134.9000000000001</v>
      </c>
      <c r="AK869" s="3">
        <v>744.25</v>
      </c>
      <c r="AL869" s="3" t="s">
        <v>34</v>
      </c>
      <c r="AM869" s="6" t="str">
        <f>PROPER(TRIM(SUBSTITUTE(AL869,".","")))</f>
        <v>Paid</v>
      </c>
      <c r="AN869" s="3" t="s">
        <v>35</v>
      </c>
      <c r="AO869" s="8" t="str">
        <f>PROPER(TRIM(SUBSTITUTE(AN869,".","")))</f>
        <v>Completed</v>
      </c>
      <c r="AP869" t="str">
        <f>IF(COUNTIF($A$2:$A$933, A869) &gt; 1, "Duplicate ID", "Unique")</f>
        <v>Unique</v>
      </c>
      <c r="AR869">
        <f t="shared" si="109"/>
        <v>1879.1499999999999</v>
      </c>
      <c r="AS869">
        <f t="shared" si="110"/>
        <v>744.24999999999977</v>
      </c>
      <c r="AT869" s="15">
        <f t="shared" si="111"/>
        <v>0.39605672777585599</v>
      </c>
      <c r="AU869" t="str">
        <f t="shared" si="112"/>
        <v>Clean</v>
      </c>
      <c r="AV869" s="8" t="str">
        <f t="shared" si="113"/>
        <v>Active</v>
      </c>
    </row>
    <row r="870" spans="1:48">
      <c r="A870" s="3" t="s">
        <v>2837</v>
      </c>
      <c r="B870" s="3" t="s">
        <v>1358</v>
      </c>
      <c r="C870" s="10">
        <f>IFERROR(DATEVALUE(MID(B870,4,2) &amp; "/" &amp; LEFT(B870,2) &amp; "/" &amp; RIGHT(B870,4)), IF(ISNUMBER(B870), B870, IFERROR(DATEVALUE(B870), "")))</f>
        <v>45927</v>
      </c>
      <c r="D870" s="9" t="str">
        <f>IF(B870="","Missing", IF(AND(ISNUMBER(B870)=FALSE, C870=""),"Invalid - Could Not Parse", IF(AND(ISNUMBER(B870)=FALSE, C870&lt;&gt;""),"Text - Converted to Date", IF(ISNUMBER(B870),"Valid","Check"))))</f>
        <v>Text - Converted to Date</v>
      </c>
      <c r="E870" s="5">
        <f t="shared" si="106"/>
        <v>9</v>
      </c>
      <c r="F870" s="5">
        <f t="shared" si="107"/>
        <v>2025</v>
      </c>
      <c r="G870" s="3" t="s">
        <v>2838</v>
      </c>
      <c r="H870" s="9">
        <f>IFERROR(DATEVALUE(TEXT(G870,"DD/MM/YYYY")), IF(ISNUMBER(G870), G870, ""))</f>
        <v>45929</v>
      </c>
      <c r="I870" s="9" t="str">
        <f>IF(G870="","Missing", IF(AND(ISNUMBER(G870)=FALSE, H870=""),"Invalid - Could Not Parse", IF(AND(ISNUMBER(G870)=FALSE, H870&lt;&gt;""),"Text - Converted to Date", IF(ISNUMBER(G870),"Valid","Check"))))</f>
        <v>Text - Converted to Date</v>
      </c>
      <c r="J870" s="9" t="str">
        <f>IF(OR(C870="", H870=""), "Cannot Check - Date Missing", IF(H870&lt;C870, "Invalid - Ship Before Order", "Valid"))</f>
        <v>Valid</v>
      </c>
      <c r="K870" s="5">
        <f>IF(OR(C870="", H870=""), "", IF(H870&lt;C870, "", H870-C870))</f>
        <v>2</v>
      </c>
      <c r="L870" s="3" t="s">
        <v>2529</v>
      </c>
      <c r="M870" s="3" t="s">
        <v>61</v>
      </c>
      <c r="N870" s="4" t="str">
        <f>TRIM(SUBSTITUTE(M870,"_"," "))</f>
        <v>Arjun Bose</v>
      </c>
      <c r="O870" s="3" t="s">
        <v>115</v>
      </c>
      <c r="P870" s="6" t="str">
        <f>PROPER(TRIM(SUBSTITUTE(O870,".","")))</f>
        <v>Home Office</v>
      </c>
      <c r="Q870" s="3" t="s">
        <v>27</v>
      </c>
      <c r="R870" s="7" t="str">
        <f>PROPER(TRIM(SUBSTITUTE(Q870,"  "," ")))</f>
        <v>North</v>
      </c>
      <c r="S870" s="3" t="s">
        <v>174</v>
      </c>
      <c r="T870" s="6" t="str">
        <f>PROPER(TRIM(SUBSTITUTE(S870,"  "," ")))</f>
        <v>Uttar Pradesh</v>
      </c>
      <c r="U870" s="3" t="s">
        <v>175</v>
      </c>
      <c r="V870" s="6" t="str">
        <f>PROPER(TRIM(SUBSTITUTE(U870,"  "," ")))</f>
        <v>Noida</v>
      </c>
      <c r="W870" s="3" t="s">
        <v>45</v>
      </c>
      <c r="X870" s="6" t="str">
        <f>PROPER(TRIM(SUBSTITUTE(W870,"  "," ")))</f>
        <v>Furniture</v>
      </c>
      <c r="Y870" s="3" t="s">
        <v>46</v>
      </c>
      <c r="Z870" s="6" t="str">
        <f>PROPER(TRIM(SUBSTITUTE(Y870,"  "," ")))</f>
        <v>Tables</v>
      </c>
      <c r="AA870" s="3" t="s">
        <v>2839</v>
      </c>
      <c r="AB870" s="3" t="s">
        <v>33</v>
      </c>
      <c r="AC870" s="6" t="str">
        <f>PROPER(TRIM(SUBSTITUTE(AB870,"  "," ")))</f>
        <v>Second Class</v>
      </c>
      <c r="AD870" s="3">
        <v>9</v>
      </c>
      <c r="AE870" s="3">
        <v>4100.1099999999997</v>
      </c>
      <c r="AF870" s="3">
        <v>0.25</v>
      </c>
      <c r="AG870" s="17">
        <v>0.25</v>
      </c>
      <c r="AH870" s="6" t="str">
        <f t="shared" si="108"/>
        <v>Valid</v>
      </c>
      <c r="AI870" s="3">
        <v>27675.74</v>
      </c>
      <c r="AJ870" s="3">
        <v>15571.08</v>
      </c>
      <c r="AK870" s="3">
        <v>12104.66</v>
      </c>
      <c r="AL870" s="3" t="s">
        <v>34</v>
      </c>
      <c r="AM870" s="6" t="str">
        <f>PROPER(TRIM(SUBSTITUTE(AL870,".","")))</f>
        <v>Paid</v>
      </c>
      <c r="AN870" s="3" t="s">
        <v>35</v>
      </c>
      <c r="AO870" s="8" t="str">
        <f>PROPER(TRIM(SUBSTITUTE(AN870,".","")))</f>
        <v>Completed</v>
      </c>
      <c r="AP870" t="str">
        <f>IF(COUNTIF($A$2:$A$933, A870) &gt; 1, "Duplicate ID", "Unique")</f>
        <v>Unique</v>
      </c>
      <c r="AR870">
        <f t="shared" si="109"/>
        <v>27675.7425</v>
      </c>
      <c r="AS870">
        <f t="shared" si="110"/>
        <v>12104.6625</v>
      </c>
      <c r="AT870" s="15">
        <f t="shared" si="111"/>
        <v>0.4373744444254748</v>
      </c>
      <c r="AU870" t="str">
        <f t="shared" si="112"/>
        <v>Clean</v>
      </c>
      <c r="AV870" s="8" t="str">
        <f t="shared" si="113"/>
        <v>Active</v>
      </c>
    </row>
    <row r="871" spans="1:48">
      <c r="A871" s="3" t="s">
        <v>2739</v>
      </c>
      <c r="B871" s="3" t="s">
        <v>2675</v>
      </c>
      <c r="C871" s="10">
        <f>IFERROR(DATEVALUE(TEXT(B871,"DD/MM/YYYY")), IF(ISNUMBER(B871), B871, ""))</f>
        <v>45698</v>
      </c>
      <c r="D871" s="9" t="str">
        <f>IF(B871="","Missing", IF(AND(ISNUMBER(B871)=FALSE, C871=""),"Invalid - Could Not Parse", IF(AND(ISNUMBER(B871)=FALSE, C871&lt;&gt;""),"Text - Converted to Date", IF(ISNUMBER(B871),"Valid","Check"))))</f>
        <v>Text - Converted to Date</v>
      </c>
      <c r="E871" s="5">
        <f t="shared" si="106"/>
        <v>2</v>
      </c>
      <c r="F871" s="5">
        <f t="shared" si="107"/>
        <v>2025</v>
      </c>
      <c r="G871" s="3" t="s">
        <v>2740</v>
      </c>
      <c r="H871" s="9">
        <f>IFERROR(DATEVALUE(TEXT(G871,"DD/MM/YYYY")), IF(ISNUMBER(G871), G871, ""))</f>
        <v>45702</v>
      </c>
      <c r="I871" s="9" t="str">
        <f>IF(G871="","Missing", IF(AND(ISNUMBER(G871)=FALSE, H871=""),"Invalid - Could Not Parse", IF(AND(ISNUMBER(G871)=FALSE, H871&lt;&gt;""),"Text - Converted to Date", IF(ISNUMBER(G871),"Valid","Check"))))</f>
        <v>Text - Converted to Date</v>
      </c>
      <c r="J871" s="9" t="str">
        <f>IF(OR(C871="", H871=""), "Cannot Check - Date Missing", IF(H871&lt;C871, "Invalid - Ship Before Order", "Valid"))</f>
        <v>Valid</v>
      </c>
      <c r="K871" s="5">
        <f>IF(OR(C871="", H871=""), "", IF(H871&lt;C871, "", H871-C871))</f>
        <v>4</v>
      </c>
      <c r="L871" s="3" t="s">
        <v>2741</v>
      </c>
      <c r="M871" s="3" t="s">
        <v>142</v>
      </c>
      <c r="N871" s="4" t="str">
        <f>TRIM(SUBSTITUTE(M871,"_"," "))</f>
        <v>Priya Menon</v>
      </c>
      <c r="O871" s="3" t="s">
        <v>41</v>
      </c>
      <c r="P871" s="6" t="str">
        <f>PROPER(TRIM(SUBSTITUTE(O871,".","")))</f>
        <v>Small Business</v>
      </c>
      <c r="Q871" s="3" t="s">
        <v>27</v>
      </c>
      <c r="R871" s="7" t="str">
        <f>PROPER(TRIM(SUBSTITUTE(Q871,"  "," ")))</f>
        <v>North</v>
      </c>
      <c r="S871" s="3" t="s">
        <v>174</v>
      </c>
      <c r="T871" s="6" t="str">
        <f>PROPER(TRIM(SUBSTITUTE(S871,"  "," ")))</f>
        <v>Uttar Pradesh</v>
      </c>
      <c r="U871" s="3" t="s">
        <v>175</v>
      </c>
      <c r="V871" s="6" t="str">
        <f>PROPER(TRIM(SUBSTITUTE(U871,"  "," ")))</f>
        <v>Noida</v>
      </c>
      <c r="W871" s="3" t="s">
        <v>86</v>
      </c>
      <c r="X871" s="6" t="str">
        <f>PROPER(TRIM(SUBSTITUTE(W871,"  "," ")))</f>
        <v>Technology</v>
      </c>
      <c r="Y871" s="3" t="s">
        <v>223</v>
      </c>
      <c r="Z871" s="6" t="str">
        <f>PROPER(TRIM(SUBSTITUTE(Y871,"  "," ")))</f>
        <v>Phones</v>
      </c>
      <c r="AA871" s="3" t="s">
        <v>2742</v>
      </c>
      <c r="AB871" s="3"/>
      <c r="AC871" s="11" t="str">
        <f>IF(ISBLANK(AB871), "Unknown", AB871)</f>
        <v>Unknown</v>
      </c>
      <c r="AD871" s="3">
        <v>5</v>
      </c>
      <c r="AE871" s="3">
        <v>4276.29</v>
      </c>
      <c r="AF871" s="3">
        <v>0</v>
      </c>
      <c r="AG871" s="17">
        <v>0</v>
      </c>
      <c r="AH871" s="6" t="str">
        <f t="shared" si="108"/>
        <v>Valid</v>
      </c>
      <c r="AI871" s="3">
        <v>21381.45</v>
      </c>
      <c r="AJ871" s="3">
        <v>13240.21</v>
      </c>
      <c r="AK871" s="3">
        <v>8141.24</v>
      </c>
      <c r="AL871" s="3" t="s">
        <v>200</v>
      </c>
      <c r="AM871" s="6" t="str">
        <f>PROPER(TRIM(SUBSTITUTE(AL871,".","")))</f>
        <v>Failed</v>
      </c>
      <c r="AN871" s="3" t="s">
        <v>125</v>
      </c>
      <c r="AO871" s="8" t="str">
        <f>PROPER(TRIM(SUBSTITUTE(AN871,".","")))</f>
        <v>Returned</v>
      </c>
      <c r="AP871" t="str">
        <f>IF(COUNTIF($A$2:$A$933, A871) &gt; 1, "Duplicate ID", "Unique")</f>
        <v>Duplicate ID</v>
      </c>
      <c r="AQ871" t="s">
        <v>4106</v>
      </c>
      <c r="AR871">
        <f t="shared" si="109"/>
        <v>21381.45</v>
      </c>
      <c r="AS871">
        <f t="shared" si="110"/>
        <v>8141.2400000000016</v>
      </c>
      <c r="AT871" s="15">
        <f t="shared" si="111"/>
        <v>0.38076182859441249</v>
      </c>
      <c r="AU871" t="str">
        <f t="shared" si="112"/>
        <v>Invalid</v>
      </c>
      <c r="AV871" s="8" t="str">
        <f t="shared" si="113"/>
        <v>Active</v>
      </c>
    </row>
    <row r="872" spans="1:48">
      <c r="A872" s="3" t="s">
        <v>2933</v>
      </c>
      <c r="B872" s="3" t="s">
        <v>2934</v>
      </c>
      <c r="C872" s="10">
        <f>IFERROR(DATEVALUE(MID(B872,4,2) &amp; "/" &amp; LEFT(B872,2) &amp; "/" &amp; RIGHT(B872,4)), IF(ISNUMBER(B872), B872, IFERROR(DATEVALUE(B872), "")))</f>
        <v>45564</v>
      </c>
      <c r="D872" s="9" t="str">
        <f>IF(B872="","Missing", IF(AND(ISNUMBER(B872)=FALSE, C872=""),"Invalid - Could Not Parse", IF(AND(ISNUMBER(B872)=FALSE, C872&lt;&gt;""),"Text - Converted to Date", IF(ISNUMBER(B872),"Valid","Check"))))</f>
        <v>Text - Converted to Date</v>
      </c>
      <c r="E872" s="5">
        <f t="shared" si="106"/>
        <v>9</v>
      </c>
      <c r="F872" s="5">
        <f t="shared" si="107"/>
        <v>2024</v>
      </c>
      <c r="G872" s="3" t="s">
        <v>974</v>
      </c>
      <c r="H872" s="9">
        <f>IFERROR(DATEVALUE(TEXT(G872,"DD/MM/YYYY")), IF(ISNUMBER(G872), G872, ""))</f>
        <v>45565</v>
      </c>
      <c r="I872" s="9" t="str">
        <f>IF(G872="","Missing", IF(AND(ISNUMBER(G872)=FALSE, H872=""),"Invalid - Could Not Parse", IF(AND(ISNUMBER(G872)=FALSE, H872&lt;&gt;""),"Text - Converted to Date", IF(ISNUMBER(G872),"Valid","Check"))))</f>
        <v>Text - Converted to Date</v>
      </c>
      <c r="J872" s="9" t="str">
        <f>IF(OR(C872="", H872=""), "Cannot Check - Date Missing", IF(H872&lt;C872, "Invalid - Ship Before Order", "Valid"))</f>
        <v>Valid</v>
      </c>
      <c r="K872" s="5">
        <f>IF(OR(C872="", H872=""), "", IF(H872&lt;C872, "", H872-C872))</f>
        <v>1</v>
      </c>
      <c r="L872" s="3" t="s">
        <v>2935</v>
      </c>
      <c r="M872" s="3" t="s">
        <v>40</v>
      </c>
      <c r="N872" s="4" t="str">
        <f>TRIM(SUBSTITUTE(M872,"_"," "))</f>
        <v>Mira Das</v>
      </c>
      <c r="O872" s="3" t="s">
        <v>115</v>
      </c>
      <c r="P872" s="6" t="str">
        <f>PROPER(TRIM(SUBSTITUTE(O872,".","")))</f>
        <v>Home Office</v>
      </c>
      <c r="Q872" s="3" t="s">
        <v>62</v>
      </c>
      <c r="R872" s="7" t="str">
        <f>PROPER(TRIM(SUBSTITUTE(Q872,"  "," ")))</f>
        <v>South</v>
      </c>
      <c r="S872" s="3" t="s">
        <v>63</v>
      </c>
      <c r="T872" s="6" t="str">
        <f>PROPER(TRIM(SUBSTITUTE(S872,"  "," ")))</f>
        <v>Telangana</v>
      </c>
      <c r="U872" s="3" t="s">
        <v>64</v>
      </c>
      <c r="V872" s="6" t="str">
        <f>PROPER(TRIM(SUBSTITUTE(U872,"  "," ")))</f>
        <v>Hyderabad</v>
      </c>
      <c r="W872" s="3" t="s">
        <v>86</v>
      </c>
      <c r="X872" s="6" t="str">
        <f>PROPER(TRIM(SUBSTITUTE(W872,"  "," ")))</f>
        <v>Technology</v>
      </c>
      <c r="Y872" s="3" t="s">
        <v>223</v>
      </c>
      <c r="Z872" s="6" t="str">
        <f>PROPER(TRIM(SUBSTITUTE(Y872,"  "," ")))</f>
        <v>Phones</v>
      </c>
      <c r="AA872" s="3" t="s">
        <v>2936</v>
      </c>
      <c r="AB872" s="3" t="s">
        <v>67</v>
      </c>
      <c r="AC872" s="6" t="str">
        <f>PROPER(TRIM(SUBSTITUTE(AB872,"  "," ")))</f>
        <v>Standard Class</v>
      </c>
      <c r="AD872" s="3">
        <v>9</v>
      </c>
      <c r="AE872" s="3">
        <v>2741.91</v>
      </c>
      <c r="AF872" s="3">
        <v>0</v>
      </c>
      <c r="AG872" s="17">
        <v>0</v>
      </c>
      <c r="AH872" s="6" t="str">
        <f t="shared" si="108"/>
        <v>Valid</v>
      </c>
      <c r="AI872" s="3">
        <v>24677.19</v>
      </c>
      <c r="AJ872" s="3">
        <v>20350.849999999999</v>
      </c>
      <c r="AK872" s="3">
        <v>4326.34</v>
      </c>
      <c r="AL872" s="3" t="s">
        <v>34</v>
      </c>
      <c r="AM872" s="6" t="str">
        <f>PROPER(TRIM(SUBSTITUTE(AL872,".","")))</f>
        <v>Paid</v>
      </c>
      <c r="AN872" s="3" t="s">
        <v>35</v>
      </c>
      <c r="AO872" s="8" t="str">
        <f>PROPER(TRIM(SUBSTITUTE(AN872,".","")))</f>
        <v>Completed</v>
      </c>
      <c r="AP872" t="str">
        <f>IF(COUNTIF($A$2:$A$933, A872) &gt; 1, "Duplicate ID", "Unique")</f>
        <v>Unique</v>
      </c>
      <c r="AR872">
        <f t="shared" si="109"/>
        <v>24677.19</v>
      </c>
      <c r="AS872">
        <f t="shared" si="110"/>
        <v>4326.34</v>
      </c>
      <c r="AT872" s="15">
        <f t="shared" si="111"/>
        <v>0.17531736798233513</v>
      </c>
      <c r="AU872" t="str">
        <f t="shared" si="112"/>
        <v>Warning</v>
      </c>
      <c r="AV872" s="8" t="str">
        <f t="shared" si="113"/>
        <v>Active</v>
      </c>
    </row>
    <row r="873" spans="1:48">
      <c r="A873" s="3" t="s">
        <v>2941</v>
      </c>
      <c r="B873" s="3" t="s">
        <v>911</v>
      </c>
      <c r="C873" s="10">
        <f>IFERROR(DATEVALUE(MID(B873,4,2) &amp; "/" &amp; LEFT(B873,2) &amp; "/" &amp; RIGHT(B873,4)), IF(ISNUMBER(B873), B873, IFERROR(DATEVALUE(B873), "")))</f>
        <v>45618</v>
      </c>
      <c r="D873" s="9" t="str">
        <f>IF(B873="","Missing", IF(AND(ISNUMBER(B873)=FALSE, C873=""),"Invalid - Could Not Parse", IF(AND(ISNUMBER(B873)=FALSE, C873&lt;&gt;""),"Text - Converted to Date", IF(ISNUMBER(B873),"Valid","Check"))))</f>
        <v>Text - Converted to Date</v>
      </c>
      <c r="E873" s="5">
        <f t="shared" si="106"/>
        <v>11</v>
      </c>
      <c r="F873" s="5">
        <f t="shared" si="107"/>
        <v>2024</v>
      </c>
      <c r="G873" s="3" t="s">
        <v>2942</v>
      </c>
      <c r="H873" s="9">
        <f>IFERROR(DATEVALUE(TEXT(G873,"DD/MM/YYYY")), IF(ISNUMBER(G873), G873, ""))</f>
        <v>45623</v>
      </c>
      <c r="I873" s="9" t="str">
        <f>IF(G873="","Missing", IF(AND(ISNUMBER(G873)=FALSE, H873=""),"Invalid - Could Not Parse", IF(AND(ISNUMBER(G873)=FALSE, H873&lt;&gt;""),"Text - Converted to Date", IF(ISNUMBER(G873),"Valid","Check"))))</f>
        <v>Text - Converted to Date</v>
      </c>
      <c r="J873" s="9" t="str">
        <f>IF(OR(C873="", H873=""), "Cannot Check - Date Missing", IF(H873&lt;C873, "Invalid - Ship Before Order", "Valid"))</f>
        <v>Valid</v>
      </c>
      <c r="K873" s="5">
        <f>IF(OR(C873="", H873=""), "", IF(H873&lt;C873, "", H873-C873))</f>
        <v>5</v>
      </c>
      <c r="L873" s="3" t="s">
        <v>2943</v>
      </c>
      <c r="M873" s="3" t="s">
        <v>142</v>
      </c>
      <c r="N873" s="4" t="str">
        <f>TRIM(SUBSTITUTE(M873,"_"," "))</f>
        <v>Priya Menon</v>
      </c>
      <c r="O873" s="3" t="s">
        <v>108</v>
      </c>
      <c r="P873" s="6" t="str">
        <f>PROPER(TRIM(SUBSTITUTE(O873,".","")))</f>
        <v>Corporate</v>
      </c>
      <c r="Q873" s="3" t="s">
        <v>62</v>
      </c>
      <c r="R873" s="7" t="str">
        <f>PROPER(TRIM(SUBSTITUTE(Q873,"  "," ")))</f>
        <v>South</v>
      </c>
      <c r="S873" s="3" t="s">
        <v>339</v>
      </c>
      <c r="T873" s="6" t="str">
        <f>PROPER(TRIM(SUBSTITUTE(S873,"  "," ")))</f>
        <v>Tamil Nadu</v>
      </c>
      <c r="U873" s="3" t="s">
        <v>340</v>
      </c>
      <c r="V873" s="6" t="str">
        <f>PROPER(TRIM(SUBSTITUTE(U873,"  "," ")))</f>
        <v>Chennai</v>
      </c>
      <c r="W873" s="3" t="s">
        <v>30</v>
      </c>
      <c r="X873" s="6" t="str">
        <f>PROPER(TRIM(SUBSTITUTE(W873,"  "," ")))</f>
        <v>Office Supplies</v>
      </c>
      <c r="Y873" s="3" t="s">
        <v>198</v>
      </c>
      <c r="Z873" s="6" t="str">
        <f>PROPER(TRIM(SUBSTITUTE(Y873,"  "," ")))</f>
        <v>Binders</v>
      </c>
      <c r="AA873" s="3" t="s">
        <v>2944</v>
      </c>
      <c r="AB873" s="3" t="s">
        <v>56</v>
      </c>
      <c r="AC873" s="6" t="str">
        <f>PROPER(TRIM(SUBSTITUTE(AB873,"  "," ")))</f>
        <v>First Class</v>
      </c>
      <c r="AD873" s="3">
        <v>1</v>
      </c>
      <c r="AE873" s="3">
        <v>4251.26</v>
      </c>
      <c r="AF873" s="3">
        <v>0.2</v>
      </c>
      <c r="AG873" s="17">
        <v>0.2</v>
      </c>
      <c r="AH873" s="6" t="str">
        <f t="shared" si="108"/>
        <v>Valid</v>
      </c>
      <c r="AI873" s="3">
        <v>3401.01</v>
      </c>
      <c r="AJ873" s="3">
        <v>2917.54</v>
      </c>
      <c r="AK873" s="3">
        <v>483.47</v>
      </c>
      <c r="AL873" s="3" t="s">
        <v>124</v>
      </c>
      <c r="AM873" s="6" t="str">
        <f>PROPER(TRIM(SUBSTITUTE(AL873,".","")))</f>
        <v>Refunded</v>
      </c>
      <c r="AN873" s="3" t="s">
        <v>125</v>
      </c>
      <c r="AO873" s="8" t="str">
        <f>PROPER(TRIM(SUBSTITUTE(AN873,".","")))</f>
        <v>Returned</v>
      </c>
      <c r="AP873" t="str">
        <f>IF(COUNTIF($A$2:$A$933, A873) &gt; 1, "Duplicate ID", "Unique")</f>
        <v>Unique</v>
      </c>
      <c r="AR873">
        <f t="shared" si="109"/>
        <v>3401.0080000000003</v>
      </c>
      <c r="AS873">
        <f t="shared" si="110"/>
        <v>483.4680000000003</v>
      </c>
      <c r="AT873" s="15">
        <f t="shared" si="111"/>
        <v>0.14215432601158254</v>
      </c>
      <c r="AU873" t="str">
        <f t="shared" si="112"/>
        <v>Clean</v>
      </c>
      <c r="AV873" s="8" t="str">
        <f t="shared" si="113"/>
        <v>Refund</v>
      </c>
    </row>
    <row r="874" spans="1:48">
      <c r="A874" s="3" t="s">
        <v>2964</v>
      </c>
      <c r="B874" s="3" t="s">
        <v>2965</v>
      </c>
      <c r="C874" s="10">
        <f>IFERROR(DATEVALUE(MID(B874,4,2) &amp; "/" &amp; LEFT(B874,2) &amp; "/" &amp; RIGHT(B874,4)), IF(ISNUMBER(B874), B874, IFERROR(DATEVALUE(B874), "")))</f>
        <v>45321</v>
      </c>
      <c r="D874" s="9" t="str">
        <f>IF(B874="","Missing", IF(AND(ISNUMBER(B874)=FALSE, C874=""),"Invalid - Could Not Parse", IF(AND(ISNUMBER(B874)=FALSE, C874&lt;&gt;""),"Text - Converted to Date", IF(ISNUMBER(B874),"Valid","Check"))))</f>
        <v>Text - Converted to Date</v>
      </c>
      <c r="E874" s="5">
        <f t="shared" si="106"/>
        <v>1</v>
      </c>
      <c r="F874" s="5">
        <f t="shared" si="107"/>
        <v>2024</v>
      </c>
      <c r="G874" s="3" t="s">
        <v>2966</v>
      </c>
      <c r="H874" s="9">
        <f>IFERROR(DATEVALUE(TEXT(G874,"DD/MM/YYYY")), IF(ISNUMBER(G874), G874, ""))</f>
        <v>45323</v>
      </c>
      <c r="I874" s="9" t="str">
        <f>IF(G874="","Missing", IF(AND(ISNUMBER(G874)=FALSE, H874=""),"Invalid - Could Not Parse", IF(AND(ISNUMBER(G874)=FALSE, H874&lt;&gt;""),"Text - Converted to Date", IF(ISNUMBER(G874),"Valid","Check"))))</f>
        <v>Text - Converted to Date</v>
      </c>
      <c r="J874" s="9" t="str">
        <f>IF(OR(C874="", H874=""), "Cannot Check - Date Missing", IF(H874&lt;C874, "Invalid - Ship Before Order", "Valid"))</f>
        <v>Valid</v>
      </c>
      <c r="K874" s="5">
        <f>IF(OR(C874="", H874=""), "", IF(H874&lt;C874, "", H874-C874))</f>
        <v>2</v>
      </c>
      <c r="L874" s="3" t="s">
        <v>2967</v>
      </c>
      <c r="M874" s="3" t="s">
        <v>93</v>
      </c>
      <c r="N874" s="4" t="str">
        <f>TRIM(SUBSTITUTE(M874,"_"," "))</f>
        <v>Neha Gupta</v>
      </c>
      <c r="O874" s="3" t="s">
        <v>115</v>
      </c>
      <c r="P874" s="6" t="str">
        <f>PROPER(TRIM(SUBSTITUTE(O874,".","")))</f>
        <v>Home Office</v>
      </c>
      <c r="Q874" s="3" t="s">
        <v>42</v>
      </c>
      <c r="R874" s="7" t="str">
        <f>PROPER(TRIM(SUBSTITUTE(Q874,"  "," ")))</f>
        <v>East</v>
      </c>
      <c r="S874" s="3" t="s">
        <v>216</v>
      </c>
      <c r="T874" s="6" t="str">
        <f>PROPER(TRIM(SUBSTITUTE(S874,"  "," ")))</f>
        <v>Assam</v>
      </c>
      <c r="U874" s="3" t="s">
        <v>217</v>
      </c>
      <c r="V874" s="6" t="str">
        <f>PROPER(TRIM(SUBSTITUTE(U874,"  "," ")))</f>
        <v>Guwahati</v>
      </c>
      <c r="W874" s="3" t="s">
        <v>45</v>
      </c>
      <c r="X874" s="6" t="str">
        <f>PROPER(TRIM(SUBSTITUTE(W874,"  "," ")))</f>
        <v>Furniture</v>
      </c>
      <c r="Y874" s="3" t="s">
        <v>76</v>
      </c>
      <c r="Z874" s="6" t="str">
        <f>PROPER(TRIM(SUBSTITUTE(Y874,"  "," ")))</f>
        <v>Chairs</v>
      </c>
      <c r="AA874" s="3" t="s">
        <v>2968</v>
      </c>
      <c r="AB874" s="3" t="s">
        <v>56</v>
      </c>
      <c r="AC874" s="6" t="str">
        <f>PROPER(TRIM(SUBSTITUTE(AB874,"  "," ")))</f>
        <v>First Class</v>
      </c>
      <c r="AD874" s="3">
        <v>2</v>
      </c>
      <c r="AE874" s="3">
        <v>4451.03</v>
      </c>
      <c r="AF874" s="3">
        <v>0.05</v>
      </c>
      <c r="AG874" s="17">
        <v>0.05</v>
      </c>
      <c r="AH874" s="6" t="str">
        <f t="shared" si="108"/>
        <v>Valid</v>
      </c>
      <c r="AI874" s="3">
        <v>8456.9599999999991</v>
      </c>
      <c r="AJ874" s="3">
        <v>5462.85</v>
      </c>
      <c r="AK874" s="3">
        <v>2994.11</v>
      </c>
      <c r="AL874" s="3" t="s">
        <v>34</v>
      </c>
      <c r="AM874" s="6" t="str">
        <f>PROPER(TRIM(SUBSTITUTE(AL874,".","")))</f>
        <v>Paid</v>
      </c>
      <c r="AN874" s="3" t="s">
        <v>35</v>
      </c>
      <c r="AO874" s="8" t="str">
        <f>PROPER(TRIM(SUBSTITUTE(AN874,".","")))</f>
        <v>Completed</v>
      </c>
      <c r="AP874" t="str">
        <f>IF(COUNTIF($A$2:$A$933, A874) &gt; 1, "Duplicate ID", "Unique")</f>
        <v>Unique</v>
      </c>
      <c r="AR874">
        <f t="shared" si="109"/>
        <v>8456.9569999999985</v>
      </c>
      <c r="AS874">
        <f t="shared" si="110"/>
        <v>2994.1069999999982</v>
      </c>
      <c r="AT874" s="15">
        <f t="shared" si="111"/>
        <v>0.35404070282017502</v>
      </c>
      <c r="AU874" t="str">
        <f t="shared" si="112"/>
        <v>Clean</v>
      </c>
      <c r="AV874" s="8" t="str">
        <f t="shared" si="113"/>
        <v>Active</v>
      </c>
    </row>
    <row r="875" spans="1:48">
      <c r="A875" s="3" t="s">
        <v>2969</v>
      </c>
      <c r="B875" s="3" t="s">
        <v>2970</v>
      </c>
      <c r="C875" s="10">
        <f>IFERROR(DATEVALUE(MID(B875,4,2) &amp; "/" &amp; LEFT(B875,2) &amp; "/" &amp; RIGHT(B875,4)), IF(ISNUMBER(B875), B875, IFERROR(DATEVALUE(B875), "")))</f>
        <v>45641</v>
      </c>
      <c r="D875" s="9" t="str">
        <f>IF(B875="","Missing", IF(AND(ISNUMBER(B875)=FALSE, C875=""),"Invalid - Could Not Parse", IF(AND(ISNUMBER(B875)=FALSE, C875&lt;&gt;""),"Text - Converted to Date", IF(ISNUMBER(B875),"Valid","Check"))))</f>
        <v>Text - Converted to Date</v>
      </c>
      <c r="E875" s="5">
        <f t="shared" si="106"/>
        <v>12</v>
      </c>
      <c r="F875" s="5">
        <f t="shared" si="107"/>
        <v>2024</v>
      </c>
      <c r="G875" s="3" t="s">
        <v>1404</v>
      </c>
      <c r="H875" s="9">
        <f>IFERROR(DATEVALUE(TEXT(G875,"DD/MM/YYYY")), IF(ISNUMBER(G875), G875, ""))</f>
        <v>45647</v>
      </c>
      <c r="I875" s="9" t="str">
        <f>IF(G875="","Missing", IF(AND(ISNUMBER(G875)=FALSE, H875=""),"Invalid - Could Not Parse", IF(AND(ISNUMBER(G875)=FALSE, H875&lt;&gt;""),"Text - Converted to Date", IF(ISNUMBER(G875),"Valid","Check"))))</f>
        <v>Text - Converted to Date</v>
      </c>
      <c r="J875" s="9" t="str">
        <f>IF(OR(C875="", H875=""), "Cannot Check - Date Missing", IF(H875&lt;C875, "Invalid - Ship Before Order", "Valid"))</f>
        <v>Valid</v>
      </c>
      <c r="K875" s="5">
        <f>IF(OR(C875="", H875=""), "", IF(H875&lt;C875, "", H875-C875))</f>
        <v>6</v>
      </c>
      <c r="L875" s="3" t="s">
        <v>2971</v>
      </c>
      <c r="M875" s="3" t="s">
        <v>210</v>
      </c>
      <c r="N875" s="4" t="str">
        <f>TRIM(SUBSTITUTE(M875,"_"," "))</f>
        <v>Diya Patel</v>
      </c>
      <c r="O875" s="3" t="s">
        <v>108</v>
      </c>
      <c r="P875" s="6" t="str">
        <f>PROPER(TRIM(SUBSTITUTE(O875,".","")))</f>
        <v>Corporate</v>
      </c>
      <c r="Q875" s="3" t="s">
        <v>73</v>
      </c>
      <c r="R875" s="7" t="str">
        <f>PROPER(TRIM(SUBSTITUTE(Q875,"  "," ")))</f>
        <v>West</v>
      </c>
      <c r="S875" s="3" t="s">
        <v>28</v>
      </c>
      <c r="T875" s="6" t="str">
        <f>PROPER(TRIM(SUBSTITUTE(S875,"  "," ")))</f>
        <v>Rajasthan</v>
      </c>
      <c r="U875" s="3" t="s">
        <v>135</v>
      </c>
      <c r="V875" s="6" t="str">
        <f>PROPER(TRIM(SUBSTITUTE(U875,"  "," ")))</f>
        <v>Udaipur</v>
      </c>
      <c r="W875" s="3" t="s">
        <v>45</v>
      </c>
      <c r="X875" s="6" t="str">
        <f>PROPER(TRIM(SUBSTITUTE(W875,"  "," ")))</f>
        <v>Furniture</v>
      </c>
      <c r="Y875" s="3" t="s">
        <v>76</v>
      </c>
      <c r="Z875" s="6" t="str">
        <f>PROPER(TRIM(SUBSTITUTE(Y875,"  "," ")))</f>
        <v>Chairs</v>
      </c>
      <c r="AA875" s="3" t="s">
        <v>2972</v>
      </c>
      <c r="AB875" s="3" t="s">
        <v>48</v>
      </c>
      <c r="AC875" s="6" t="str">
        <f>PROPER(TRIM(SUBSTITUTE(AB875,"  "," ")))</f>
        <v>Same Day</v>
      </c>
      <c r="AD875" s="3">
        <v>3</v>
      </c>
      <c r="AE875" s="3">
        <v>527.66999999999996</v>
      </c>
      <c r="AF875" s="3">
        <v>0.2</v>
      </c>
      <c r="AG875" s="17">
        <v>0.2</v>
      </c>
      <c r="AH875" s="6" t="str">
        <f t="shared" si="108"/>
        <v>Valid</v>
      </c>
      <c r="AI875" s="3">
        <v>1266.4100000000001</v>
      </c>
      <c r="AJ875" s="3">
        <v>983.92</v>
      </c>
      <c r="AK875" s="3">
        <v>282.49</v>
      </c>
      <c r="AL875" s="3" t="s">
        <v>34</v>
      </c>
      <c r="AM875" s="6" t="str">
        <f>PROPER(TRIM(SUBSTITUTE(AL875,".","")))</f>
        <v>Paid</v>
      </c>
      <c r="AN875" s="3" t="s">
        <v>35</v>
      </c>
      <c r="AO875" s="8" t="str">
        <f>PROPER(TRIM(SUBSTITUTE(AN875,".","")))</f>
        <v>Completed</v>
      </c>
      <c r="AP875" t="str">
        <f>IF(COUNTIF($A$2:$A$933, A875) &gt; 1, "Duplicate ID", "Unique")</f>
        <v>Unique</v>
      </c>
      <c r="AR875">
        <f t="shared" si="109"/>
        <v>1266.4079999999999</v>
      </c>
      <c r="AS875">
        <f t="shared" si="110"/>
        <v>282.48799999999994</v>
      </c>
      <c r="AT875" s="15">
        <f t="shared" si="111"/>
        <v>0.22306239379410109</v>
      </c>
      <c r="AU875" t="str">
        <f t="shared" si="112"/>
        <v>Clean</v>
      </c>
      <c r="AV875" s="8" t="str">
        <f t="shared" si="113"/>
        <v>Active</v>
      </c>
    </row>
    <row r="876" spans="1:48">
      <c r="A876" s="3" t="s">
        <v>2977</v>
      </c>
      <c r="B876" s="3" t="s">
        <v>1414</v>
      </c>
      <c r="C876" s="10">
        <f>IFERROR(DATEVALUE(MID(B876,4,2) &amp; "/" &amp; LEFT(B876,2) &amp; "/" &amp; RIGHT(B876,4)), IF(ISNUMBER(B876), B876, IFERROR(DATEVALUE(B876), "")))</f>
        <v>45701</v>
      </c>
      <c r="D876" s="9" t="str">
        <f>IF(B876="","Missing", IF(AND(ISNUMBER(B876)=FALSE, C876=""),"Invalid - Could Not Parse", IF(AND(ISNUMBER(B876)=FALSE, C876&lt;&gt;""),"Text - Converted to Date", IF(ISNUMBER(B876),"Valid","Check"))))</f>
        <v>Text - Converted to Date</v>
      </c>
      <c r="E876" s="5">
        <f t="shared" si="106"/>
        <v>2</v>
      </c>
      <c r="F876" s="5">
        <f t="shared" si="107"/>
        <v>2025</v>
      </c>
      <c r="G876" s="3" t="s">
        <v>1775</v>
      </c>
      <c r="H876" s="9">
        <f>IFERROR(DATEVALUE(TEXT(G876,"DD/MM/YYYY")), IF(ISNUMBER(G876), G876, ""))</f>
        <v>45709</v>
      </c>
      <c r="I876" s="9" t="str">
        <f>IF(G876="","Missing", IF(AND(ISNUMBER(G876)=FALSE, H876=""),"Invalid - Could Not Parse", IF(AND(ISNUMBER(G876)=FALSE, H876&lt;&gt;""),"Text - Converted to Date", IF(ISNUMBER(G876),"Valid","Check"))))</f>
        <v>Text - Converted to Date</v>
      </c>
      <c r="J876" s="9" t="str">
        <f>IF(OR(C876="", H876=""), "Cannot Check - Date Missing", IF(H876&lt;C876, "Invalid - Ship Before Order", "Valid"))</f>
        <v>Valid</v>
      </c>
      <c r="K876" s="5">
        <f>IF(OR(C876="", H876=""), "", IF(H876&lt;C876, "", H876-C876))</f>
        <v>8</v>
      </c>
      <c r="L876" s="3" t="s">
        <v>2978</v>
      </c>
      <c r="M876" s="3" t="s">
        <v>25</v>
      </c>
      <c r="N876" s="4" t="str">
        <f>TRIM(SUBSTITUTE(M876,"_"," "))</f>
        <v>Karan Malhotra</v>
      </c>
      <c r="O876" s="3" t="s">
        <v>41</v>
      </c>
      <c r="P876" s="6" t="str">
        <f>PROPER(TRIM(SUBSTITUTE(O876,".","")))</f>
        <v>Small Business</v>
      </c>
      <c r="Q876" s="3" t="s">
        <v>62</v>
      </c>
      <c r="R876" s="7" t="str">
        <f>PROPER(TRIM(SUBSTITUTE(Q876,"  "," ")))</f>
        <v>South</v>
      </c>
      <c r="S876" s="3" t="s">
        <v>242</v>
      </c>
      <c r="T876" s="6" t="str">
        <f>PROPER(TRIM(SUBSTITUTE(S876,"  "," ")))</f>
        <v>Kerala</v>
      </c>
      <c r="U876" s="3" t="s">
        <v>243</v>
      </c>
      <c r="V876" s="6" t="str">
        <f>PROPER(TRIM(SUBSTITUTE(U876,"  "," ")))</f>
        <v>Kochi</v>
      </c>
      <c r="W876" s="3" t="s">
        <v>86</v>
      </c>
      <c r="X876" s="6" t="str">
        <f>PROPER(TRIM(SUBSTITUTE(W876,"  "," ")))</f>
        <v>Technology</v>
      </c>
      <c r="Y876" s="3" t="s">
        <v>223</v>
      </c>
      <c r="Z876" s="6" t="str">
        <f>PROPER(TRIM(SUBSTITUTE(Y876,"  "," ")))</f>
        <v>Phones</v>
      </c>
      <c r="AA876" s="3" t="s">
        <v>2979</v>
      </c>
      <c r="AB876" s="3" t="s">
        <v>33</v>
      </c>
      <c r="AC876" s="6" t="str">
        <f>PROPER(TRIM(SUBSTITUTE(AB876,"  "," ")))</f>
        <v>Second Class</v>
      </c>
      <c r="AD876" s="3">
        <v>2</v>
      </c>
      <c r="AE876" s="3">
        <v>2360.02</v>
      </c>
      <c r="AF876" s="3">
        <v>0.15</v>
      </c>
      <c r="AG876" s="17">
        <v>0.15</v>
      </c>
      <c r="AH876" s="6" t="str">
        <f t="shared" si="108"/>
        <v>Valid</v>
      </c>
      <c r="AI876" s="3">
        <v>4012.03</v>
      </c>
      <c r="AJ876" s="3">
        <v>3142.92</v>
      </c>
      <c r="AK876" s="3">
        <v>869.11</v>
      </c>
      <c r="AL876" s="3" t="s">
        <v>137</v>
      </c>
      <c r="AM876" s="6" t="str">
        <f>PROPER(TRIM(SUBSTITUTE(AL876,".","")))</f>
        <v>Pending</v>
      </c>
      <c r="AN876" s="3" t="s">
        <v>78</v>
      </c>
      <c r="AO876" s="8" t="str">
        <f>PROPER(TRIM(SUBSTITUTE(AN876,".","")))</f>
        <v>Cancelled</v>
      </c>
      <c r="AP876" t="str">
        <f>IF(COUNTIF($A$2:$A$933, A876) &gt; 1, "Duplicate ID", "Unique")</f>
        <v>Unique</v>
      </c>
      <c r="AR876">
        <f t="shared" si="109"/>
        <v>4012.0339999999997</v>
      </c>
      <c r="AS876">
        <f t="shared" si="110"/>
        <v>869.11399999999958</v>
      </c>
      <c r="AT876" s="15">
        <f t="shared" si="111"/>
        <v>0.21662677833737193</v>
      </c>
      <c r="AU876" t="str">
        <f t="shared" si="112"/>
        <v>Clean</v>
      </c>
      <c r="AV876" s="8" t="str">
        <f t="shared" si="113"/>
        <v>Cancelled</v>
      </c>
    </row>
    <row r="877" spans="1:48">
      <c r="A877" s="3" t="s">
        <v>2999</v>
      </c>
      <c r="B877" s="3" t="s">
        <v>3000</v>
      </c>
      <c r="C877" s="10">
        <f>IFERROR(DATEVALUE(MID(B877,4,2) &amp; "/" &amp; LEFT(B877,2) &amp; "/" &amp; RIGHT(B877,4)), IF(ISNUMBER(B877), B877, IFERROR(DATEVALUE(B877), "")))</f>
        <v>45765</v>
      </c>
      <c r="D877" s="9" t="str">
        <f>IF(B877="","Missing", IF(AND(ISNUMBER(B877)=FALSE, C877=""),"Invalid - Could Not Parse", IF(AND(ISNUMBER(B877)=FALSE, C877&lt;&gt;""),"Text - Converted to Date", IF(ISNUMBER(B877),"Valid","Check"))))</f>
        <v>Text - Converted to Date</v>
      </c>
      <c r="E877" s="5">
        <f t="shared" si="106"/>
        <v>4</v>
      </c>
      <c r="F877" s="5">
        <f t="shared" si="107"/>
        <v>2025</v>
      </c>
      <c r="G877" s="3" t="s">
        <v>3001</v>
      </c>
      <c r="H877" s="9">
        <f>IFERROR(DATEVALUE(TEXT(G877,"DD/MM/YYYY")), IF(ISNUMBER(G877), G877, ""))</f>
        <v>45767</v>
      </c>
      <c r="I877" s="9" t="str">
        <f>IF(G877="","Missing", IF(AND(ISNUMBER(G877)=FALSE, H877=""),"Invalid - Could Not Parse", IF(AND(ISNUMBER(G877)=FALSE, H877&lt;&gt;""),"Text - Converted to Date", IF(ISNUMBER(G877),"Valid","Check"))))</f>
        <v>Text - Converted to Date</v>
      </c>
      <c r="J877" s="9" t="str">
        <f>IF(OR(C877="", H877=""), "Cannot Check - Date Missing", IF(H877&lt;C877, "Invalid - Ship Before Order", "Valid"))</f>
        <v>Valid</v>
      </c>
      <c r="K877" s="5">
        <f>IF(OR(C877="", H877=""), "", IF(H877&lt;C877, "", H877-C877))</f>
        <v>2</v>
      </c>
      <c r="L877" s="3" t="s">
        <v>3002</v>
      </c>
      <c r="M877" s="3" t="s">
        <v>162</v>
      </c>
      <c r="N877" s="4" t="str">
        <f>TRIM(SUBSTITUTE(M877,"_"," "))</f>
        <v>Aarav Sharma</v>
      </c>
      <c r="O877" s="3" t="s">
        <v>41</v>
      </c>
      <c r="P877" s="6" t="str">
        <f>PROPER(TRIM(SUBSTITUTE(O877,".","")))</f>
        <v>Small Business</v>
      </c>
      <c r="Q877" s="3" t="s">
        <v>62</v>
      </c>
      <c r="R877" s="7" t="str">
        <f>PROPER(TRIM(SUBSTITUTE(Q877,"  "," ")))</f>
        <v>South</v>
      </c>
      <c r="S877" s="3" t="s">
        <v>339</v>
      </c>
      <c r="T877" s="6" t="str">
        <f>PROPER(TRIM(SUBSTITUTE(S877,"  "," ")))</f>
        <v>Tamil Nadu</v>
      </c>
      <c r="U877" s="3" t="s">
        <v>340</v>
      </c>
      <c r="V877" s="6" t="str">
        <f>PROPER(TRIM(SUBSTITUTE(U877,"  "," ")))</f>
        <v>Chennai</v>
      </c>
      <c r="W877" s="3" t="s">
        <v>86</v>
      </c>
      <c r="X877" s="6" t="str">
        <f>PROPER(TRIM(SUBSTITUTE(W877,"  "," ")))</f>
        <v>Technology</v>
      </c>
      <c r="Y877" s="3" t="s">
        <v>87</v>
      </c>
      <c r="Z877" s="6" t="str">
        <f>PROPER(TRIM(SUBSTITUTE(Y877,"  "," ")))</f>
        <v>Accessories</v>
      </c>
      <c r="AA877" s="3" t="s">
        <v>3003</v>
      </c>
      <c r="AB877" s="3" t="s">
        <v>33</v>
      </c>
      <c r="AC877" s="6" t="str">
        <f>PROPER(TRIM(SUBSTITUTE(AB877,"  "," ")))</f>
        <v>Second Class</v>
      </c>
      <c r="AD877" s="3">
        <v>1</v>
      </c>
      <c r="AE877" s="3">
        <v>1626.08</v>
      </c>
      <c r="AF877" s="3">
        <v>0.15</v>
      </c>
      <c r="AG877" s="17">
        <v>0.15</v>
      </c>
      <c r="AH877" s="6" t="str">
        <f t="shared" si="108"/>
        <v>Valid</v>
      </c>
      <c r="AI877" s="3">
        <v>1382.17</v>
      </c>
      <c r="AJ877" s="3">
        <v>810.03</v>
      </c>
      <c r="AK877" s="3">
        <v>572.14</v>
      </c>
      <c r="AL877" s="3" t="s">
        <v>34</v>
      </c>
      <c r="AM877" s="6" t="str">
        <f>PROPER(TRIM(SUBSTITUTE(AL877,".","")))</f>
        <v>Paid</v>
      </c>
      <c r="AN877" s="3" t="s">
        <v>35</v>
      </c>
      <c r="AO877" s="8" t="str">
        <f>PROPER(TRIM(SUBSTITUTE(AN877,".","")))</f>
        <v>Completed</v>
      </c>
      <c r="AP877" t="str">
        <f>IF(COUNTIF($A$2:$A$933, A877) &gt; 1, "Duplicate ID", "Unique")</f>
        <v>Unique</v>
      </c>
      <c r="AR877">
        <f t="shared" si="109"/>
        <v>1382.1679999999999</v>
      </c>
      <c r="AS877">
        <f t="shared" si="110"/>
        <v>572.13799999999992</v>
      </c>
      <c r="AT877" s="15">
        <f t="shared" si="111"/>
        <v>0.4139424440444287</v>
      </c>
      <c r="AU877" t="str">
        <f t="shared" si="112"/>
        <v>Clean</v>
      </c>
      <c r="AV877" s="8" t="str">
        <f t="shared" si="113"/>
        <v>Active</v>
      </c>
    </row>
    <row r="878" spans="1:48">
      <c r="A878" s="3" t="s">
        <v>3026</v>
      </c>
      <c r="B878" s="3" t="s">
        <v>3027</v>
      </c>
      <c r="C878" s="10">
        <f>IFERROR(DATEVALUE(MID(B878,4,2) &amp; "/" &amp; LEFT(B878,2) &amp; "/" &amp; RIGHT(B878,4)), IF(ISNUMBER(B878), B878, IFERROR(DATEVALUE(B878), "")))</f>
        <v>45653</v>
      </c>
      <c r="D878" s="9" t="str">
        <f>IF(B878="","Missing", IF(AND(ISNUMBER(B878)=FALSE, C878=""),"Invalid - Could Not Parse", IF(AND(ISNUMBER(B878)=FALSE, C878&lt;&gt;""),"Text - Converted to Date", IF(ISNUMBER(B878),"Valid","Check"))))</f>
        <v>Text - Converted to Date</v>
      </c>
      <c r="E878" s="5">
        <f t="shared" si="106"/>
        <v>12</v>
      </c>
      <c r="F878" s="5">
        <f t="shared" si="107"/>
        <v>2024</v>
      </c>
      <c r="G878" s="3" t="s">
        <v>1871</v>
      </c>
      <c r="H878" s="9">
        <f>IFERROR(DATEVALUE(TEXT(G878,"DD/MM/YYYY")), IF(ISNUMBER(G878), G878, ""))</f>
        <v>45657</v>
      </c>
      <c r="I878" s="9" t="str">
        <f>IF(G878="","Missing", IF(AND(ISNUMBER(G878)=FALSE, H878=""),"Invalid - Could Not Parse", IF(AND(ISNUMBER(G878)=FALSE, H878&lt;&gt;""),"Text - Converted to Date", IF(ISNUMBER(G878),"Valid","Check"))))</f>
        <v>Text - Converted to Date</v>
      </c>
      <c r="J878" s="9" t="str">
        <f>IF(OR(C878="", H878=""), "Cannot Check - Date Missing", IF(H878&lt;C878, "Invalid - Ship Before Order", "Valid"))</f>
        <v>Valid</v>
      </c>
      <c r="K878" s="5">
        <f>IF(OR(C878="", H878=""), "", IF(H878&lt;C878, "", H878-C878))</f>
        <v>4</v>
      </c>
      <c r="L878" s="3" t="s">
        <v>3028</v>
      </c>
      <c r="M878" s="3" t="s">
        <v>53</v>
      </c>
      <c r="N878" s="4" t="str">
        <f>TRIM(SUBSTITUTE(M878,"_"," "))</f>
        <v>Isha Nair</v>
      </c>
      <c r="O878" s="3" t="s">
        <v>41</v>
      </c>
      <c r="P878" s="6" t="str">
        <f>PROPER(TRIM(SUBSTITUTE(O878,".","")))</f>
        <v>Small Business</v>
      </c>
      <c r="Q878" s="3" t="s">
        <v>42</v>
      </c>
      <c r="R878" s="7" t="str">
        <f>PROPER(TRIM(SUBSTITUTE(Q878,"  "," ")))</f>
        <v>East</v>
      </c>
      <c r="S878" s="3" t="s">
        <v>43</v>
      </c>
      <c r="T878" s="6" t="str">
        <f>PROPER(TRIM(SUBSTITUTE(S878,"  "," ")))</f>
        <v>Odisha</v>
      </c>
      <c r="U878" s="3" t="s">
        <v>44</v>
      </c>
      <c r="V878" s="6" t="str">
        <f>PROPER(TRIM(SUBSTITUTE(U878,"  "," ")))</f>
        <v>Bhubaneswar</v>
      </c>
      <c r="W878" s="3" t="s">
        <v>45</v>
      </c>
      <c r="X878" s="6" t="str">
        <f>PROPER(TRIM(SUBSTITUTE(W878,"  "," ")))</f>
        <v>Furniture</v>
      </c>
      <c r="Y878" s="3" t="s">
        <v>76</v>
      </c>
      <c r="Z878" s="6" t="str">
        <f>PROPER(TRIM(SUBSTITUTE(Y878,"  "," ")))</f>
        <v>Chairs</v>
      </c>
      <c r="AA878" s="3" t="s">
        <v>3029</v>
      </c>
      <c r="AB878" s="3" t="s">
        <v>33</v>
      </c>
      <c r="AC878" s="6" t="str">
        <f>PROPER(TRIM(SUBSTITUTE(AB878,"  "," ")))</f>
        <v>Second Class</v>
      </c>
      <c r="AD878" s="3">
        <v>1</v>
      </c>
      <c r="AE878" s="3">
        <v>1594.7</v>
      </c>
      <c r="AF878" s="3">
        <v>0.05</v>
      </c>
      <c r="AG878" s="17">
        <v>0.05</v>
      </c>
      <c r="AH878" s="6" t="str">
        <f t="shared" si="108"/>
        <v>Valid</v>
      </c>
      <c r="AI878" s="3">
        <v>1514.96</v>
      </c>
      <c r="AJ878" s="3">
        <v>1046.17</v>
      </c>
      <c r="AK878" s="3">
        <v>468.79</v>
      </c>
      <c r="AL878" s="3" t="s">
        <v>34</v>
      </c>
      <c r="AM878" s="6" t="str">
        <f>PROPER(TRIM(SUBSTITUTE(AL878,".","")))</f>
        <v>Paid</v>
      </c>
      <c r="AN878" s="3" t="s">
        <v>35</v>
      </c>
      <c r="AO878" s="8" t="str">
        <f>PROPER(TRIM(SUBSTITUTE(AN878,".","")))</f>
        <v>Completed</v>
      </c>
      <c r="AP878" t="str">
        <f>IF(COUNTIF($A$2:$A$933, A878) &gt; 1, "Duplicate ID", "Unique")</f>
        <v>Unique</v>
      </c>
      <c r="AR878">
        <f t="shared" si="109"/>
        <v>1514.9649999999999</v>
      </c>
      <c r="AS878">
        <f t="shared" si="110"/>
        <v>468.79499999999985</v>
      </c>
      <c r="AT878" s="15">
        <f t="shared" si="111"/>
        <v>0.3094427924077453</v>
      </c>
      <c r="AU878" t="str">
        <f t="shared" si="112"/>
        <v>Clean</v>
      </c>
      <c r="AV878" s="8" t="str">
        <f t="shared" si="113"/>
        <v>Active</v>
      </c>
    </row>
    <row r="879" spans="1:48">
      <c r="A879" s="3" t="s">
        <v>3039</v>
      </c>
      <c r="B879" s="3" t="s">
        <v>1950</v>
      </c>
      <c r="C879" s="10">
        <f>IFERROR(DATEVALUE(MID(B879,4,2) &amp; "/" &amp; LEFT(B879,2) &amp; "/" &amp; RIGHT(B879,4)), IF(ISNUMBER(B879), B879, IFERROR(DATEVALUE(B879), "")))</f>
        <v>45533</v>
      </c>
      <c r="D879" s="9" t="str">
        <f>IF(B879="","Missing", IF(AND(ISNUMBER(B879)=FALSE, C879=""),"Invalid - Could Not Parse", IF(AND(ISNUMBER(B879)=FALSE, C879&lt;&gt;""),"Text - Converted to Date", IF(ISNUMBER(B879),"Valid","Check"))))</f>
        <v>Text - Converted to Date</v>
      </c>
      <c r="E879" s="5">
        <f t="shared" si="106"/>
        <v>8</v>
      </c>
      <c r="F879" s="5">
        <f t="shared" si="107"/>
        <v>2024</v>
      </c>
      <c r="G879" s="3" t="s">
        <v>37</v>
      </c>
      <c r="H879" s="9">
        <f>IFERROR(DATEVALUE(MID(G879,4,2) &amp; "/" &amp; LEFT(G879,2) &amp; "/" &amp; RIGHT(G879,4)), IF(ISNUMBER(G879), G879, IFERROR(DATEVALUE(G879), "")))</f>
        <v>45535</v>
      </c>
      <c r="I879" s="9" t="str">
        <f>IF(G879="","Missing", IF(AND(ISNUMBER(G879)=FALSE, H879=""),"Invalid - Could Not Parse", IF(AND(ISNUMBER(G879)=FALSE, H879&lt;&gt;""),"Text - Converted to Date", IF(ISNUMBER(G879),"Valid","Check"))))</f>
        <v>Text - Converted to Date</v>
      </c>
      <c r="J879" s="9" t="str">
        <f>IF(OR(C879="", H879=""), "Cannot Check - Date Missing", IF(H879&lt;C879, "Invalid - Ship Before Order", "Valid"))</f>
        <v>Valid</v>
      </c>
      <c r="K879" s="5">
        <f>IF(OR(C879="", H879=""), "", IF(H879&lt;C879, "", H879-C879))</f>
        <v>2</v>
      </c>
      <c r="L879" s="3" t="s">
        <v>3040</v>
      </c>
      <c r="M879" s="3" t="s">
        <v>53</v>
      </c>
      <c r="N879" s="4" t="str">
        <f>TRIM(SUBSTITUTE(M879,"_"," "))</f>
        <v>Isha Nair</v>
      </c>
      <c r="O879" s="3" t="s">
        <v>115</v>
      </c>
      <c r="P879" s="6" t="str">
        <f>PROPER(TRIM(SUBSTITUTE(O879,".","")))</f>
        <v>Home Office</v>
      </c>
      <c r="Q879" s="3" t="s">
        <v>42</v>
      </c>
      <c r="R879" s="7" t="str">
        <f>PROPER(TRIM(SUBSTITUTE(Q879,"  "," ")))</f>
        <v>East</v>
      </c>
      <c r="S879" s="3" t="s">
        <v>216</v>
      </c>
      <c r="T879" s="6" t="str">
        <f>PROPER(TRIM(SUBSTITUTE(S879,"  "," ")))</f>
        <v>Assam</v>
      </c>
      <c r="U879" s="3" t="s">
        <v>217</v>
      </c>
      <c r="V879" s="6" t="str">
        <f>PROPER(TRIM(SUBSTITUTE(U879,"  "," ")))</f>
        <v>Guwahati</v>
      </c>
      <c r="W879" s="3" t="s">
        <v>30</v>
      </c>
      <c r="X879" s="6" t="str">
        <f>PROPER(TRIM(SUBSTITUTE(W879,"  "," ")))</f>
        <v>Office Supplies</v>
      </c>
      <c r="Y879" s="3" t="s">
        <v>3041</v>
      </c>
      <c r="Z879" s="6" t="str">
        <f>PROPER(TRIM(SUBSTITUTE(Y879,"  "," ")))</f>
        <v>Binders</v>
      </c>
      <c r="AA879" s="3" t="s">
        <v>3042</v>
      </c>
      <c r="AB879" s="3" t="s">
        <v>33</v>
      </c>
      <c r="AC879" s="6" t="str">
        <f>PROPER(TRIM(SUBSTITUTE(AB879,"  "," ")))</f>
        <v>Second Class</v>
      </c>
      <c r="AD879" s="3">
        <v>9</v>
      </c>
      <c r="AE879" s="3">
        <v>1275.21</v>
      </c>
      <c r="AF879" s="3">
        <v>0.25</v>
      </c>
      <c r="AG879" s="17">
        <v>0.25</v>
      </c>
      <c r="AH879" s="6" t="str">
        <f t="shared" si="108"/>
        <v>Valid</v>
      </c>
      <c r="AI879" s="3">
        <v>8607.67</v>
      </c>
      <c r="AJ879" s="3">
        <v>5337.64</v>
      </c>
      <c r="AK879" s="3">
        <v>3270.03</v>
      </c>
      <c r="AL879" s="3" t="s">
        <v>200</v>
      </c>
      <c r="AM879" s="6" t="str">
        <f>PROPER(TRIM(SUBSTITUTE(AL879,".","")))</f>
        <v>Failed</v>
      </c>
      <c r="AN879" s="3" t="s">
        <v>125</v>
      </c>
      <c r="AO879" s="8" t="str">
        <f>PROPER(TRIM(SUBSTITUTE(AN879,".","")))</f>
        <v>Returned</v>
      </c>
      <c r="AP879" t="str">
        <f>IF(COUNTIF($A$2:$A$933, A879) &gt; 1, "Duplicate ID", "Unique")</f>
        <v>Unique</v>
      </c>
      <c r="AR879">
        <f t="shared" si="109"/>
        <v>8607.6674999999996</v>
      </c>
      <c r="AS879">
        <f t="shared" si="110"/>
        <v>3270.0274999999992</v>
      </c>
      <c r="AT879" s="15">
        <f t="shared" si="111"/>
        <v>0.37989705108846261</v>
      </c>
      <c r="AU879" t="str">
        <f t="shared" si="112"/>
        <v>Clean</v>
      </c>
      <c r="AV879" s="8" t="str">
        <f t="shared" si="113"/>
        <v>Active</v>
      </c>
    </row>
    <row r="880" spans="1:48">
      <c r="A880" s="3" t="s">
        <v>3055</v>
      </c>
      <c r="B880" s="3" t="s">
        <v>3056</v>
      </c>
      <c r="C880" s="10">
        <f>IFERROR(DATEVALUE(MID(B880,4,2) &amp; "/" &amp; LEFT(B880,2) &amp; "/" &amp; RIGHT(B880,4)), IF(ISNUMBER(B880), B880, IFERROR(DATEVALUE(B880), "")))</f>
        <v>45553</v>
      </c>
      <c r="D880" s="9" t="str">
        <f>IF(B880="","Missing", IF(AND(ISNUMBER(B880)=FALSE, C880=""),"Invalid - Could Not Parse", IF(AND(ISNUMBER(B880)=FALSE, C880&lt;&gt;""),"Text - Converted to Date", IF(ISNUMBER(B880),"Valid","Check"))))</f>
        <v>Text - Converted to Date</v>
      </c>
      <c r="E880" s="5">
        <f t="shared" si="106"/>
        <v>9</v>
      </c>
      <c r="F880" s="5">
        <f t="shared" si="107"/>
        <v>2024</v>
      </c>
      <c r="G880" s="3" t="s">
        <v>3057</v>
      </c>
      <c r="H880" s="9">
        <f>IFERROR(DATEVALUE(TEXT(G880,"DD/MM/YYYY")), IF(ISNUMBER(G880), G880, ""))</f>
        <v>45559</v>
      </c>
      <c r="I880" s="9" t="str">
        <f>IF(G880="","Missing", IF(AND(ISNUMBER(G880)=FALSE, H880=""),"Invalid - Could Not Parse", IF(AND(ISNUMBER(G880)=FALSE, H880&lt;&gt;""),"Text - Converted to Date", IF(ISNUMBER(G880),"Valid","Check"))))</f>
        <v>Text - Converted to Date</v>
      </c>
      <c r="J880" s="9" t="str">
        <f>IF(OR(C880="", H880=""), "Cannot Check - Date Missing", IF(H880&lt;C880, "Invalid - Ship Before Order", "Valid"))</f>
        <v>Valid</v>
      </c>
      <c r="K880" s="5">
        <f>IF(OR(C880="", H880=""), "", IF(H880&lt;C880, "", H880-C880))</f>
        <v>6</v>
      </c>
      <c r="L880" s="3" t="s">
        <v>3058</v>
      </c>
      <c r="M880" s="3" t="s">
        <v>83</v>
      </c>
      <c r="N880" s="4" t="str">
        <f>TRIM(SUBSTITUTE(M880,"_"," "))</f>
        <v>Vikram Iyer</v>
      </c>
      <c r="O880" s="3" t="s">
        <v>41</v>
      </c>
      <c r="P880" s="6" t="str">
        <f>PROPER(TRIM(SUBSTITUTE(O880,".","")))</f>
        <v>Small Business</v>
      </c>
      <c r="Q880" s="3" t="s">
        <v>42</v>
      </c>
      <c r="R880" s="7" t="str">
        <f>PROPER(TRIM(SUBSTITUTE(Q880,"  "," ")))</f>
        <v>East</v>
      </c>
      <c r="S880" s="3" t="s">
        <v>311</v>
      </c>
      <c r="T880" s="6" t="str">
        <f>PROPER(TRIM(SUBSTITUTE(S880,"  "," ")))</f>
        <v>Jharkhand</v>
      </c>
      <c r="U880" s="3" t="s">
        <v>312</v>
      </c>
      <c r="V880" s="6" t="str">
        <f>PROPER(TRIM(SUBSTITUTE(U880,"  "," ")))</f>
        <v>Ranchi</v>
      </c>
      <c r="W880" s="3" t="s">
        <v>86</v>
      </c>
      <c r="X880" s="6" t="str">
        <f>PROPER(TRIM(SUBSTITUTE(W880,"  "," ")))</f>
        <v>Technology</v>
      </c>
      <c r="Y880" s="3" t="s">
        <v>382</v>
      </c>
      <c r="Z880" s="6" t="str">
        <f>PROPER(TRIM(SUBSTITUTE(Y880,"  "," ")))</f>
        <v>Machines</v>
      </c>
      <c r="AA880" s="3" t="s">
        <v>3059</v>
      </c>
      <c r="AB880" s="3" t="s">
        <v>56</v>
      </c>
      <c r="AC880" s="6" t="str">
        <f>PROPER(TRIM(SUBSTITUTE(AB880,"  "," ")))</f>
        <v>First Class</v>
      </c>
      <c r="AD880" s="3">
        <v>3</v>
      </c>
      <c r="AE880" s="3">
        <v>729.14</v>
      </c>
      <c r="AF880" s="3">
        <v>0.25</v>
      </c>
      <c r="AG880" s="17">
        <v>0.25</v>
      </c>
      <c r="AH880" s="6" t="str">
        <f t="shared" si="108"/>
        <v>Valid</v>
      </c>
      <c r="AI880" s="3">
        <v>1640.57</v>
      </c>
      <c r="AJ880" s="3">
        <v>1136.98</v>
      </c>
      <c r="AK880" s="3">
        <v>503.59</v>
      </c>
      <c r="AL880" s="3" t="s">
        <v>34</v>
      </c>
      <c r="AM880" s="6" t="str">
        <f>PROPER(TRIM(SUBSTITUTE(AL880,".","")))</f>
        <v>Paid</v>
      </c>
      <c r="AN880" s="3" t="s">
        <v>35</v>
      </c>
      <c r="AO880" s="8" t="str">
        <f>PROPER(TRIM(SUBSTITUTE(AN880,".","")))</f>
        <v>Completed</v>
      </c>
      <c r="AP880" t="str">
        <f>IF(COUNTIF($A$2:$A$933, A880) &gt; 1, "Duplicate ID", "Unique")</f>
        <v>Unique</v>
      </c>
      <c r="AR880">
        <f t="shared" si="109"/>
        <v>1640.5650000000001</v>
      </c>
      <c r="AS880">
        <f t="shared" si="110"/>
        <v>503.58500000000004</v>
      </c>
      <c r="AT880" s="15">
        <f t="shared" si="111"/>
        <v>0.30695827352162214</v>
      </c>
      <c r="AU880" t="str">
        <f t="shared" si="112"/>
        <v>Clean</v>
      </c>
      <c r="AV880" s="8" t="str">
        <f t="shared" si="113"/>
        <v>Active</v>
      </c>
    </row>
    <row r="881" spans="1:48">
      <c r="A881" s="3" t="s">
        <v>3074</v>
      </c>
      <c r="B881" s="3" t="s">
        <v>3075</v>
      </c>
      <c r="C881" s="10">
        <f>IFERROR(DATEVALUE(MID(B881,4,2) &amp; "/" &amp; LEFT(B881,2) &amp; "/" &amp; RIGHT(B881,4)), IF(ISNUMBER(B881), B881, IFERROR(DATEVALUE(B881), "")))</f>
        <v>45395</v>
      </c>
      <c r="D881" s="9" t="str">
        <f>IF(B881="","Missing", IF(AND(ISNUMBER(B881)=FALSE, C881=""),"Invalid - Could Not Parse", IF(AND(ISNUMBER(B881)=FALSE, C881&lt;&gt;""),"Text - Converted to Date", IF(ISNUMBER(B881),"Valid","Check"))))</f>
        <v>Text - Converted to Date</v>
      </c>
      <c r="E881" s="5">
        <f t="shared" si="106"/>
        <v>4</v>
      </c>
      <c r="F881" s="5">
        <f t="shared" si="107"/>
        <v>2024</v>
      </c>
      <c r="G881" s="3" t="s">
        <v>3076</v>
      </c>
      <c r="H881" s="9">
        <f>IFERROR(DATEVALUE(TEXT(G881,"DD/MM/YYYY")), IF(ISNUMBER(G881), G881, ""))</f>
        <v>45403</v>
      </c>
      <c r="I881" s="9" t="str">
        <f>IF(G881="","Missing", IF(AND(ISNUMBER(G881)=FALSE, H881=""),"Invalid - Could Not Parse", IF(AND(ISNUMBER(G881)=FALSE, H881&lt;&gt;""),"Text - Converted to Date", IF(ISNUMBER(G881),"Valid","Check"))))</f>
        <v>Text - Converted to Date</v>
      </c>
      <c r="J881" s="9" t="str">
        <f>IF(OR(C881="", H881=""), "Cannot Check - Date Missing", IF(H881&lt;C881, "Invalid - Ship Before Order", "Valid"))</f>
        <v>Valid</v>
      </c>
      <c r="K881" s="5">
        <f>IF(OR(C881="", H881=""), "", IF(H881&lt;C881, "", H881-C881))</f>
        <v>8</v>
      </c>
      <c r="L881" s="3" t="s">
        <v>547</v>
      </c>
      <c r="M881" s="3" t="s">
        <v>162</v>
      </c>
      <c r="N881" s="4" t="str">
        <f>TRIM(SUBSTITUTE(M881,"_"," "))</f>
        <v>Aarav Sharma</v>
      </c>
      <c r="O881" s="3" t="s">
        <v>115</v>
      </c>
      <c r="P881" s="6" t="str">
        <f>PROPER(TRIM(SUBSTITUTE(O881,".","")))</f>
        <v>Home Office</v>
      </c>
      <c r="Q881" s="3" t="s">
        <v>42</v>
      </c>
      <c r="R881" s="7" t="str">
        <f>PROPER(TRIM(SUBSTITUTE(Q881,"  "," ")))</f>
        <v>East</v>
      </c>
      <c r="S881" s="3" t="s">
        <v>186</v>
      </c>
      <c r="T881" s="6" t="str">
        <f>PROPER(TRIM(SUBSTITUTE(S881,"  "," ")))</f>
        <v>Bihar</v>
      </c>
      <c r="U881" s="3" t="s">
        <v>187</v>
      </c>
      <c r="V881" s="6" t="str">
        <f>PROPER(TRIM(SUBSTITUTE(U881,"  "," ")))</f>
        <v>Patna</v>
      </c>
      <c r="W881" s="3" t="s">
        <v>86</v>
      </c>
      <c r="X881" s="6" t="str">
        <f>PROPER(TRIM(SUBSTITUTE(W881,"  "," ")))</f>
        <v>Technology</v>
      </c>
      <c r="Y881" s="3" t="s">
        <v>87</v>
      </c>
      <c r="Z881" s="6" t="str">
        <f>PROPER(TRIM(SUBSTITUTE(Y881,"  "," ")))</f>
        <v>Accessories</v>
      </c>
      <c r="AA881" s="3" t="s">
        <v>3077</v>
      </c>
      <c r="AB881" s="3" t="s">
        <v>48</v>
      </c>
      <c r="AC881" s="6" t="str">
        <f>PROPER(TRIM(SUBSTITUTE(AB881,"  "," ")))</f>
        <v>Same Day</v>
      </c>
      <c r="AD881" s="3">
        <v>7</v>
      </c>
      <c r="AE881" s="3">
        <v>2648.76</v>
      </c>
      <c r="AF881" s="3">
        <v>0.15</v>
      </c>
      <c r="AG881" s="17">
        <v>0.15</v>
      </c>
      <c r="AH881" s="6" t="str">
        <f t="shared" si="108"/>
        <v>Valid</v>
      </c>
      <c r="AI881" s="3">
        <v>15760.12</v>
      </c>
      <c r="AJ881" s="3">
        <v>9931.5300000000007</v>
      </c>
      <c r="AK881" s="3">
        <v>5828.59</v>
      </c>
      <c r="AL881" s="3" t="s">
        <v>200</v>
      </c>
      <c r="AM881" s="6" t="str">
        <f>PROPER(TRIM(SUBSTITUTE(AL881,".","")))</f>
        <v>Failed</v>
      </c>
      <c r="AN881" s="3" t="s">
        <v>125</v>
      </c>
      <c r="AO881" s="8" t="str">
        <f>PROPER(TRIM(SUBSTITUTE(AN881,".","")))</f>
        <v>Returned</v>
      </c>
      <c r="AP881" t="str">
        <f>IF(COUNTIF($A$2:$A$933, A881) &gt; 1, "Duplicate ID", "Unique")</f>
        <v>Unique</v>
      </c>
      <c r="AR881">
        <f t="shared" si="109"/>
        <v>15760.121999999999</v>
      </c>
      <c r="AS881">
        <f t="shared" si="110"/>
        <v>5828.5919999999987</v>
      </c>
      <c r="AT881" s="15">
        <f t="shared" si="111"/>
        <v>0.36983165485647884</v>
      </c>
      <c r="AU881" t="str">
        <f t="shared" si="112"/>
        <v>Clean</v>
      </c>
      <c r="AV881" s="8" t="str">
        <f t="shared" si="113"/>
        <v>Active</v>
      </c>
    </row>
    <row r="882" spans="1:48">
      <c r="A882" s="3" t="s">
        <v>3082</v>
      </c>
      <c r="B882" s="3" t="s">
        <v>3083</v>
      </c>
      <c r="C882" s="10">
        <f>IFERROR(DATEVALUE(MID(B882,4,2) &amp; "/" &amp; LEFT(B882,2) &amp; "/" &amp; RIGHT(B882,4)), IF(ISNUMBER(B882), B882, IFERROR(DATEVALUE(B882), "")))</f>
        <v>45733</v>
      </c>
      <c r="D882" s="9" t="str">
        <f>IF(B882="","Missing", IF(AND(ISNUMBER(B882)=FALSE, C882=""),"Invalid - Could Not Parse", IF(AND(ISNUMBER(B882)=FALSE, C882&lt;&gt;""),"Text - Converted to Date", IF(ISNUMBER(B882),"Valid","Check"))))</f>
        <v>Text - Converted to Date</v>
      </c>
      <c r="E882" s="5">
        <f t="shared" si="106"/>
        <v>3</v>
      </c>
      <c r="F882" s="5">
        <f t="shared" si="107"/>
        <v>2025</v>
      </c>
      <c r="G882" s="3" t="s">
        <v>3084</v>
      </c>
      <c r="H882" s="9">
        <f>IFERROR(DATEVALUE(TEXT(G882,"DD/MM/YYYY")), IF(ISNUMBER(G882), G882, ""))</f>
        <v>45737</v>
      </c>
      <c r="I882" s="9" t="str">
        <f>IF(G882="","Missing", IF(AND(ISNUMBER(G882)=FALSE, H882=""),"Invalid - Could Not Parse", IF(AND(ISNUMBER(G882)=FALSE, H882&lt;&gt;""),"Text - Converted to Date", IF(ISNUMBER(G882),"Valid","Check"))))</f>
        <v>Text - Converted to Date</v>
      </c>
      <c r="J882" s="9" t="str">
        <f>IF(OR(C882="", H882=""), "Cannot Check - Date Missing", IF(H882&lt;C882, "Invalid - Ship Before Order", "Valid"))</f>
        <v>Valid</v>
      </c>
      <c r="K882" s="5">
        <f>IF(OR(C882="", H882=""), "", IF(H882&lt;C882, "", H882-C882))</f>
        <v>4</v>
      </c>
      <c r="L882" s="3" t="s">
        <v>2567</v>
      </c>
      <c r="M882" s="3" t="s">
        <v>168</v>
      </c>
      <c r="N882" s="4" t="str">
        <f>TRIM(SUBSTITUTE(M882,"_"," "))</f>
        <v>Sneha Kapoor</v>
      </c>
      <c r="O882" s="3" t="s">
        <v>26</v>
      </c>
      <c r="P882" s="6" t="str">
        <f>PROPER(TRIM(SUBSTITUTE(O882,".","")))</f>
        <v>Consumer</v>
      </c>
      <c r="Q882" s="3" t="s">
        <v>27</v>
      </c>
      <c r="R882" s="7" t="str">
        <f>PROPER(TRIM(SUBSTITUTE(Q882,"  "," ")))</f>
        <v>North</v>
      </c>
      <c r="S882" s="3" t="s">
        <v>174</v>
      </c>
      <c r="T882" s="6" t="str">
        <f>PROPER(TRIM(SUBSTITUTE(S882,"  "," ")))</f>
        <v>Uttar Pradesh</v>
      </c>
      <c r="U882" s="3" t="s">
        <v>175</v>
      </c>
      <c r="V882" s="6" t="str">
        <f>PROPER(TRIM(SUBSTITUTE(U882,"  "," ")))</f>
        <v>Noida</v>
      </c>
      <c r="W882" s="3" t="s">
        <v>30</v>
      </c>
      <c r="X882" s="6" t="str">
        <f>PROPER(TRIM(SUBSTITUTE(W882,"  "," ")))</f>
        <v>Office Supplies</v>
      </c>
      <c r="Y882" s="3" t="s">
        <v>198</v>
      </c>
      <c r="Z882" s="6" t="str">
        <f>PROPER(TRIM(SUBSTITUTE(Y882,"  "," ")))</f>
        <v>Binders</v>
      </c>
      <c r="AA882" s="3" t="s">
        <v>3085</v>
      </c>
      <c r="AB882" s="3" t="s">
        <v>67</v>
      </c>
      <c r="AC882" s="6" t="str">
        <f>PROPER(TRIM(SUBSTITUTE(AB882,"  "," ")))</f>
        <v>Standard Class</v>
      </c>
      <c r="AD882" s="3">
        <v>5</v>
      </c>
      <c r="AE882" s="3">
        <v>4320.59</v>
      </c>
      <c r="AF882" s="3">
        <v>0.15</v>
      </c>
      <c r="AG882" s="17">
        <v>0.15</v>
      </c>
      <c r="AH882" s="6" t="str">
        <f t="shared" si="108"/>
        <v>Valid</v>
      </c>
      <c r="AI882" s="3">
        <v>18362.509999999998</v>
      </c>
      <c r="AJ882" s="3">
        <v>11133.97</v>
      </c>
      <c r="AK882" s="3">
        <v>7228.54</v>
      </c>
      <c r="AL882" s="3" t="s">
        <v>34</v>
      </c>
      <c r="AM882" s="6" t="str">
        <f>PROPER(TRIM(SUBSTITUTE(AL882,".","")))</f>
        <v>Paid</v>
      </c>
      <c r="AN882" s="3" t="s">
        <v>35</v>
      </c>
      <c r="AO882" s="8" t="str">
        <f>PROPER(TRIM(SUBSTITUTE(AN882,".","")))</f>
        <v>Completed</v>
      </c>
      <c r="AP882" t="str">
        <f>IF(COUNTIF($A$2:$A$933, A882) &gt; 1, "Duplicate ID", "Unique")</f>
        <v>Unique</v>
      </c>
      <c r="AR882">
        <f t="shared" si="109"/>
        <v>18362.5075</v>
      </c>
      <c r="AS882">
        <f t="shared" si="110"/>
        <v>7228.5375000000004</v>
      </c>
      <c r="AT882" s="15">
        <f t="shared" si="111"/>
        <v>0.39365742941153326</v>
      </c>
      <c r="AU882" t="str">
        <f t="shared" si="112"/>
        <v>Clean</v>
      </c>
      <c r="AV882" s="8" t="str">
        <f t="shared" si="113"/>
        <v>Active</v>
      </c>
    </row>
    <row r="883" spans="1:48">
      <c r="A883" s="3" t="s">
        <v>3094</v>
      </c>
      <c r="B883" s="3" t="s">
        <v>699</v>
      </c>
      <c r="C883" s="10">
        <f>IFERROR(DATEVALUE(MID(B883,4,2) &amp; "/" &amp; LEFT(B883,2) &amp; "/" &amp; RIGHT(B883,4)), IF(ISNUMBER(B883), B883, IFERROR(DATEVALUE(B883), "")))</f>
        <v>45895</v>
      </c>
      <c r="D883" s="9" t="str">
        <f>IF(B883="","Missing", IF(AND(ISNUMBER(B883)=FALSE, C883=""),"Invalid - Could Not Parse", IF(AND(ISNUMBER(B883)=FALSE, C883&lt;&gt;""),"Text - Converted to Date", IF(ISNUMBER(B883),"Valid","Check"))))</f>
        <v>Text - Converted to Date</v>
      </c>
      <c r="E883" s="5">
        <f t="shared" si="106"/>
        <v>8</v>
      </c>
      <c r="F883" s="5">
        <f t="shared" si="107"/>
        <v>2025</v>
      </c>
      <c r="G883" s="3" t="s">
        <v>699</v>
      </c>
      <c r="H883" s="9">
        <f>IFERROR(DATEVALUE(MID(G883,4,2) &amp; "/" &amp; LEFT(G883,2) &amp; "/" &amp; RIGHT(G883,4)), IF(ISNUMBER(G883), G883, IFERROR(DATEVALUE(G883), "")))</f>
        <v>45895</v>
      </c>
      <c r="I883" s="9" t="str">
        <f>IF(G883="","Missing", IF(AND(ISNUMBER(G883)=FALSE, H883=""),"Invalid - Could Not Parse", IF(AND(ISNUMBER(G883)=FALSE, H883&lt;&gt;""),"Text - Converted to Date", IF(ISNUMBER(G883),"Valid","Check"))))</f>
        <v>Text - Converted to Date</v>
      </c>
      <c r="J883" s="9" t="str">
        <f>IF(OR(C883="", H883=""), "Cannot Check - Date Missing", IF(H883&lt;C883, "Invalid - Ship Before Order", "Valid"))</f>
        <v>Valid</v>
      </c>
      <c r="K883" s="5">
        <f>IF(OR(C883="", H883=""), "", IF(H883&lt;C883, "", H883-C883))</f>
        <v>0</v>
      </c>
      <c r="L883" s="3" t="s">
        <v>3095</v>
      </c>
      <c r="M883" s="3" t="s">
        <v>93</v>
      </c>
      <c r="N883" s="4" t="str">
        <f>TRIM(SUBSTITUTE(M883,"_"," "))</f>
        <v>Neha Gupta</v>
      </c>
      <c r="O883" s="3" t="s">
        <v>115</v>
      </c>
      <c r="P883" s="6" t="str">
        <f>PROPER(TRIM(SUBSTITUTE(O883,".","")))</f>
        <v>Home Office</v>
      </c>
      <c r="Q883" s="3" t="s">
        <v>42</v>
      </c>
      <c r="R883" s="7" t="str">
        <f>PROPER(TRIM(SUBSTITUTE(Q883,"  "," ")))</f>
        <v>East</v>
      </c>
      <c r="S883" s="3" t="s">
        <v>121</v>
      </c>
      <c r="T883" s="6" t="str">
        <f>PROPER(TRIM(SUBSTITUTE(S883,"  "," ")))</f>
        <v>West Bengal</v>
      </c>
      <c r="U883" s="3" t="s">
        <v>122</v>
      </c>
      <c r="V883" s="6" t="str">
        <f>PROPER(TRIM(SUBSTITUTE(U883,"  "," ")))</f>
        <v>Kolkata</v>
      </c>
      <c r="W883" s="3" t="s">
        <v>45</v>
      </c>
      <c r="X883" s="6" t="str">
        <f>PROPER(TRIM(SUBSTITUTE(W883,"  "," ")))</f>
        <v>Furniture</v>
      </c>
      <c r="Y883" s="3" t="s">
        <v>65</v>
      </c>
      <c r="Z883" s="6" t="str">
        <f>PROPER(TRIM(SUBSTITUTE(Y883,"  "," ")))</f>
        <v>Furnishings</v>
      </c>
      <c r="AA883" s="3" t="s">
        <v>3096</v>
      </c>
      <c r="AB883" s="3" t="s">
        <v>67</v>
      </c>
      <c r="AC883" s="6" t="str">
        <f>PROPER(TRIM(SUBSTITUTE(AB883,"  "," ")))</f>
        <v>Standard Class</v>
      </c>
      <c r="AD883" s="3">
        <v>4</v>
      </c>
      <c r="AE883" s="3">
        <v>2151.8200000000002</v>
      </c>
      <c r="AF883" s="3">
        <v>0</v>
      </c>
      <c r="AG883" s="17">
        <v>0</v>
      </c>
      <c r="AH883" s="6" t="str">
        <f t="shared" si="108"/>
        <v>Valid</v>
      </c>
      <c r="AI883" s="3">
        <v>8607.2800000000007</v>
      </c>
      <c r="AJ883" s="3">
        <v>5124.01</v>
      </c>
      <c r="AK883" s="3">
        <v>3483.27</v>
      </c>
      <c r="AL883" s="3" t="s">
        <v>34</v>
      </c>
      <c r="AM883" s="6" t="str">
        <f>PROPER(TRIM(SUBSTITUTE(AL883,".","")))</f>
        <v>Paid</v>
      </c>
      <c r="AN883" s="3" t="s">
        <v>35</v>
      </c>
      <c r="AO883" s="8" t="str">
        <f>PROPER(TRIM(SUBSTITUTE(AN883,".","")))</f>
        <v>Completed</v>
      </c>
      <c r="AP883" t="str">
        <f>IF(COUNTIF($A$2:$A$933, A883) &gt; 1, "Duplicate ID", "Unique")</f>
        <v>Unique</v>
      </c>
      <c r="AR883">
        <f t="shared" si="109"/>
        <v>8607.2800000000007</v>
      </c>
      <c r="AS883">
        <f t="shared" si="110"/>
        <v>3483.2700000000004</v>
      </c>
      <c r="AT883" s="15">
        <f t="shared" si="111"/>
        <v>0.40468882155570635</v>
      </c>
      <c r="AU883" t="str">
        <f t="shared" si="112"/>
        <v>Clean</v>
      </c>
      <c r="AV883" s="8" t="str">
        <f t="shared" si="113"/>
        <v>Active</v>
      </c>
    </row>
    <row r="884" spans="1:48">
      <c r="A884" s="3" t="s">
        <v>3113</v>
      </c>
      <c r="B884" s="3" t="s">
        <v>171</v>
      </c>
      <c r="C884" s="10">
        <f>IFERROR(DATEVALUE(MID(B884,4,2) &amp; "/" &amp; LEFT(B884,2) &amp; "/" &amp; RIGHT(B884,4)), IF(ISNUMBER(B884), B884, IFERROR(DATEVALUE(B884), "")))</f>
        <v>45853</v>
      </c>
      <c r="D884" s="9" t="str">
        <f>IF(B884="","Missing", IF(AND(ISNUMBER(B884)=FALSE, C884=""),"Invalid - Could Not Parse", IF(AND(ISNUMBER(B884)=FALSE, C884&lt;&gt;""),"Text - Converted to Date", IF(ISNUMBER(B884),"Valid","Check"))))</f>
        <v>Text - Converted to Date</v>
      </c>
      <c r="E884" s="5">
        <f t="shared" si="106"/>
        <v>7</v>
      </c>
      <c r="F884" s="5">
        <f t="shared" si="107"/>
        <v>2025</v>
      </c>
      <c r="G884" s="3" t="s">
        <v>3114</v>
      </c>
      <c r="H884" s="9">
        <f>IFERROR(DATEVALUE(TEXT(G884,"DD/MM/YYYY")), IF(ISNUMBER(G884), G884, ""))</f>
        <v>45853</v>
      </c>
      <c r="I884" s="9" t="str">
        <f>IF(G884="","Missing", IF(AND(ISNUMBER(G884)=FALSE, H884=""),"Invalid - Could Not Parse", IF(AND(ISNUMBER(G884)=FALSE, H884&lt;&gt;""),"Text - Converted to Date", IF(ISNUMBER(G884),"Valid","Check"))))</f>
        <v>Text - Converted to Date</v>
      </c>
      <c r="J884" s="9" t="str">
        <f>IF(OR(C884="", H884=""), "Cannot Check - Date Missing", IF(H884&lt;C884, "Invalid - Ship Before Order", "Valid"))</f>
        <v>Valid</v>
      </c>
      <c r="K884" s="5">
        <f>IF(OR(C884="", H884=""), "", IF(H884&lt;C884, "", H884-C884))</f>
        <v>0</v>
      </c>
      <c r="L884" s="3" t="s">
        <v>3115</v>
      </c>
      <c r="M884" s="3" t="s">
        <v>61</v>
      </c>
      <c r="N884" s="4" t="str">
        <f>TRIM(SUBSTITUTE(M884,"_"," "))</f>
        <v>Arjun Bose</v>
      </c>
      <c r="O884" s="3" t="s">
        <v>41</v>
      </c>
      <c r="P884" s="6" t="str">
        <f>PROPER(TRIM(SUBSTITUTE(O884,".","")))</f>
        <v>Small Business</v>
      </c>
      <c r="Q884" s="3" t="s">
        <v>42</v>
      </c>
      <c r="R884" s="7" t="str">
        <f>PROPER(TRIM(SUBSTITUTE(Q884,"  "," ")))</f>
        <v>East</v>
      </c>
      <c r="S884" s="3" t="s">
        <v>311</v>
      </c>
      <c r="T884" s="6" t="str">
        <f>PROPER(TRIM(SUBSTITUTE(S884,"  "," ")))</f>
        <v>Jharkhand</v>
      </c>
      <c r="U884" s="3" t="s">
        <v>312</v>
      </c>
      <c r="V884" s="6" t="str">
        <f>PROPER(TRIM(SUBSTITUTE(U884,"  "," ")))</f>
        <v>Ranchi</v>
      </c>
      <c r="W884" s="3" t="s">
        <v>86</v>
      </c>
      <c r="X884" s="6" t="str">
        <f>PROPER(TRIM(SUBSTITUTE(W884,"  "," ")))</f>
        <v>Technology</v>
      </c>
      <c r="Y884" s="3" t="s">
        <v>223</v>
      </c>
      <c r="Z884" s="6" t="str">
        <f>PROPER(TRIM(SUBSTITUTE(Y884,"  "," ")))</f>
        <v>Phones</v>
      </c>
      <c r="AA884" s="3" t="s">
        <v>3116</v>
      </c>
      <c r="AB884" s="3" t="s">
        <v>48</v>
      </c>
      <c r="AC884" s="6" t="str">
        <f>PROPER(TRIM(SUBSTITUTE(AB884,"  "," ")))</f>
        <v>Same Day</v>
      </c>
      <c r="AD884" s="3">
        <v>4</v>
      </c>
      <c r="AE884" s="3">
        <v>4442.91</v>
      </c>
      <c r="AF884" s="3">
        <v>0.1</v>
      </c>
      <c r="AG884" s="17">
        <v>0.1</v>
      </c>
      <c r="AH884" s="6" t="str">
        <f t="shared" si="108"/>
        <v>Valid</v>
      </c>
      <c r="AI884" s="3">
        <v>15994.48</v>
      </c>
      <c r="AJ884" s="3">
        <v>9224.2800000000007</v>
      </c>
      <c r="AK884" s="3">
        <v>6770.2</v>
      </c>
      <c r="AL884" s="3" t="s">
        <v>34</v>
      </c>
      <c r="AM884" s="6" t="str">
        <f>PROPER(TRIM(SUBSTITUTE(AL884,".","")))</f>
        <v>Paid</v>
      </c>
      <c r="AN884" s="3" t="s">
        <v>35</v>
      </c>
      <c r="AO884" s="8" t="str">
        <f>PROPER(TRIM(SUBSTITUTE(AN884,".","")))</f>
        <v>Completed</v>
      </c>
      <c r="AP884" t="str">
        <f>IF(COUNTIF($A$2:$A$933, A884) &gt; 1, "Duplicate ID", "Unique")</f>
        <v>Unique</v>
      </c>
      <c r="AR884">
        <f t="shared" si="109"/>
        <v>15994.476000000001</v>
      </c>
      <c r="AS884">
        <f t="shared" si="110"/>
        <v>6770.1959999999999</v>
      </c>
      <c r="AT884" s="15">
        <f t="shared" si="111"/>
        <v>0.42328338858991066</v>
      </c>
      <c r="AU884" t="str">
        <f t="shared" si="112"/>
        <v>Clean</v>
      </c>
      <c r="AV884" s="8" t="str">
        <f t="shared" si="113"/>
        <v>Active</v>
      </c>
    </row>
    <row r="885" spans="1:48">
      <c r="A885" s="3" t="s">
        <v>3148</v>
      </c>
      <c r="B885" s="3" t="s">
        <v>3149</v>
      </c>
      <c r="C885" s="10">
        <f>IFERROR(DATEVALUE(MID(B885,4,2) &amp; "/" &amp; LEFT(B885,2) &amp; "/" &amp; RIGHT(B885,4)), IF(ISNUMBER(B885), B885, IFERROR(DATEVALUE(B885), "")))</f>
        <v>45617</v>
      </c>
      <c r="D885" s="9" t="str">
        <f>IF(B885="","Missing", IF(AND(ISNUMBER(B885)=FALSE, C885=""),"Invalid - Could Not Parse", IF(AND(ISNUMBER(B885)=FALSE, C885&lt;&gt;""),"Text - Converted to Date", IF(ISNUMBER(B885),"Valid","Check"))))</f>
        <v>Text - Converted to Date</v>
      </c>
      <c r="E885" s="5">
        <f t="shared" si="106"/>
        <v>11</v>
      </c>
      <c r="F885" s="5">
        <f t="shared" si="107"/>
        <v>2024</v>
      </c>
      <c r="G885" s="3" t="s">
        <v>221</v>
      </c>
      <c r="H885" s="9">
        <f>IFERROR(DATEVALUE(TEXT(G885,"DD/MM/YYYY")), IF(ISNUMBER(G885), G885, ""))</f>
        <v>45619</v>
      </c>
      <c r="I885" s="9" t="str">
        <f>IF(G885="","Missing", IF(AND(ISNUMBER(G885)=FALSE, H885=""),"Invalid - Could Not Parse", IF(AND(ISNUMBER(G885)=FALSE, H885&lt;&gt;""),"Text - Converted to Date", IF(ISNUMBER(G885),"Valid","Check"))))</f>
        <v>Text - Converted to Date</v>
      </c>
      <c r="J885" s="9" t="str">
        <f>IF(OR(C885="", H885=""), "Cannot Check - Date Missing", IF(H885&lt;C885, "Invalid - Ship Before Order", "Valid"))</f>
        <v>Valid</v>
      </c>
      <c r="K885" s="5">
        <f>IF(OR(C885="", H885=""), "", IF(H885&lt;C885, "", H885-C885))</f>
        <v>2</v>
      </c>
      <c r="L885" s="3" t="s">
        <v>3150</v>
      </c>
      <c r="M885" s="3" t="s">
        <v>40</v>
      </c>
      <c r="N885" s="4" t="str">
        <f>TRIM(SUBSTITUTE(M885,"_"," "))</f>
        <v>Mira Das</v>
      </c>
      <c r="O885" s="3" t="s">
        <v>108</v>
      </c>
      <c r="P885" s="6" t="str">
        <f>PROPER(TRIM(SUBSTITUTE(O885,".","")))</f>
        <v>Corporate</v>
      </c>
      <c r="Q885" s="3" t="s">
        <v>73</v>
      </c>
      <c r="R885" s="7" t="str">
        <f>PROPER(TRIM(SUBSTITUTE(Q885,"  "," ")))</f>
        <v>West</v>
      </c>
      <c r="S885" s="3" t="s">
        <v>235</v>
      </c>
      <c r="T885" s="6" t="str">
        <f>PROPER(TRIM(SUBSTITUTE(S885,"  "," ")))</f>
        <v>Gujarat</v>
      </c>
      <c r="U885" s="3" t="s">
        <v>236</v>
      </c>
      <c r="V885" s="6" t="str">
        <f>PROPER(TRIM(SUBSTITUTE(U885,"  "," ")))</f>
        <v>Ahmedabad</v>
      </c>
      <c r="W885" s="3" t="s">
        <v>30</v>
      </c>
      <c r="X885" s="6" t="str">
        <f>PROPER(TRIM(SUBSTITUTE(W885,"  "," ")))</f>
        <v>Office Supplies</v>
      </c>
      <c r="Y885" s="3" t="s">
        <v>31</v>
      </c>
      <c r="Z885" s="6" t="str">
        <f>PROPER(TRIM(SUBSTITUTE(Y885,"  "," ")))</f>
        <v>Paper</v>
      </c>
      <c r="AA885" s="3" t="s">
        <v>3151</v>
      </c>
      <c r="AB885" s="3" t="s">
        <v>33</v>
      </c>
      <c r="AC885" s="6" t="str">
        <f>PROPER(TRIM(SUBSTITUTE(AB885,"  "," ")))</f>
        <v>Second Class</v>
      </c>
      <c r="AD885" s="3">
        <v>5</v>
      </c>
      <c r="AE885" s="3">
        <v>600.46</v>
      </c>
      <c r="AF885" s="3">
        <v>0.2</v>
      </c>
      <c r="AG885" s="17">
        <v>0.2</v>
      </c>
      <c r="AH885" s="6" t="str">
        <f t="shared" si="108"/>
        <v>Valid</v>
      </c>
      <c r="AI885" s="3">
        <v>2401.84</v>
      </c>
      <c r="AJ885" s="3">
        <v>1873.11</v>
      </c>
      <c r="AK885" s="3">
        <v>528.73</v>
      </c>
      <c r="AL885" s="3" t="s">
        <v>34</v>
      </c>
      <c r="AM885" s="6" t="str">
        <f>PROPER(TRIM(SUBSTITUTE(AL885,".","")))</f>
        <v>Paid</v>
      </c>
      <c r="AN885" s="3" t="s">
        <v>35</v>
      </c>
      <c r="AO885" s="8" t="str">
        <f>PROPER(TRIM(SUBSTITUTE(AN885,".","")))</f>
        <v>Completed</v>
      </c>
      <c r="AP885" t="str">
        <f>IF(COUNTIF($A$2:$A$933, A885) &gt; 1, "Duplicate ID", "Unique")</f>
        <v>Unique</v>
      </c>
      <c r="AR885">
        <f t="shared" si="109"/>
        <v>2401.84</v>
      </c>
      <c r="AS885">
        <f t="shared" si="110"/>
        <v>528.73000000000025</v>
      </c>
      <c r="AT885" s="15">
        <f t="shared" si="111"/>
        <v>0.22013539619624964</v>
      </c>
      <c r="AU885" t="str">
        <f t="shared" si="112"/>
        <v>Clean</v>
      </c>
      <c r="AV885" s="8" t="str">
        <f t="shared" si="113"/>
        <v>Active</v>
      </c>
    </row>
    <row r="886" spans="1:48">
      <c r="A886" s="3" t="s">
        <v>3313</v>
      </c>
      <c r="B886" s="3" t="s">
        <v>3314</v>
      </c>
      <c r="C886" s="10">
        <f>IFERROR(DATEVALUE(MID(B886,4,2) &amp; "/" &amp; LEFT(B886,2) &amp; "/" &amp; RIGHT(B886,4)), IF(ISNUMBER(B886), B886, IFERROR(DATEVALUE(B886), "")))</f>
        <v>45736</v>
      </c>
      <c r="D886" s="9" t="str">
        <f>IF(B886="","Missing", IF(AND(ISNUMBER(B886)=FALSE, C886=""),"Invalid - Could Not Parse", IF(AND(ISNUMBER(B886)=FALSE, C886&lt;&gt;""),"Text - Converted to Date", IF(ISNUMBER(B886),"Valid","Check"))))</f>
        <v>Text - Converted to Date</v>
      </c>
      <c r="E886" s="5">
        <f t="shared" si="106"/>
        <v>3</v>
      </c>
      <c r="F886" s="5">
        <f t="shared" si="107"/>
        <v>2025</v>
      </c>
      <c r="G886" s="3" t="s">
        <v>3315</v>
      </c>
      <c r="H886" s="9">
        <f>IFERROR(DATEVALUE(TEXT(G886,"DD/MM/YYYY")), IF(ISNUMBER(G886), G886, ""))</f>
        <v>45742</v>
      </c>
      <c r="I886" s="9" t="str">
        <f>IF(G886="","Missing", IF(AND(ISNUMBER(G886)=FALSE, H886=""),"Invalid - Could Not Parse", IF(AND(ISNUMBER(G886)=FALSE, H886&lt;&gt;""),"Text - Converted to Date", IF(ISNUMBER(G886),"Valid","Check"))))</f>
        <v>Text - Converted to Date</v>
      </c>
      <c r="J886" s="9" t="str">
        <f>IF(OR(C886="", H886=""), "Cannot Check - Date Missing", IF(H886&lt;C886, "Invalid - Ship Before Order", "Valid"))</f>
        <v>Valid</v>
      </c>
      <c r="K886" s="5">
        <f>IF(OR(C886="", H886=""), "", IF(H886&lt;C886, "", H886-C886))</f>
        <v>6</v>
      </c>
      <c r="L886" s="3" t="s">
        <v>3316</v>
      </c>
      <c r="M886" s="3" t="s">
        <v>168</v>
      </c>
      <c r="N886" s="4" t="str">
        <f>TRIM(SUBSTITUTE(M886,"_"," "))</f>
        <v>Sneha Kapoor</v>
      </c>
      <c r="O886" s="3" t="s">
        <v>26</v>
      </c>
      <c r="P886" s="6" t="str">
        <f>PROPER(TRIM(SUBSTITUTE(O886,".","")))</f>
        <v>Consumer</v>
      </c>
      <c r="Q886" s="3" t="s">
        <v>42</v>
      </c>
      <c r="R886" s="7" t="str">
        <f>PROPER(TRIM(SUBSTITUTE(Q886,"  "," ")))</f>
        <v>East</v>
      </c>
      <c r="S886" s="3" t="s">
        <v>216</v>
      </c>
      <c r="T886" s="6" t="str">
        <f>PROPER(TRIM(SUBSTITUTE(S886,"  "," ")))</f>
        <v>Assam</v>
      </c>
      <c r="U886" s="3" t="s">
        <v>217</v>
      </c>
      <c r="V886" s="6" t="str">
        <f>PROPER(TRIM(SUBSTITUTE(U886,"  "," ")))</f>
        <v>Guwahati</v>
      </c>
      <c r="W886" s="3" t="s">
        <v>45</v>
      </c>
      <c r="X886" s="6" t="str">
        <f>PROPER(TRIM(SUBSTITUTE(W886,"  "," ")))</f>
        <v>Furniture</v>
      </c>
      <c r="Y886" s="3" t="s">
        <v>204</v>
      </c>
      <c r="Z886" s="6" t="str">
        <f>PROPER(TRIM(SUBSTITUTE(Y886,"  "," ")))</f>
        <v>Bookcases</v>
      </c>
      <c r="AA886" s="3" t="s">
        <v>3317</v>
      </c>
      <c r="AB886" s="3" t="s">
        <v>56</v>
      </c>
      <c r="AC886" s="6" t="str">
        <f>PROPER(TRIM(SUBSTITUTE(AB886,"  "," ")))</f>
        <v>First Class</v>
      </c>
      <c r="AD886" s="3">
        <v>4</v>
      </c>
      <c r="AE886" s="3">
        <v>4357.66</v>
      </c>
      <c r="AF886" s="3">
        <v>0.05</v>
      </c>
      <c r="AG886" s="17">
        <v>0.05</v>
      </c>
      <c r="AH886" s="6" t="str">
        <f t="shared" si="108"/>
        <v>Valid</v>
      </c>
      <c r="AI886" s="3">
        <v>16559.11</v>
      </c>
      <c r="AJ886" s="3">
        <v>13233.79</v>
      </c>
      <c r="AK886" s="3">
        <v>3325.32</v>
      </c>
      <c r="AL886" s="3" t="s">
        <v>34</v>
      </c>
      <c r="AM886" s="6" t="str">
        <f>PROPER(TRIM(SUBSTITUTE(AL886,".","")))</f>
        <v>Paid</v>
      </c>
      <c r="AN886" s="3" t="s">
        <v>35</v>
      </c>
      <c r="AO886" s="8" t="str">
        <f>PROPER(TRIM(SUBSTITUTE(AN886,".","")))</f>
        <v>Completed</v>
      </c>
      <c r="AP886" t="str">
        <f>IF(COUNTIF($A$2:$A$933, A886) &gt; 1, "Duplicate ID", "Unique")</f>
        <v>Unique</v>
      </c>
      <c r="AR886">
        <f t="shared" si="109"/>
        <v>16559.108</v>
      </c>
      <c r="AS886">
        <f t="shared" si="110"/>
        <v>3325.3179999999993</v>
      </c>
      <c r="AT886" s="15">
        <f t="shared" si="111"/>
        <v>0.20081504390212318</v>
      </c>
      <c r="AU886" t="str">
        <f t="shared" si="112"/>
        <v>Clean</v>
      </c>
      <c r="AV886" s="8" t="str">
        <f t="shared" si="113"/>
        <v>Active</v>
      </c>
    </row>
    <row r="887" spans="1:48">
      <c r="A887" s="3" t="s">
        <v>3398</v>
      </c>
      <c r="B887" s="3" t="s">
        <v>3399</v>
      </c>
      <c r="C887" s="10">
        <f>IFERROR(DATEVALUE(MID(B887,4,2) &amp; "/" &amp; LEFT(B887,2) &amp; "/" &amp; RIGHT(B887,4)), IF(ISNUMBER(B887), B887, IFERROR(DATEVALUE(B887), "")))</f>
        <v>45827</v>
      </c>
      <c r="D887" s="9" t="str">
        <f>IF(B887="","Missing", IF(AND(ISNUMBER(B887)=FALSE, C887=""),"Invalid - Could Not Parse", IF(AND(ISNUMBER(B887)=FALSE, C887&lt;&gt;""),"Text - Converted to Date", IF(ISNUMBER(B887),"Valid","Check"))))</f>
        <v>Text - Converted to Date</v>
      </c>
      <c r="E887" s="5">
        <f t="shared" si="106"/>
        <v>6</v>
      </c>
      <c r="F887" s="5">
        <f t="shared" si="107"/>
        <v>2025</v>
      </c>
      <c r="G887" s="3" t="s">
        <v>3310</v>
      </c>
      <c r="H887" s="9">
        <f>IFERROR(DATEVALUE(TEXT(G887,"DD/MM/YYYY")), IF(ISNUMBER(G887), G887, ""))</f>
        <v>45832</v>
      </c>
      <c r="I887" s="9" t="str">
        <f>IF(G887="","Missing", IF(AND(ISNUMBER(G887)=FALSE, H887=""),"Invalid - Could Not Parse", IF(AND(ISNUMBER(G887)=FALSE, H887&lt;&gt;""),"Text - Converted to Date", IF(ISNUMBER(G887),"Valid","Check"))))</f>
        <v>Text - Converted to Date</v>
      </c>
      <c r="J887" s="9" t="str">
        <f>IF(OR(C887="", H887=""), "Cannot Check - Date Missing", IF(H887&lt;C887, "Invalid - Ship Before Order", "Valid"))</f>
        <v>Valid</v>
      </c>
      <c r="K887" s="5">
        <f>IF(OR(C887="", H887=""), "", IF(H887&lt;C887, "", H887-C887))</f>
        <v>5</v>
      </c>
      <c r="L887" s="3" t="s">
        <v>3400</v>
      </c>
      <c r="M887" s="3" t="s">
        <v>61</v>
      </c>
      <c r="N887" s="4" t="str">
        <f>TRIM(SUBSTITUTE(M887,"_"," "))</f>
        <v>Arjun Bose</v>
      </c>
      <c r="O887" s="3" t="s">
        <v>26</v>
      </c>
      <c r="P887" s="6" t="str">
        <f>PROPER(TRIM(SUBSTITUTE(O887,".","")))</f>
        <v>Consumer</v>
      </c>
      <c r="Q887" s="3" t="s">
        <v>42</v>
      </c>
      <c r="R887" s="7" t="str">
        <f>PROPER(TRIM(SUBSTITUTE(Q887,"  "," ")))</f>
        <v>East</v>
      </c>
      <c r="S887" s="3" t="s">
        <v>121</v>
      </c>
      <c r="T887" s="6" t="str">
        <f>PROPER(TRIM(SUBSTITUTE(S887,"  "," ")))</f>
        <v>West Bengal</v>
      </c>
      <c r="U887" s="3" t="s">
        <v>122</v>
      </c>
      <c r="V887" s="6" t="str">
        <f>PROPER(TRIM(SUBSTITUTE(U887,"  "," ")))</f>
        <v>Kolkata</v>
      </c>
      <c r="W887" s="3" t="s">
        <v>30</v>
      </c>
      <c r="X887" s="6" t="str">
        <f>PROPER(TRIM(SUBSTITUTE(W887,"  "," ")))</f>
        <v>Office Supplies</v>
      </c>
      <c r="Y887" s="3" t="s">
        <v>54</v>
      </c>
      <c r="Z887" s="6" t="str">
        <f>PROPER(TRIM(SUBSTITUTE(Y887,"  "," ")))</f>
        <v>Art</v>
      </c>
      <c r="AA887" s="3" t="s">
        <v>3401</v>
      </c>
      <c r="AB887" s="3" t="s">
        <v>33</v>
      </c>
      <c r="AC887" s="6" t="str">
        <f>PROPER(TRIM(SUBSTITUTE(AB887,"  "," ")))</f>
        <v>Second Class</v>
      </c>
      <c r="AD887" s="3">
        <v>4</v>
      </c>
      <c r="AE887" s="3">
        <v>782.01</v>
      </c>
      <c r="AF887" s="3">
        <v>0.15</v>
      </c>
      <c r="AG887" s="17">
        <v>0.15</v>
      </c>
      <c r="AH887" s="6" t="str">
        <f t="shared" si="108"/>
        <v>Valid</v>
      </c>
      <c r="AI887" s="3">
        <v>2658.83</v>
      </c>
      <c r="AJ887" s="3">
        <v>2226.9699999999998</v>
      </c>
      <c r="AK887" s="3">
        <v>431.86</v>
      </c>
      <c r="AL887" s="3" t="s">
        <v>124</v>
      </c>
      <c r="AM887" s="6" t="str">
        <f>PROPER(TRIM(SUBSTITUTE(AL887,".","")))</f>
        <v>Refunded</v>
      </c>
      <c r="AN887" s="3" t="s">
        <v>125</v>
      </c>
      <c r="AO887" s="8" t="str">
        <f>PROPER(TRIM(SUBSTITUTE(AN887,".","")))</f>
        <v>Returned</v>
      </c>
      <c r="AP887" t="str">
        <f>IF(COUNTIF($A$2:$A$933, A887) &gt; 1, "Duplicate ID", "Unique")</f>
        <v>Unique</v>
      </c>
      <c r="AR887">
        <f t="shared" si="109"/>
        <v>2658.8339999999998</v>
      </c>
      <c r="AS887">
        <f t="shared" si="110"/>
        <v>431.86400000000003</v>
      </c>
      <c r="AT887" s="15">
        <f t="shared" si="111"/>
        <v>0.16242608602116568</v>
      </c>
      <c r="AU887" t="str">
        <f t="shared" si="112"/>
        <v>Clean</v>
      </c>
      <c r="AV887" s="8" t="str">
        <f t="shared" si="113"/>
        <v>Refund</v>
      </c>
    </row>
    <row r="888" spans="1:48">
      <c r="A888" s="3" t="s">
        <v>3442</v>
      </c>
      <c r="B888" s="3" t="s">
        <v>3443</v>
      </c>
      <c r="C888" s="10">
        <f>IFERROR(DATEVALUE(MID(B888,4,2) &amp; "/" &amp; LEFT(B888,2) &amp; "/" &amp; RIGHT(B888,4)), IF(ISNUMBER(B888), B888, IFERROR(DATEVALUE(B888), "")))</f>
        <v>45770</v>
      </c>
      <c r="D888" s="9" t="str">
        <f>IF(B888="","Missing", IF(AND(ISNUMBER(B888)=FALSE, C888=""),"Invalid - Could Not Parse", IF(AND(ISNUMBER(B888)=FALSE, C888&lt;&gt;""),"Text - Converted to Date", IF(ISNUMBER(B888),"Valid","Check"))))</f>
        <v>Text - Converted to Date</v>
      </c>
      <c r="E888" s="5">
        <f t="shared" si="106"/>
        <v>4</v>
      </c>
      <c r="F888" s="5">
        <f t="shared" si="107"/>
        <v>2025</v>
      </c>
      <c r="G888" s="3" t="s">
        <v>3444</v>
      </c>
      <c r="H888" s="9">
        <f>IFERROR(DATEVALUE(TEXT(G888,"DD/MM/YYYY")), IF(ISNUMBER(G888), G888, ""))</f>
        <v>45772</v>
      </c>
      <c r="I888" s="9" t="str">
        <f>IF(G888="","Missing", IF(AND(ISNUMBER(G888)=FALSE, H888=""),"Invalid - Could Not Parse", IF(AND(ISNUMBER(G888)=FALSE, H888&lt;&gt;""),"Text - Converted to Date", IF(ISNUMBER(G888),"Valid","Check"))))</f>
        <v>Text - Converted to Date</v>
      </c>
      <c r="J888" s="9" t="str">
        <f>IF(OR(C888="", H888=""), "Cannot Check - Date Missing", IF(H888&lt;C888, "Invalid - Ship Before Order", "Valid"))</f>
        <v>Valid</v>
      </c>
      <c r="K888" s="5">
        <f>IF(OR(C888="", H888=""), "", IF(H888&lt;C888, "", H888-C888))</f>
        <v>2</v>
      </c>
      <c r="L888" s="3" t="s">
        <v>3445</v>
      </c>
      <c r="M888" s="3" t="s">
        <v>53</v>
      </c>
      <c r="N888" s="4" t="str">
        <f>TRIM(SUBSTITUTE(M888,"_"," "))</f>
        <v>Isha Nair</v>
      </c>
      <c r="O888" s="3" t="s">
        <v>115</v>
      </c>
      <c r="P888" s="6" t="str">
        <f>PROPER(TRIM(SUBSTITUTE(O888,".","")))</f>
        <v>Home Office</v>
      </c>
      <c r="Q888" s="3" t="s">
        <v>62</v>
      </c>
      <c r="R888" s="7" t="str">
        <f>PROPER(TRIM(SUBSTITUTE(Q888,"  "," ")))</f>
        <v>South</v>
      </c>
      <c r="S888" s="3" t="s">
        <v>339</v>
      </c>
      <c r="T888" s="6" t="str">
        <f>PROPER(TRIM(SUBSTITUTE(S888,"  "," ")))</f>
        <v>Tamil Nadu</v>
      </c>
      <c r="U888" s="3" t="s">
        <v>340</v>
      </c>
      <c r="V888" s="6" t="str">
        <f>PROPER(TRIM(SUBSTITUTE(U888,"  "," ")))</f>
        <v>Chennai</v>
      </c>
      <c r="W888" s="3" t="s">
        <v>45</v>
      </c>
      <c r="X888" s="6" t="str">
        <f>PROPER(TRIM(SUBSTITUTE(W888,"  "," ")))</f>
        <v>Furniture</v>
      </c>
      <c r="Y888" s="3" t="s">
        <v>76</v>
      </c>
      <c r="Z888" s="6" t="str">
        <f>PROPER(TRIM(SUBSTITUTE(Y888,"  "," ")))</f>
        <v>Chairs</v>
      </c>
      <c r="AA888" s="3" t="s">
        <v>3446</v>
      </c>
      <c r="AB888" s="3" t="s">
        <v>33</v>
      </c>
      <c r="AC888" s="6" t="str">
        <f>PROPER(TRIM(SUBSTITUTE(AB888,"  "," ")))</f>
        <v>Second Class</v>
      </c>
      <c r="AD888" s="3">
        <v>3</v>
      </c>
      <c r="AE888" s="3">
        <v>2951.12</v>
      </c>
      <c r="AF888" s="3"/>
      <c r="AG888" s="18">
        <f>IF(ISBLANK(AF888), 0, AF888)</f>
        <v>0</v>
      </c>
      <c r="AH888" s="6" t="str">
        <f t="shared" si="108"/>
        <v>Missing</v>
      </c>
      <c r="AI888" s="3">
        <v>7082.69</v>
      </c>
      <c r="AJ888" s="3">
        <v>5596.34</v>
      </c>
      <c r="AK888" s="3">
        <v>1486.35</v>
      </c>
      <c r="AL888" s="3" t="s">
        <v>34</v>
      </c>
      <c r="AM888" s="6" t="str">
        <f>PROPER(TRIM(SUBSTITUTE(AL888,".","")))</f>
        <v>Paid</v>
      </c>
      <c r="AN888" s="3" t="s">
        <v>78</v>
      </c>
      <c r="AO888" s="8" t="str">
        <f>PROPER(TRIM(SUBSTITUTE(AN888,".","")))</f>
        <v>Cancelled</v>
      </c>
      <c r="AP888" t="str">
        <f>IF(COUNTIF($A$2:$A$933, A888) &gt; 1, "Duplicate ID", "Unique")</f>
        <v>Unique</v>
      </c>
      <c r="AR888">
        <f t="shared" si="109"/>
        <v>8853.36</v>
      </c>
      <c r="AS888">
        <f t="shared" si="110"/>
        <v>3257.0200000000004</v>
      </c>
      <c r="AT888" s="15">
        <f t="shared" si="111"/>
        <v>0.36788518709280998</v>
      </c>
      <c r="AU888" t="str">
        <f t="shared" si="112"/>
        <v>Warning</v>
      </c>
      <c r="AV888" s="8" t="str">
        <f t="shared" si="113"/>
        <v>Cancelled</v>
      </c>
    </row>
    <row r="889" spans="1:48">
      <c r="A889" s="3" t="s">
        <v>3447</v>
      </c>
      <c r="B889" s="3" t="s">
        <v>3448</v>
      </c>
      <c r="C889" s="10">
        <f>IFERROR(DATEVALUE(MID(B889,4,2) &amp; "/" &amp; LEFT(B889,2) &amp; "/" &amp; RIGHT(B889,4)), IF(ISNUMBER(B889), B889, IFERROR(DATEVALUE(B889), "")))</f>
        <v>45580</v>
      </c>
      <c r="D889" s="9" t="str">
        <f>IF(B889="","Missing", IF(AND(ISNUMBER(B889)=FALSE, C889=""),"Invalid - Could Not Parse", IF(AND(ISNUMBER(B889)=FALSE, C889&lt;&gt;""),"Text - Converted to Date", IF(ISNUMBER(B889),"Valid","Check"))))</f>
        <v>Text - Converted to Date</v>
      </c>
      <c r="E889" s="5">
        <f t="shared" si="106"/>
        <v>10</v>
      </c>
      <c r="F889" s="5">
        <f t="shared" si="107"/>
        <v>2024</v>
      </c>
      <c r="G889" s="3" t="s">
        <v>3449</v>
      </c>
      <c r="H889" s="9">
        <f>IFERROR(DATEVALUE(TEXT(G889,"DD/MM/YYYY")), IF(ISNUMBER(G889), G889, ""))</f>
        <v>45587</v>
      </c>
      <c r="I889" s="9" t="str">
        <f>IF(G889="","Missing", IF(AND(ISNUMBER(G889)=FALSE, H889=""),"Invalid - Could Not Parse", IF(AND(ISNUMBER(G889)=FALSE, H889&lt;&gt;""),"Text - Converted to Date", IF(ISNUMBER(G889),"Valid","Check"))))</f>
        <v>Text - Converted to Date</v>
      </c>
      <c r="J889" s="9" t="str">
        <f>IF(OR(C889="", H889=""), "Cannot Check - Date Missing", IF(H889&lt;C889, "Invalid - Ship Before Order", "Valid"))</f>
        <v>Valid</v>
      </c>
      <c r="K889" s="5">
        <f>IF(OR(C889="", H889=""), "", IF(H889&lt;C889, "", H889-C889))</f>
        <v>7</v>
      </c>
      <c r="L889" s="3" t="s">
        <v>3450</v>
      </c>
      <c r="M889" s="3" t="s">
        <v>25</v>
      </c>
      <c r="N889" s="4" t="str">
        <f>TRIM(SUBSTITUTE(M889,"_"," "))</f>
        <v>Karan Malhotra</v>
      </c>
      <c r="O889" s="3" t="s">
        <v>108</v>
      </c>
      <c r="P889" s="6" t="str">
        <f>PROPER(TRIM(SUBSTITUTE(O889,".","")))</f>
        <v>Corporate</v>
      </c>
      <c r="Q889" s="3" t="s">
        <v>3451</v>
      </c>
      <c r="R889" s="7" t="str">
        <f>PROPER(TRIM(SUBSTITUTE(Q889,"  "," ")))</f>
        <v>East</v>
      </c>
      <c r="S889" s="3" t="s">
        <v>43</v>
      </c>
      <c r="T889" s="6" t="str">
        <f>PROPER(TRIM(SUBSTITUTE(S889,"  "," ")))</f>
        <v>Odisha</v>
      </c>
      <c r="U889" s="3" t="s">
        <v>44</v>
      </c>
      <c r="V889" s="6" t="str">
        <f>PROPER(TRIM(SUBSTITUTE(U889,"  "," ")))</f>
        <v>Bhubaneswar</v>
      </c>
      <c r="W889" s="3" t="s">
        <v>30</v>
      </c>
      <c r="X889" s="6" t="str">
        <f>PROPER(TRIM(SUBSTITUTE(W889,"  "," ")))</f>
        <v>Office Supplies</v>
      </c>
      <c r="Y889" s="3" t="s">
        <v>31</v>
      </c>
      <c r="Z889" s="6" t="str">
        <f>PROPER(TRIM(SUBSTITUTE(Y889,"  "," ")))</f>
        <v>Paper</v>
      </c>
      <c r="AA889" s="3" t="s">
        <v>3452</v>
      </c>
      <c r="AB889" s="3" t="s">
        <v>67</v>
      </c>
      <c r="AC889" s="6" t="str">
        <f>PROPER(TRIM(SUBSTITUTE(AB889,"  "," ")))</f>
        <v>Standard Class</v>
      </c>
      <c r="AD889" s="3">
        <v>4</v>
      </c>
      <c r="AE889" s="3">
        <v>2260.9499999999998</v>
      </c>
      <c r="AF889" s="3">
        <v>0</v>
      </c>
      <c r="AG889" s="17">
        <v>0</v>
      </c>
      <c r="AH889" s="6" t="str">
        <f t="shared" si="108"/>
        <v>Valid</v>
      </c>
      <c r="AI889" s="3">
        <v>9043.7999999999993</v>
      </c>
      <c r="AJ889" s="3">
        <v>5913.38</v>
      </c>
      <c r="AK889" s="3">
        <v>3130.42</v>
      </c>
      <c r="AL889" s="3" t="s">
        <v>34</v>
      </c>
      <c r="AM889" s="6" t="str">
        <f>PROPER(TRIM(SUBSTITUTE(AL889,".","")))</f>
        <v>Paid</v>
      </c>
      <c r="AN889" s="3" t="s">
        <v>35</v>
      </c>
      <c r="AO889" s="8" t="str">
        <f>PROPER(TRIM(SUBSTITUTE(AN889,".","")))</f>
        <v>Completed</v>
      </c>
      <c r="AP889" t="str">
        <f>IF(COUNTIF($A$2:$A$933, A889) &gt; 1, "Duplicate ID", "Unique")</f>
        <v>Unique</v>
      </c>
      <c r="AR889">
        <f t="shared" si="109"/>
        <v>9043.7999999999993</v>
      </c>
      <c r="AS889">
        <f t="shared" si="110"/>
        <v>3130.4199999999992</v>
      </c>
      <c r="AT889" s="15">
        <f t="shared" si="111"/>
        <v>0.34613989694597397</v>
      </c>
      <c r="AU889" t="str">
        <f t="shared" si="112"/>
        <v>Clean</v>
      </c>
      <c r="AV889" s="8" t="str">
        <f t="shared" si="113"/>
        <v>Active</v>
      </c>
    </row>
    <row r="890" spans="1:48">
      <c r="A890" s="3" t="s">
        <v>3504</v>
      </c>
      <c r="B890" s="3" t="s">
        <v>3505</v>
      </c>
      <c r="C890" s="10">
        <f>IFERROR(DATEVALUE(MID(B890,4,2) &amp; "/" &amp; LEFT(B890,2) &amp; "/" &amp; RIGHT(B890,4)), IF(ISNUMBER(B890), B890, IFERROR(DATEVALUE(B890), "")))</f>
        <v>45592</v>
      </c>
      <c r="D890" s="9" t="str">
        <f>IF(B890="","Missing", IF(AND(ISNUMBER(B890)=FALSE, C890=""),"Invalid - Could Not Parse", IF(AND(ISNUMBER(B890)=FALSE, C890&lt;&gt;""),"Text - Converted to Date", IF(ISNUMBER(B890),"Valid","Check"))))</f>
        <v>Text - Converted to Date</v>
      </c>
      <c r="E890" s="5">
        <f t="shared" si="106"/>
        <v>10</v>
      </c>
      <c r="F890" s="5">
        <f t="shared" si="107"/>
        <v>2024</v>
      </c>
      <c r="G890" s="3" t="s">
        <v>3506</v>
      </c>
      <c r="H890" s="9">
        <f>IFERROR(DATEVALUE(TEXT(G890,"DD/MM/YYYY")), IF(ISNUMBER(G890), G890, ""))</f>
        <v>45302</v>
      </c>
      <c r="I890" s="9" t="str">
        <f>IF(G890="","Missing", IF(AND(ISNUMBER(G890)=FALSE, H890=""),"Invalid - Could Not Parse", IF(AND(ISNUMBER(G890)=FALSE, H890&lt;&gt;""),"Text - Converted to Date", IF(ISNUMBER(G890),"Valid","Check"))))</f>
        <v>Text - Converted to Date</v>
      </c>
      <c r="J890" s="9" t="str">
        <f>IF(OR(C890="", H890=""), "Cannot Check - Date Missing", IF(H890&lt;C890, "Invalid - Ship Before Order", "Valid"))</f>
        <v>Invalid - Ship Before Order</v>
      </c>
      <c r="K890" s="5" t="str">
        <f>IF(OR(C890="", H890=""), "", IF(H890&lt;C890, "", H890-C890))</f>
        <v/>
      </c>
      <c r="L890" s="3" t="s">
        <v>3507</v>
      </c>
      <c r="M890" s="3" t="s">
        <v>180</v>
      </c>
      <c r="N890" s="4" t="str">
        <f>TRIM(SUBSTITUTE(M890,"_"," "))</f>
        <v>Rohan Mehta</v>
      </c>
      <c r="O890" s="3" t="s">
        <v>26</v>
      </c>
      <c r="P890" s="6" t="str">
        <f>PROPER(TRIM(SUBSTITUTE(O890,".","")))</f>
        <v>Consumer</v>
      </c>
      <c r="Q890" s="3" t="s">
        <v>27</v>
      </c>
      <c r="R890" s="7" t="str">
        <f>PROPER(TRIM(SUBSTITUTE(Q890,"  "," ")))</f>
        <v>North</v>
      </c>
      <c r="S890" s="3" t="s">
        <v>28</v>
      </c>
      <c r="T890" s="6" t="str">
        <f>PROPER(TRIM(SUBSTITUTE(S890,"  "," ")))</f>
        <v>Rajasthan</v>
      </c>
      <c r="U890" s="3" t="s">
        <v>29</v>
      </c>
      <c r="V890" s="6" t="str">
        <f>PROPER(TRIM(SUBSTITUTE(U890,"  "," ")))</f>
        <v>Jaipur</v>
      </c>
      <c r="W890" s="3" t="s">
        <v>86</v>
      </c>
      <c r="X890" s="6" t="str">
        <f>PROPER(TRIM(SUBSTITUTE(W890,"  "," ")))</f>
        <v>Technology</v>
      </c>
      <c r="Y890" s="3" t="s">
        <v>87</v>
      </c>
      <c r="Z890" s="6" t="str">
        <f>PROPER(TRIM(SUBSTITUTE(Y890,"  "," ")))</f>
        <v>Accessories</v>
      </c>
      <c r="AA890" s="3" t="s">
        <v>3508</v>
      </c>
      <c r="AB890" s="3" t="s">
        <v>48</v>
      </c>
      <c r="AC890" s="6" t="str">
        <f>PROPER(TRIM(SUBSTITUTE(AB890,"  "," ")))</f>
        <v>Same Day</v>
      </c>
      <c r="AD890" s="3">
        <v>7</v>
      </c>
      <c r="AE890" s="3">
        <v>2177.1</v>
      </c>
      <c r="AF890" s="3">
        <v>0.2</v>
      </c>
      <c r="AG890" s="17">
        <v>0.2</v>
      </c>
      <c r="AH890" s="6" t="str">
        <f t="shared" si="108"/>
        <v>Valid</v>
      </c>
      <c r="AI890" s="3">
        <v>12191.76</v>
      </c>
      <c r="AJ890" s="3">
        <v>10457.49</v>
      </c>
      <c r="AK890" s="3">
        <v>1734.27</v>
      </c>
      <c r="AL890" s="3" t="s">
        <v>34</v>
      </c>
      <c r="AM890" s="6" t="str">
        <f>PROPER(TRIM(SUBSTITUTE(AL890,".","")))</f>
        <v>Paid</v>
      </c>
      <c r="AN890" s="3" t="s">
        <v>125</v>
      </c>
      <c r="AO890" s="8" t="str">
        <f>PROPER(TRIM(SUBSTITUTE(AN890,".","")))</f>
        <v>Returned</v>
      </c>
      <c r="AP890" t="str">
        <f>IF(COUNTIF($A$2:$A$933, A890) &gt; 1, "Duplicate ID", "Unique")</f>
        <v>Unique</v>
      </c>
      <c r="AR890">
        <f t="shared" si="109"/>
        <v>12191.76</v>
      </c>
      <c r="AS890">
        <f t="shared" si="110"/>
        <v>1734.2700000000004</v>
      </c>
      <c r="AT890" s="15">
        <f t="shared" si="111"/>
        <v>0.14224935530226976</v>
      </c>
      <c r="AU890" t="str">
        <f t="shared" si="112"/>
        <v>Invalid</v>
      </c>
      <c r="AV890" s="8" t="str">
        <f t="shared" si="113"/>
        <v>Active</v>
      </c>
    </row>
    <row r="891" spans="1:48">
      <c r="A891" s="3" t="s">
        <v>3563</v>
      </c>
      <c r="B891" s="3" t="s">
        <v>2307</v>
      </c>
      <c r="C891" s="10">
        <f>IFERROR(DATEVALUE(MID(B891,4,2) &amp; "/" &amp; LEFT(B891,2) &amp; "/" &amp; RIGHT(B891,4)), IF(ISNUMBER(B891), B891, IFERROR(DATEVALUE(B891), "")))</f>
        <v>45337</v>
      </c>
      <c r="D891" s="9" t="str">
        <f>IF(B891="","Missing", IF(AND(ISNUMBER(B891)=FALSE, C891=""),"Invalid - Could Not Parse", IF(AND(ISNUMBER(B891)=FALSE, C891&lt;&gt;""),"Text - Converted to Date", IF(ISNUMBER(B891),"Valid","Check"))))</f>
        <v>Text - Converted to Date</v>
      </c>
      <c r="E891" s="5">
        <f t="shared" si="106"/>
        <v>2</v>
      </c>
      <c r="F891" s="5">
        <f t="shared" si="107"/>
        <v>2024</v>
      </c>
      <c r="G891" s="3" t="s">
        <v>2762</v>
      </c>
      <c r="H891" s="9">
        <f>IFERROR(DATEVALUE(TEXT(G891,"DD/MM/YYYY")), IF(ISNUMBER(G891), G891, ""))</f>
        <v>45339</v>
      </c>
      <c r="I891" s="9" t="str">
        <f>IF(G891="","Missing", IF(AND(ISNUMBER(G891)=FALSE, H891=""),"Invalid - Could Not Parse", IF(AND(ISNUMBER(G891)=FALSE, H891&lt;&gt;""),"Text - Converted to Date", IF(ISNUMBER(G891),"Valid","Check"))))</f>
        <v>Text - Converted to Date</v>
      </c>
      <c r="J891" s="9" t="str">
        <f>IF(OR(C891="", H891=""), "Cannot Check - Date Missing", IF(H891&lt;C891, "Invalid - Ship Before Order", "Valid"))</f>
        <v>Valid</v>
      </c>
      <c r="K891" s="5">
        <f>IF(OR(C891="", H891=""), "", IF(H891&lt;C891, "", H891-C891))</f>
        <v>2</v>
      </c>
      <c r="L891" s="3" t="s">
        <v>3564</v>
      </c>
      <c r="M891" s="3" t="s">
        <v>93</v>
      </c>
      <c r="N891" s="4" t="str">
        <f>TRIM(SUBSTITUTE(M891,"_"," "))</f>
        <v>Neha Gupta</v>
      </c>
      <c r="O891" s="3" t="s">
        <v>26</v>
      </c>
      <c r="P891" s="6" t="str">
        <f>PROPER(TRIM(SUBSTITUTE(O891,".","")))</f>
        <v>Consumer</v>
      </c>
      <c r="Q891" s="3" t="s">
        <v>27</v>
      </c>
      <c r="R891" s="7" t="str">
        <f>PROPER(TRIM(SUBSTITUTE(Q891,"  "," ")))</f>
        <v>North</v>
      </c>
      <c r="S891" s="3" t="s">
        <v>174</v>
      </c>
      <c r="T891" s="6" t="str">
        <f>PROPER(TRIM(SUBSTITUTE(S891,"  "," ")))</f>
        <v>Uttar Pradesh</v>
      </c>
      <c r="U891" s="3" t="s">
        <v>175</v>
      </c>
      <c r="V891" s="6" t="str">
        <f>PROPER(TRIM(SUBSTITUTE(U891,"  "," ")))</f>
        <v>Noida</v>
      </c>
      <c r="W891" s="3" t="s">
        <v>86</v>
      </c>
      <c r="X891" s="6" t="str">
        <f>PROPER(TRIM(SUBSTITUTE(W891,"  "," ")))</f>
        <v>Technology</v>
      </c>
      <c r="Y891" s="3" t="s">
        <v>94</v>
      </c>
      <c r="Z891" s="6" t="str">
        <f>PROPER(TRIM(SUBSTITUTE(Y891,"  "," ")))</f>
        <v>Copiers</v>
      </c>
      <c r="AA891" s="3" t="s">
        <v>3565</v>
      </c>
      <c r="AB891" s="3" t="s">
        <v>56</v>
      </c>
      <c r="AC891" s="6" t="str">
        <f>PROPER(TRIM(SUBSTITUTE(AB891,"  "," ")))</f>
        <v>First Class</v>
      </c>
      <c r="AD891" s="3">
        <v>4</v>
      </c>
      <c r="AE891" s="3">
        <v>863</v>
      </c>
      <c r="AF891" s="3"/>
      <c r="AG891" s="18">
        <f>IF(ISBLANK(AF891), 0, AF891)</f>
        <v>0</v>
      </c>
      <c r="AH891" s="6" t="str">
        <f t="shared" si="108"/>
        <v>Missing</v>
      </c>
      <c r="AI891" s="3">
        <v>3106.8</v>
      </c>
      <c r="AJ891" s="3">
        <v>2376.62</v>
      </c>
      <c r="AK891" s="3">
        <v>730.18</v>
      </c>
      <c r="AL891" s="3" t="s">
        <v>34</v>
      </c>
      <c r="AM891" s="6" t="str">
        <f>PROPER(TRIM(SUBSTITUTE(AL891,".","")))</f>
        <v>Paid</v>
      </c>
      <c r="AN891" s="3" t="s">
        <v>35</v>
      </c>
      <c r="AO891" s="8" t="str">
        <f>PROPER(TRIM(SUBSTITUTE(AN891,".","")))</f>
        <v>Completed</v>
      </c>
      <c r="AP891" t="str">
        <f>IF(COUNTIF($A$2:$A$933, A891) &gt; 1, "Duplicate ID", "Unique")</f>
        <v>Unique</v>
      </c>
      <c r="AR891">
        <f t="shared" si="109"/>
        <v>3452</v>
      </c>
      <c r="AS891">
        <f t="shared" si="110"/>
        <v>1075.3800000000001</v>
      </c>
      <c r="AT891" s="15">
        <f t="shared" si="111"/>
        <v>0.3115237543453071</v>
      </c>
      <c r="AU891" t="str">
        <f t="shared" si="112"/>
        <v>Warning</v>
      </c>
      <c r="AV891" s="8" t="str">
        <f t="shared" si="113"/>
        <v>Active</v>
      </c>
    </row>
    <row r="892" spans="1:48">
      <c r="A892" s="3" t="s">
        <v>3569</v>
      </c>
      <c r="B892" s="3" t="s">
        <v>171</v>
      </c>
      <c r="C892" s="10">
        <f>IFERROR(DATEVALUE(MID(B892,4,2) &amp; "/" &amp; LEFT(B892,2) &amp; "/" &amp; RIGHT(B892,4)), IF(ISNUMBER(B892), B892, IFERROR(DATEVALUE(B892), "")))</f>
        <v>45853</v>
      </c>
      <c r="D892" s="9" t="str">
        <f>IF(B892="","Missing", IF(AND(ISNUMBER(B892)=FALSE, C892=""),"Invalid - Could Not Parse", IF(AND(ISNUMBER(B892)=FALSE, C892&lt;&gt;""),"Text - Converted to Date", IF(ISNUMBER(B892),"Valid","Check"))))</f>
        <v>Text - Converted to Date</v>
      </c>
      <c r="E892" s="5">
        <f t="shared" si="106"/>
        <v>7</v>
      </c>
      <c r="F892" s="5">
        <f t="shared" si="107"/>
        <v>2025</v>
      </c>
      <c r="G892" s="3" t="s">
        <v>1571</v>
      </c>
      <c r="H892" s="9">
        <f>IFERROR(DATEVALUE(TEXT(G892,"DD/MM/YYYY")), IF(ISNUMBER(G892), G892, ""))</f>
        <v>45857</v>
      </c>
      <c r="I892" s="9" t="str">
        <f>IF(G892="","Missing", IF(AND(ISNUMBER(G892)=FALSE, H892=""),"Invalid - Could Not Parse", IF(AND(ISNUMBER(G892)=FALSE, H892&lt;&gt;""),"Text - Converted to Date", IF(ISNUMBER(G892),"Valid","Check"))))</f>
        <v>Text - Converted to Date</v>
      </c>
      <c r="J892" s="9" t="str">
        <f>IF(OR(C892="", H892=""), "Cannot Check - Date Missing", IF(H892&lt;C892, "Invalid - Ship Before Order", "Valid"))</f>
        <v>Valid</v>
      </c>
      <c r="K892" s="5">
        <f>IF(OR(C892="", H892=""), "", IF(H892&lt;C892, "", H892-C892))</f>
        <v>4</v>
      </c>
      <c r="L892" s="3" t="s">
        <v>3570</v>
      </c>
      <c r="M892" s="3" t="s">
        <v>210</v>
      </c>
      <c r="N892" s="4" t="str">
        <f>TRIM(SUBSTITUTE(M892,"_"," "))</f>
        <v>Diya Patel</v>
      </c>
      <c r="O892" s="3" t="s">
        <v>26</v>
      </c>
      <c r="P892" s="6" t="str">
        <f>PROPER(TRIM(SUBSTITUTE(O892,".","")))</f>
        <v>Consumer</v>
      </c>
      <c r="Q892" s="3" t="s">
        <v>62</v>
      </c>
      <c r="R892" s="7" t="str">
        <f>PROPER(TRIM(SUBSTITUTE(Q892,"  "," ")))</f>
        <v>South</v>
      </c>
      <c r="S892" s="3" t="s">
        <v>339</v>
      </c>
      <c r="T892" s="6" t="str">
        <f>PROPER(TRIM(SUBSTITUTE(S892,"  "," ")))</f>
        <v>Tamil Nadu</v>
      </c>
      <c r="U892" s="3" t="s">
        <v>340</v>
      </c>
      <c r="V892" s="6" t="str">
        <f>PROPER(TRIM(SUBSTITUTE(U892,"  "," ")))</f>
        <v>Chennai</v>
      </c>
      <c r="W892" s="3" t="s">
        <v>45</v>
      </c>
      <c r="X892" s="6" t="str">
        <f>PROPER(TRIM(SUBSTITUTE(W892,"  "," ")))</f>
        <v>Furniture</v>
      </c>
      <c r="Y892" s="3" t="s">
        <v>76</v>
      </c>
      <c r="Z892" s="6" t="str">
        <f>PROPER(TRIM(SUBSTITUTE(Y892,"  "," ")))</f>
        <v>Chairs</v>
      </c>
      <c r="AA892" s="3" t="s">
        <v>3571</v>
      </c>
      <c r="AB892" s="3" t="s">
        <v>48</v>
      </c>
      <c r="AC892" s="6" t="str">
        <f>PROPER(TRIM(SUBSTITUTE(AB892,"  "," ")))</f>
        <v>Same Day</v>
      </c>
      <c r="AD892" s="3">
        <v>1</v>
      </c>
      <c r="AE892" s="3">
        <v>3903.22</v>
      </c>
      <c r="AF892" s="3">
        <v>0.05</v>
      </c>
      <c r="AG892" s="17">
        <v>0.05</v>
      </c>
      <c r="AH892" s="6" t="str">
        <f t="shared" si="108"/>
        <v>Valid</v>
      </c>
      <c r="AI892" s="3">
        <v>3708.06</v>
      </c>
      <c r="AJ892" s="3">
        <v>2760.29</v>
      </c>
      <c r="AK892" s="3">
        <v>947.77</v>
      </c>
      <c r="AL892" s="3" t="s">
        <v>137</v>
      </c>
      <c r="AM892" s="6" t="str">
        <f>PROPER(TRIM(SUBSTITUTE(AL892,".","")))</f>
        <v>Pending</v>
      </c>
      <c r="AN892" s="3" t="s">
        <v>78</v>
      </c>
      <c r="AO892" s="8" t="str">
        <f>PROPER(TRIM(SUBSTITUTE(AN892,".","")))</f>
        <v>Cancelled</v>
      </c>
      <c r="AP892" t="str">
        <f>IF(COUNTIF($A$2:$A$933, A892) &gt; 1, "Duplicate ID", "Unique")</f>
        <v>Unique</v>
      </c>
      <c r="AR892">
        <f t="shared" si="109"/>
        <v>3708.0589999999997</v>
      </c>
      <c r="AS892">
        <f t="shared" si="110"/>
        <v>947.76899999999978</v>
      </c>
      <c r="AT892" s="15">
        <f t="shared" si="111"/>
        <v>0.25559706574248142</v>
      </c>
      <c r="AU892" t="str">
        <f t="shared" si="112"/>
        <v>Clean</v>
      </c>
      <c r="AV892" s="8" t="str">
        <f t="shared" si="113"/>
        <v>Cancelled</v>
      </c>
    </row>
    <row r="893" spans="1:48">
      <c r="A893" s="3" t="s">
        <v>3594</v>
      </c>
      <c r="B893" s="3" t="s">
        <v>715</v>
      </c>
      <c r="C893" s="10">
        <f>IFERROR(DATEVALUE(MID(B893,4,2) &amp; "/" &amp; LEFT(B893,2) &amp; "/" &amp; RIGHT(B893,4)), IF(ISNUMBER(B893), B893, IFERROR(DATEVALUE(B893), "")))</f>
        <v>45497</v>
      </c>
      <c r="D893" s="9" t="str">
        <f>IF(B893="","Missing", IF(AND(ISNUMBER(B893)=FALSE, C893=""),"Invalid - Could Not Parse", IF(AND(ISNUMBER(B893)=FALSE, C893&lt;&gt;""),"Text - Converted to Date", IF(ISNUMBER(B893),"Valid","Check"))))</f>
        <v>Text - Converted to Date</v>
      </c>
      <c r="E893" s="5">
        <f t="shared" si="106"/>
        <v>7</v>
      </c>
      <c r="F893" s="5">
        <f t="shared" si="107"/>
        <v>2024</v>
      </c>
      <c r="G893" s="3" t="s">
        <v>3595</v>
      </c>
      <c r="H893" s="9">
        <f>IFERROR(DATEVALUE(TEXT(G893,"DD/MM/YYYY")), IF(ISNUMBER(G893), G893, ""))</f>
        <v>45497</v>
      </c>
      <c r="I893" s="9" t="str">
        <f>IF(G893="","Missing", IF(AND(ISNUMBER(G893)=FALSE, H893=""),"Invalid - Could Not Parse", IF(AND(ISNUMBER(G893)=FALSE, H893&lt;&gt;""),"Text - Converted to Date", IF(ISNUMBER(G893),"Valid","Check"))))</f>
        <v>Text - Converted to Date</v>
      </c>
      <c r="J893" s="9" t="str">
        <f>IF(OR(C893="", H893=""), "Cannot Check - Date Missing", IF(H893&lt;C893, "Invalid - Ship Before Order", "Valid"))</f>
        <v>Valid</v>
      </c>
      <c r="K893" s="5">
        <f>IF(OR(C893="", H893=""), "", IF(H893&lt;C893, "", H893-C893))</f>
        <v>0</v>
      </c>
      <c r="L893" s="3" t="s">
        <v>3596</v>
      </c>
      <c r="M893" s="3" t="s">
        <v>25</v>
      </c>
      <c r="N893" s="4" t="str">
        <f>TRIM(SUBSTITUTE(M893,"_"," "))</f>
        <v>Karan Malhotra</v>
      </c>
      <c r="O893" s="3" t="s">
        <v>41</v>
      </c>
      <c r="P893" s="6" t="str">
        <f>PROPER(TRIM(SUBSTITUTE(O893,".","")))</f>
        <v>Small Business</v>
      </c>
      <c r="Q893" s="3" t="s">
        <v>27</v>
      </c>
      <c r="R893" s="7" t="str">
        <f>PROPER(TRIM(SUBSTITUTE(Q893,"  "," ")))</f>
        <v>North</v>
      </c>
      <c r="S893" s="3" t="s">
        <v>323</v>
      </c>
      <c r="T893" s="6" t="str">
        <f>PROPER(TRIM(SUBSTITUTE(S893,"  "," ")))</f>
        <v>Haryana</v>
      </c>
      <c r="U893" s="3" t="s">
        <v>324</v>
      </c>
      <c r="V893" s="6" t="str">
        <f>PROPER(TRIM(SUBSTITUTE(U893,"  "," ")))</f>
        <v>Gurugram</v>
      </c>
      <c r="W893" s="3" t="s">
        <v>86</v>
      </c>
      <c r="X893" s="6" t="str">
        <f>PROPER(TRIM(SUBSTITUTE(W893,"  "," ")))</f>
        <v>Technology</v>
      </c>
      <c r="Y893" s="3" t="s">
        <v>94</v>
      </c>
      <c r="Z893" s="6" t="str">
        <f>PROPER(TRIM(SUBSTITUTE(Y893,"  "," ")))</f>
        <v>Copiers</v>
      </c>
      <c r="AA893" s="3" t="s">
        <v>3597</v>
      </c>
      <c r="AB893" s="3" t="s">
        <v>33</v>
      </c>
      <c r="AC893" s="6" t="str">
        <f>PROPER(TRIM(SUBSTITUTE(AB893,"  "," ")))</f>
        <v>Second Class</v>
      </c>
      <c r="AD893" s="3">
        <v>4</v>
      </c>
      <c r="AE893" s="3">
        <v>1676.88</v>
      </c>
      <c r="AF893" s="3">
        <v>0</v>
      </c>
      <c r="AG893" s="17">
        <v>0</v>
      </c>
      <c r="AH893" s="6" t="str">
        <f t="shared" si="108"/>
        <v>Valid</v>
      </c>
      <c r="AI893" s="3">
        <v>6707.52</v>
      </c>
      <c r="AJ893" s="3">
        <v>5672.57</v>
      </c>
      <c r="AK893" s="3">
        <v>1034.95</v>
      </c>
      <c r="AL893" s="3" t="s">
        <v>34</v>
      </c>
      <c r="AM893" s="6" t="str">
        <f>PROPER(TRIM(SUBSTITUTE(AL893,".","")))</f>
        <v>Paid</v>
      </c>
      <c r="AN893" s="3" t="s">
        <v>35</v>
      </c>
      <c r="AO893" s="8" t="str">
        <f>PROPER(TRIM(SUBSTITUTE(AN893,".","")))</f>
        <v>Completed</v>
      </c>
      <c r="AP893" t="str">
        <f>IF(COUNTIF($A$2:$A$933, A893) &gt; 1, "Duplicate ID", "Unique")</f>
        <v>Unique</v>
      </c>
      <c r="AR893">
        <f t="shared" si="109"/>
        <v>6707.52</v>
      </c>
      <c r="AS893">
        <f t="shared" si="110"/>
        <v>1034.9500000000007</v>
      </c>
      <c r="AT893" s="15">
        <f t="shared" si="111"/>
        <v>0.15429696817899918</v>
      </c>
      <c r="AU893" t="str">
        <f t="shared" si="112"/>
        <v>Clean</v>
      </c>
      <c r="AV893" s="8" t="str">
        <f t="shared" si="113"/>
        <v>Active</v>
      </c>
    </row>
    <row r="894" spans="1:48">
      <c r="A894" s="3" t="s">
        <v>3598</v>
      </c>
      <c r="B894" s="3" t="s">
        <v>2205</v>
      </c>
      <c r="C894" s="10">
        <f>IFERROR(DATEVALUE(MID(B894,4,2) &amp; "/" &amp; LEFT(B894,2) &amp; "/" &amp; RIGHT(B894,4)), IF(ISNUMBER(B894), B894, IFERROR(DATEVALUE(B894), "")))</f>
        <v>45306</v>
      </c>
      <c r="D894" s="9" t="str">
        <f>IF(B894="","Missing", IF(AND(ISNUMBER(B894)=FALSE, C894=""),"Invalid - Could Not Parse", IF(AND(ISNUMBER(B894)=FALSE, C894&lt;&gt;""),"Text - Converted to Date", IF(ISNUMBER(B894),"Valid","Check"))))</f>
        <v>Text - Converted to Date</v>
      </c>
      <c r="E894" s="5">
        <f t="shared" si="106"/>
        <v>1</v>
      </c>
      <c r="F894" s="5">
        <f t="shared" si="107"/>
        <v>2024</v>
      </c>
      <c r="G894" s="3" t="s">
        <v>3599</v>
      </c>
      <c r="H894" s="9">
        <f>IFERROR(DATEVALUE(TEXT(G894,"DD/MM/YYYY")), IF(ISNUMBER(G894), G894, ""))</f>
        <v>45311</v>
      </c>
      <c r="I894" s="9" t="str">
        <f>IF(G894="","Missing", IF(AND(ISNUMBER(G894)=FALSE, H894=""),"Invalid - Could Not Parse", IF(AND(ISNUMBER(G894)=FALSE, H894&lt;&gt;""),"Text - Converted to Date", IF(ISNUMBER(G894),"Valid","Check"))))</f>
        <v>Text - Converted to Date</v>
      </c>
      <c r="J894" s="9" t="str">
        <f>IF(OR(C894="", H894=""), "Cannot Check - Date Missing", IF(H894&lt;C894, "Invalid - Ship Before Order", "Valid"))</f>
        <v>Valid</v>
      </c>
      <c r="K894" s="5">
        <f>IF(OR(C894="", H894=""), "", IF(H894&lt;C894, "", H894-C894))</f>
        <v>5</v>
      </c>
      <c r="L894" s="3" t="s">
        <v>3600</v>
      </c>
      <c r="M894" s="3" t="s">
        <v>142</v>
      </c>
      <c r="N894" s="4" t="str">
        <f>TRIM(SUBSTITUTE(M894,"_"," "))</f>
        <v>Priya Menon</v>
      </c>
      <c r="O894" s="3" t="s">
        <v>41</v>
      </c>
      <c r="P894" s="6" t="str">
        <f>PROPER(TRIM(SUBSTITUTE(O894,".","")))</f>
        <v>Small Business</v>
      </c>
      <c r="Q894" s="3" t="s">
        <v>62</v>
      </c>
      <c r="R894" s="7" t="str">
        <f>PROPER(TRIM(SUBSTITUTE(Q894,"  "," ")))</f>
        <v>South</v>
      </c>
      <c r="S894" s="3" t="s">
        <v>100</v>
      </c>
      <c r="T894" s="6" t="str">
        <f>PROPER(TRIM(SUBSTITUTE(S894,"  "," ")))</f>
        <v>Andhra Pradesh</v>
      </c>
      <c r="U894" s="3" t="s">
        <v>101</v>
      </c>
      <c r="V894" s="6" t="str">
        <f>PROPER(TRIM(SUBSTITUTE(U894,"  "," ")))</f>
        <v>Vijayawada</v>
      </c>
      <c r="W894" s="3" t="s">
        <v>45</v>
      </c>
      <c r="X894" s="6" t="str">
        <f>PROPER(TRIM(SUBSTITUTE(W894,"  "," ")))</f>
        <v>Furniture</v>
      </c>
      <c r="Y894" s="3" t="s">
        <v>76</v>
      </c>
      <c r="Z894" s="6" t="str">
        <f>PROPER(TRIM(SUBSTITUTE(Y894,"  "," ")))</f>
        <v>Chairs</v>
      </c>
      <c r="AA894" s="3" t="s">
        <v>3601</v>
      </c>
      <c r="AB894" s="3" t="s">
        <v>67</v>
      </c>
      <c r="AC894" s="6" t="str">
        <f>PROPER(TRIM(SUBSTITUTE(AB894,"  "," ")))</f>
        <v>Standard Class</v>
      </c>
      <c r="AD894" s="3">
        <v>4</v>
      </c>
      <c r="AE894" s="3">
        <v>3153.54</v>
      </c>
      <c r="AF894" s="3">
        <v>0.05</v>
      </c>
      <c r="AG894" s="17">
        <v>0.05</v>
      </c>
      <c r="AH894" s="6" t="str">
        <f t="shared" si="108"/>
        <v>Valid</v>
      </c>
      <c r="AI894" s="3">
        <v>11983.45</v>
      </c>
      <c r="AJ894" s="3">
        <v>8572.9</v>
      </c>
      <c r="AK894" s="3">
        <v>3410.55</v>
      </c>
      <c r="AL894" s="3" t="s">
        <v>34</v>
      </c>
      <c r="AM894" s="6" t="str">
        <f>PROPER(TRIM(SUBSTITUTE(AL894,".","")))</f>
        <v>Paid</v>
      </c>
      <c r="AN894" s="3" t="s">
        <v>35</v>
      </c>
      <c r="AO894" s="8" t="str">
        <f>PROPER(TRIM(SUBSTITUTE(AN894,".","")))</f>
        <v>Completed</v>
      </c>
      <c r="AP894" t="str">
        <f>IF(COUNTIF($A$2:$A$933, A894) &gt; 1, "Duplicate ID", "Unique")</f>
        <v>Unique</v>
      </c>
      <c r="AR894">
        <f t="shared" si="109"/>
        <v>11983.451999999999</v>
      </c>
      <c r="AS894">
        <f t="shared" si="110"/>
        <v>3410.5519999999997</v>
      </c>
      <c r="AT894" s="15">
        <f t="shared" si="111"/>
        <v>0.2846051371507976</v>
      </c>
      <c r="AU894" t="str">
        <f t="shared" si="112"/>
        <v>Clean</v>
      </c>
      <c r="AV894" s="8" t="str">
        <f t="shared" si="113"/>
        <v>Active</v>
      </c>
    </row>
    <row r="895" spans="1:48">
      <c r="A895" s="3" t="s">
        <v>3667</v>
      </c>
      <c r="B895" s="3" t="s">
        <v>796</v>
      </c>
      <c r="C895" s="10">
        <f>IFERROR(DATEVALUE(MID(B895,4,2) &amp; "/" &amp; LEFT(B895,2) &amp; "/" &amp; RIGHT(B895,4)), IF(ISNUMBER(B895), B895, IFERROR(DATEVALUE(B895), "")))</f>
        <v>45374</v>
      </c>
      <c r="D895" s="9" t="str">
        <f>IF(B895="","Missing", IF(AND(ISNUMBER(B895)=FALSE, C895=""),"Invalid - Could Not Parse", IF(AND(ISNUMBER(B895)=FALSE, C895&lt;&gt;""),"Text - Converted to Date", IF(ISNUMBER(B895),"Valid","Check"))))</f>
        <v>Text - Converted to Date</v>
      </c>
      <c r="E895" s="5">
        <f t="shared" si="106"/>
        <v>3</v>
      </c>
      <c r="F895" s="5">
        <f t="shared" si="107"/>
        <v>2024</v>
      </c>
      <c r="G895" s="3" t="s">
        <v>3668</v>
      </c>
      <c r="H895" s="9">
        <f>IFERROR(DATEVALUE(TEXT(G895,"DD/MM/YYYY")), IF(ISNUMBER(G895), G895, ""))</f>
        <v>45381</v>
      </c>
      <c r="I895" s="9" t="str">
        <f>IF(G895="","Missing", IF(AND(ISNUMBER(G895)=FALSE, H895=""),"Invalid - Could Not Parse", IF(AND(ISNUMBER(G895)=FALSE, H895&lt;&gt;""),"Text - Converted to Date", IF(ISNUMBER(G895),"Valid","Check"))))</f>
        <v>Text - Converted to Date</v>
      </c>
      <c r="J895" s="9" t="str">
        <f>IF(OR(C895="", H895=""), "Cannot Check - Date Missing", IF(H895&lt;C895, "Invalid - Ship Before Order", "Valid"))</f>
        <v>Valid</v>
      </c>
      <c r="K895" s="5">
        <f>IF(OR(C895="", H895=""), "", IF(H895&lt;C895, "", H895-C895))</f>
        <v>7</v>
      </c>
      <c r="L895" s="3" t="s">
        <v>3669</v>
      </c>
      <c r="M895" s="3" t="s">
        <v>180</v>
      </c>
      <c r="N895" s="4" t="str">
        <f>TRIM(SUBSTITUTE(M895,"_"," "))</f>
        <v>Rohan Mehta</v>
      </c>
      <c r="O895" s="3" t="s">
        <v>41</v>
      </c>
      <c r="P895" s="6" t="str">
        <f>PROPER(TRIM(SUBSTITUTE(O895,".","")))</f>
        <v>Small Business</v>
      </c>
      <c r="Q895" s="3" t="s">
        <v>62</v>
      </c>
      <c r="R895" s="7" t="str">
        <f>PROPER(TRIM(SUBSTITUTE(Q895,"  "," ")))</f>
        <v>South</v>
      </c>
      <c r="S895" s="3" t="s">
        <v>100</v>
      </c>
      <c r="T895" s="6" t="str">
        <f>PROPER(TRIM(SUBSTITUTE(S895,"  "," ")))</f>
        <v>Andhra Pradesh</v>
      </c>
      <c r="U895" s="3" t="s">
        <v>101</v>
      </c>
      <c r="V895" s="6" t="str">
        <f>PROPER(TRIM(SUBSTITUTE(U895,"  "," ")))</f>
        <v>Vijayawada</v>
      </c>
      <c r="W895" s="3" t="s">
        <v>86</v>
      </c>
      <c r="X895" s="6" t="str">
        <f>PROPER(TRIM(SUBSTITUTE(W895,"  "," ")))</f>
        <v>Technology</v>
      </c>
      <c r="Y895" s="3" t="s">
        <v>382</v>
      </c>
      <c r="Z895" s="6" t="str">
        <f>PROPER(TRIM(SUBSTITUTE(Y895,"  "," ")))</f>
        <v>Machines</v>
      </c>
      <c r="AA895" s="3" t="s">
        <v>3670</v>
      </c>
      <c r="AB895" s="3" t="s">
        <v>56</v>
      </c>
      <c r="AC895" s="6" t="str">
        <f>PROPER(TRIM(SUBSTITUTE(AB895,"  "," ")))</f>
        <v>First Class</v>
      </c>
      <c r="AD895" s="3">
        <v>6</v>
      </c>
      <c r="AE895" s="3">
        <v>1894.44</v>
      </c>
      <c r="AF895" s="3">
        <v>0.15</v>
      </c>
      <c r="AG895" s="17">
        <v>0.15</v>
      </c>
      <c r="AH895" s="6" t="str">
        <f t="shared" si="108"/>
        <v>Valid</v>
      </c>
      <c r="AI895" s="3">
        <v>9661.64</v>
      </c>
      <c r="AJ895" s="3">
        <v>6303.77</v>
      </c>
      <c r="AK895" s="3">
        <v>3357.87</v>
      </c>
      <c r="AL895" s="3" t="s">
        <v>34</v>
      </c>
      <c r="AM895" s="6" t="str">
        <f>PROPER(TRIM(SUBSTITUTE(AL895,".","")))</f>
        <v>Paid</v>
      </c>
      <c r="AN895" s="3" t="s">
        <v>35</v>
      </c>
      <c r="AO895" s="8" t="str">
        <f>PROPER(TRIM(SUBSTITUTE(AN895,".","")))</f>
        <v>Completed</v>
      </c>
      <c r="AP895" t="str">
        <f>IF(COUNTIF($A$2:$A$933, A895) &gt; 1, "Duplicate ID", "Unique")</f>
        <v>Unique</v>
      </c>
      <c r="AR895">
        <f t="shared" si="109"/>
        <v>9661.6439999999984</v>
      </c>
      <c r="AS895">
        <f t="shared" si="110"/>
        <v>3357.873999999998</v>
      </c>
      <c r="AT895" s="15">
        <f t="shared" si="111"/>
        <v>0.34754685641491223</v>
      </c>
      <c r="AU895" t="str">
        <f t="shared" si="112"/>
        <v>Clean</v>
      </c>
      <c r="AV895" s="8" t="str">
        <f t="shared" si="113"/>
        <v>Active</v>
      </c>
    </row>
    <row r="896" spans="1:48">
      <c r="A896" s="3" t="s">
        <v>3746</v>
      </c>
      <c r="B896" s="3" t="s">
        <v>3747</v>
      </c>
      <c r="C896" s="10">
        <f>IFERROR(DATEVALUE(MID(B896,4,2) &amp; "/" &amp; LEFT(B896,2) &amp; "/" &amp; RIGHT(B896,4)), IF(ISNUMBER(B896), B896, IFERROR(DATEVALUE(B896), "")))</f>
        <v>45623</v>
      </c>
      <c r="D896" s="9" t="str">
        <f>IF(B896="","Missing", IF(AND(ISNUMBER(B896)=FALSE, C896=""),"Invalid - Could Not Parse", IF(AND(ISNUMBER(B896)=FALSE, C896&lt;&gt;""),"Text - Converted to Date", IF(ISNUMBER(B896),"Valid","Check"))))</f>
        <v>Text - Converted to Date</v>
      </c>
      <c r="E896" s="5">
        <f t="shared" si="106"/>
        <v>11</v>
      </c>
      <c r="F896" s="5">
        <f t="shared" si="107"/>
        <v>2024</v>
      </c>
      <c r="G896" s="3" t="s">
        <v>3748</v>
      </c>
      <c r="H896" s="9">
        <f>IFERROR(DATEVALUE(TEXT(G896,"DD/MM/YYYY")), IF(ISNUMBER(G896), G896, ""))</f>
        <v>45626</v>
      </c>
      <c r="I896" s="9" t="str">
        <f>IF(G896="","Missing", IF(AND(ISNUMBER(G896)=FALSE, H896=""),"Invalid - Could Not Parse", IF(AND(ISNUMBER(G896)=FALSE, H896&lt;&gt;""),"Text - Converted to Date", IF(ISNUMBER(G896),"Valid","Check"))))</f>
        <v>Text - Converted to Date</v>
      </c>
      <c r="J896" s="9" t="str">
        <f>IF(OR(C896="", H896=""), "Cannot Check - Date Missing", IF(H896&lt;C896, "Invalid - Ship Before Order", "Valid"))</f>
        <v>Valid</v>
      </c>
      <c r="K896" s="5">
        <f>IF(OR(C896="", H896=""), "", IF(H896&lt;C896, "", H896-C896))</f>
        <v>3</v>
      </c>
      <c r="L896" s="3" t="s">
        <v>3749</v>
      </c>
      <c r="M896" s="3" t="s">
        <v>148</v>
      </c>
      <c r="N896" s="4" t="str">
        <f>TRIM(SUBSTITUTE(M896,"_"," "))</f>
        <v>Rahul Verma</v>
      </c>
      <c r="O896" s="3" t="s">
        <v>41</v>
      </c>
      <c r="P896" s="6" t="str">
        <f>PROPER(TRIM(SUBSTITUTE(O896,".","")))</f>
        <v>Small Business</v>
      </c>
      <c r="Q896" s="3" t="s">
        <v>42</v>
      </c>
      <c r="R896" s="7" t="str">
        <f>PROPER(TRIM(SUBSTITUTE(Q896,"  "," ")))</f>
        <v>East</v>
      </c>
      <c r="S896" s="3" t="s">
        <v>311</v>
      </c>
      <c r="T896" s="6" t="str">
        <f>PROPER(TRIM(SUBSTITUTE(S896,"  "," ")))</f>
        <v>Jharkhand</v>
      </c>
      <c r="U896" s="3" t="s">
        <v>312</v>
      </c>
      <c r="V896" s="6" t="str">
        <f>PROPER(TRIM(SUBSTITUTE(U896,"  "," ")))</f>
        <v>Ranchi</v>
      </c>
      <c r="W896" s="3" t="s">
        <v>45</v>
      </c>
      <c r="X896" s="6" t="str">
        <f>PROPER(TRIM(SUBSTITUTE(W896,"  "," ")))</f>
        <v>Furniture</v>
      </c>
      <c r="Y896" s="3" t="s">
        <v>65</v>
      </c>
      <c r="Z896" s="6" t="str">
        <f>PROPER(TRIM(SUBSTITUTE(Y896,"  "," ")))</f>
        <v>Furnishings</v>
      </c>
      <c r="AA896" s="3" t="s">
        <v>3750</v>
      </c>
      <c r="AB896" s="3" t="s">
        <v>56</v>
      </c>
      <c r="AC896" s="6" t="str">
        <f>PROPER(TRIM(SUBSTITUTE(AB896,"  "," ")))</f>
        <v>First Class</v>
      </c>
      <c r="AD896" s="3">
        <v>1</v>
      </c>
      <c r="AE896" s="3">
        <v>874.3</v>
      </c>
      <c r="AF896" s="3">
        <v>0.1</v>
      </c>
      <c r="AG896" s="17">
        <v>0.1</v>
      </c>
      <c r="AH896" s="6" t="str">
        <f t="shared" si="108"/>
        <v>Valid</v>
      </c>
      <c r="AI896" s="3">
        <v>786.87</v>
      </c>
      <c r="AJ896" s="3">
        <v>498.5</v>
      </c>
      <c r="AK896" s="3">
        <v>288.37</v>
      </c>
      <c r="AL896" s="3" t="s">
        <v>34</v>
      </c>
      <c r="AM896" s="6" t="str">
        <f>PROPER(TRIM(SUBSTITUTE(AL896,".","")))</f>
        <v>Paid</v>
      </c>
      <c r="AN896" s="3" t="s">
        <v>35</v>
      </c>
      <c r="AO896" s="8" t="str">
        <f>PROPER(TRIM(SUBSTITUTE(AN896,".","")))</f>
        <v>Completed</v>
      </c>
      <c r="AP896" t="str">
        <f>IF(COUNTIF($A$2:$A$933, A896) &gt; 1, "Duplicate ID", "Unique")</f>
        <v>Unique</v>
      </c>
      <c r="AR896">
        <f t="shared" si="109"/>
        <v>786.87</v>
      </c>
      <c r="AS896">
        <f t="shared" si="110"/>
        <v>288.37</v>
      </c>
      <c r="AT896" s="15">
        <f t="shared" si="111"/>
        <v>0.36647730883119195</v>
      </c>
      <c r="AU896" t="str">
        <f t="shared" si="112"/>
        <v>Clean</v>
      </c>
      <c r="AV896" s="8" t="str">
        <f t="shared" si="113"/>
        <v>Active</v>
      </c>
    </row>
    <row r="897" spans="1:48">
      <c r="A897" s="3" t="s">
        <v>3760</v>
      </c>
      <c r="B897" s="3" t="s">
        <v>1594</v>
      </c>
      <c r="C897" s="10">
        <f>IFERROR(DATEVALUE(MID(B897,4,2) &amp; "/" &amp; LEFT(B897,2) &amp; "/" &amp; RIGHT(B897,4)), IF(ISNUMBER(B897), B897, IFERROR(DATEVALUE(B897), "")))</f>
        <v>45504</v>
      </c>
      <c r="D897" s="9" t="str">
        <f>IF(B897="","Missing", IF(AND(ISNUMBER(B897)=FALSE, C897=""),"Invalid - Could Not Parse", IF(AND(ISNUMBER(B897)=FALSE, C897&lt;&gt;""),"Text - Converted to Date", IF(ISNUMBER(B897),"Valid","Check"))))</f>
        <v>Text - Converted to Date</v>
      </c>
      <c r="E897" s="5">
        <f t="shared" si="106"/>
        <v>7</v>
      </c>
      <c r="F897" s="5">
        <f t="shared" si="107"/>
        <v>2024</v>
      </c>
      <c r="G897" s="3" t="s">
        <v>3761</v>
      </c>
      <c r="H897" s="9">
        <f>IFERROR(DATEVALUE(TEXT(G897,"DD/MM/YYYY")), IF(ISNUMBER(G897), G897, ""))</f>
        <v>45504</v>
      </c>
      <c r="I897" s="9" t="str">
        <f>IF(G897="","Missing", IF(AND(ISNUMBER(G897)=FALSE, H897=""),"Invalid - Could Not Parse", IF(AND(ISNUMBER(G897)=FALSE, H897&lt;&gt;""),"Text - Converted to Date", IF(ISNUMBER(G897),"Valid","Check"))))</f>
        <v>Text - Converted to Date</v>
      </c>
      <c r="J897" s="9" t="str">
        <f>IF(OR(C897="", H897=""), "Cannot Check - Date Missing", IF(H897&lt;C897, "Invalid - Ship Before Order", "Valid"))</f>
        <v>Valid</v>
      </c>
      <c r="K897" s="5">
        <f>IF(OR(C897="", H897=""), "", IF(H897&lt;C897, "", H897-C897))</f>
        <v>0</v>
      </c>
      <c r="L897" s="3" t="s">
        <v>3762</v>
      </c>
      <c r="M897" s="3" t="s">
        <v>25</v>
      </c>
      <c r="N897" s="4" t="str">
        <f>TRIM(SUBSTITUTE(M897,"_"," "))</f>
        <v>Karan Malhotra</v>
      </c>
      <c r="O897" s="3" t="s">
        <v>115</v>
      </c>
      <c r="P897" s="6" t="str">
        <f>PROPER(TRIM(SUBSTITUTE(O897,".","")))</f>
        <v>Home Office</v>
      </c>
      <c r="Q897" s="3" t="s">
        <v>62</v>
      </c>
      <c r="R897" s="7" t="str">
        <f>PROPER(TRIM(SUBSTITUTE(Q897,"  "," ")))</f>
        <v>South</v>
      </c>
      <c r="S897" s="3" t="s">
        <v>242</v>
      </c>
      <c r="T897" s="6" t="str">
        <f>PROPER(TRIM(SUBSTITUTE(S897,"  "," ")))</f>
        <v>Kerala</v>
      </c>
      <c r="U897" s="3" t="s">
        <v>243</v>
      </c>
      <c r="V897" s="6" t="str">
        <f>PROPER(TRIM(SUBSTITUTE(U897,"  "," ")))</f>
        <v>Kochi</v>
      </c>
      <c r="W897" s="3" t="s">
        <v>86</v>
      </c>
      <c r="X897" s="6" t="str">
        <f>PROPER(TRIM(SUBSTITUTE(W897,"  "," ")))</f>
        <v>Technology</v>
      </c>
      <c r="Y897" s="3" t="s">
        <v>3763</v>
      </c>
      <c r="Z897" s="6" t="str">
        <f>PROPER(TRIM(SUBSTITUTE(Y897,"  "," ")))</f>
        <v>Machines</v>
      </c>
      <c r="AA897" s="3" t="s">
        <v>3764</v>
      </c>
      <c r="AB897" s="3" t="s">
        <v>67</v>
      </c>
      <c r="AC897" s="6" t="str">
        <f>PROPER(TRIM(SUBSTITUTE(AB897,"  "," ")))</f>
        <v>Standard Class</v>
      </c>
      <c r="AD897" s="3">
        <v>8</v>
      </c>
      <c r="AE897" s="3">
        <v>4246.01</v>
      </c>
      <c r="AF897" s="3">
        <v>0</v>
      </c>
      <c r="AG897" s="17">
        <v>0</v>
      </c>
      <c r="AH897" s="6" t="str">
        <f t="shared" si="108"/>
        <v>Valid</v>
      </c>
      <c r="AI897" s="3">
        <v>33968.080000000002</v>
      </c>
      <c r="AJ897" s="3">
        <v>26902.44</v>
      </c>
      <c r="AK897" s="3">
        <v>7065.64</v>
      </c>
      <c r="AL897" s="3" t="s">
        <v>200</v>
      </c>
      <c r="AM897" s="6" t="str">
        <f>PROPER(TRIM(SUBSTITUTE(AL897,".","")))</f>
        <v>Failed</v>
      </c>
      <c r="AN897" s="3" t="s">
        <v>78</v>
      </c>
      <c r="AO897" s="8" t="str">
        <f>PROPER(TRIM(SUBSTITUTE(AN897,".","")))</f>
        <v>Cancelled</v>
      </c>
      <c r="AP897" t="str">
        <f>IF(COUNTIF($A$2:$A$933, A897) &gt; 1, "Duplicate ID", "Unique")</f>
        <v>Unique</v>
      </c>
      <c r="AR897">
        <f t="shared" si="109"/>
        <v>33968.080000000002</v>
      </c>
      <c r="AS897">
        <f t="shared" si="110"/>
        <v>7065.6400000000031</v>
      </c>
      <c r="AT897" s="15">
        <f t="shared" si="111"/>
        <v>0.20800822419165294</v>
      </c>
      <c r="AU897" t="str">
        <f t="shared" si="112"/>
        <v>Clean</v>
      </c>
      <c r="AV897" s="8" t="str">
        <f t="shared" si="113"/>
        <v>Cancelled</v>
      </c>
    </row>
    <row r="898" spans="1:48">
      <c r="A898" s="3" t="s">
        <v>3806</v>
      </c>
      <c r="B898" s="3" t="s">
        <v>3807</v>
      </c>
      <c r="C898" s="10">
        <f>IFERROR(DATEVALUE(MID(B898,4,2) &amp; "/" &amp; LEFT(B898,2) &amp; "/" &amp; RIGHT(B898,4)), IF(ISNUMBER(B898), B898, IFERROR(DATEVALUE(B898), "")))</f>
        <v>45348</v>
      </c>
      <c r="D898" s="9" t="str">
        <f>IF(B898="","Missing", IF(AND(ISNUMBER(B898)=FALSE, C898=""),"Invalid - Could Not Parse", IF(AND(ISNUMBER(B898)=FALSE, C898&lt;&gt;""),"Text - Converted to Date", IF(ISNUMBER(B898),"Valid","Check"))))</f>
        <v>Text - Converted to Date</v>
      </c>
      <c r="E898" s="5">
        <f t="shared" si="106"/>
        <v>2</v>
      </c>
      <c r="F898" s="5">
        <f t="shared" si="107"/>
        <v>2024</v>
      </c>
      <c r="G898" s="3" t="s">
        <v>1474</v>
      </c>
      <c r="H898" s="9">
        <f>IFERROR(DATEVALUE(TEXT(G898,"DD/MM/YYYY")), IF(ISNUMBER(G898), G898, ""))</f>
        <v>45350</v>
      </c>
      <c r="I898" s="9" t="str">
        <f>IF(G898="","Missing", IF(AND(ISNUMBER(G898)=FALSE, H898=""),"Invalid - Could Not Parse", IF(AND(ISNUMBER(G898)=FALSE, H898&lt;&gt;""),"Text - Converted to Date", IF(ISNUMBER(G898),"Valid","Check"))))</f>
        <v>Text - Converted to Date</v>
      </c>
      <c r="J898" s="9" t="str">
        <f>IF(OR(C898="", H898=""), "Cannot Check - Date Missing", IF(H898&lt;C898, "Invalid - Ship Before Order", "Valid"))</f>
        <v>Valid</v>
      </c>
      <c r="K898" s="5">
        <f>IF(OR(C898="", H898=""), "", IF(H898&lt;C898, "", H898-C898))</f>
        <v>2</v>
      </c>
      <c r="L898" s="3" t="s">
        <v>3808</v>
      </c>
      <c r="M898" s="3" t="s">
        <v>107</v>
      </c>
      <c r="N898" s="4" t="str">
        <f>TRIM(SUBSTITUTE(M898,"_"," "))</f>
        <v>Aditi Sen</v>
      </c>
      <c r="O898" s="3" t="s">
        <v>41</v>
      </c>
      <c r="P898" s="6" t="str">
        <f>PROPER(TRIM(SUBSTITUTE(O898,".","")))</f>
        <v>Small Business</v>
      </c>
      <c r="Q898" s="3" t="s">
        <v>73</v>
      </c>
      <c r="R898" s="7" t="str">
        <f>PROPER(TRIM(SUBSTITUTE(Q898,"  "," ")))</f>
        <v>West</v>
      </c>
      <c r="S898" s="3" t="s">
        <v>249</v>
      </c>
      <c r="T898" s="6" t="str">
        <f>PROPER(TRIM(SUBSTITUTE(S898,"  "," ")))</f>
        <v>Goa</v>
      </c>
      <c r="U898" s="3" t="s">
        <v>250</v>
      </c>
      <c r="V898" s="6" t="str">
        <f>PROPER(TRIM(SUBSTITUTE(U898,"  "," ")))</f>
        <v>Panaji</v>
      </c>
      <c r="W898" s="3" t="s">
        <v>45</v>
      </c>
      <c r="X898" s="6" t="str">
        <f>PROPER(TRIM(SUBSTITUTE(W898,"  "," ")))</f>
        <v>Furniture</v>
      </c>
      <c r="Y898" s="3" t="s">
        <v>65</v>
      </c>
      <c r="Z898" s="6" t="str">
        <f>PROPER(TRIM(SUBSTITUTE(Y898,"  "," ")))</f>
        <v>Furnishings</v>
      </c>
      <c r="AA898" s="3" t="s">
        <v>3809</v>
      </c>
      <c r="AB898" s="3" t="s">
        <v>33</v>
      </c>
      <c r="AC898" s="6" t="str">
        <f>PROPER(TRIM(SUBSTITUTE(AB898,"  "," ")))</f>
        <v>Second Class</v>
      </c>
      <c r="AD898" s="3">
        <v>7</v>
      </c>
      <c r="AE898" s="3">
        <v>1035.1400000000001</v>
      </c>
      <c r="AF898" s="3">
        <v>0.1</v>
      </c>
      <c r="AG898" s="17">
        <v>0.1</v>
      </c>
      <c r="AH898" s="6" t="str">
        <f t="shared" si="108"/>
        <v>Valid</v>
      </c>
      <c r="AI898" s="3">
        <v>6521.38</v>
      </c>
      <c r="AJ898" s="3">
        <v>4511.1000000000004</v>
      </c>
      <c r="AK898" s="3">
        <v>2010.28</v>
      </c>
      <c r="AL898" s="3" t="s">
        <v>34</v>
      </c>
      <c r="AM898" s="6" t="str">
        <f>PROPER(TRIM(SUBSTITUTE(AL898,".","")))</f>
        <v>Paid</v>
      </c>
      <c r="AN898" s="3" t="s">
        <v>35</v>
      </c>
      <c r="AO898" s="8" t="str">
        <f>PROPER(TRIM(SUBSTITUTE(AN898,".","")))</f>
        <v>Completed</v>
      </c>
      <c r="AP898" t="str">
        <f>IF(COUNTIF($A$2:$A$933, A898) &gt; 1, "Duplicate ID", "Unique")</f>
        <v>Unique</v>
      </c>
      <c r="AR898">
        <f t="shared" si="109"/>
        <v>6521.3820000000005</v>
      </c>
      <c r="AS898">
        <f t="shared" si="110"/>
        <v>2010.2820000000002</v>
      </c>
      <c r="AT898" s="15">
        <f t="shared" si="111"/>
        <v>0.30826012032418892</v>
      </c>
      <c r="AU898" t="str">
        <f t="shared" si="112"/>
        <v>Clean</v>
      </c>
      <c r="AV898" s="8" t="str">
        <f t="shared" si="113"/>
        <v>Active</v>
      </c>
    </row>
    <row r="899" spans="1:48">
      <c r="A899" s="3" t="s">
        <v>3830</v>
      </c>
      <c r="B899" s="3" t="s">
        <v>2750</v>
      </c>
      <c r="C899" s="10">
        <f>IFERROR(DATEVALUE(MID(B899,4,2) &amp; "/" &amp; LEFT(B899,2) &amp; "/" &amp; RIGHT(B899,4)), IF(ISNUMBER(B899), B899, IFERROR(DATEVALUE(B899), "")))</f>
        <v>45926</v>
      </c>
      <c r="D899" s="9" t="str">
        <f>IF(B899="","Missing", IF(AND(ISNUMBER(B899)=FALSE, C899=""),"Invalid - Could Not Parse", IF(AND(ISNUMBER(B899)=FALSE, C899&lt;&gt;""),"Text - Converted to Date", IF(ISNUMBER(B899),"Valid","Check"))))</f>
        <v>Text - Converted to Date</v>
      </c>
      <c r="E899" s="5">
        <f t="shared" ref="E899:E913" si="114">IFERROR(MONTH(C899), "")</f>
        <v>9</v>
      </c>
      <c r="F899" s="5">
        <f t="shared" ref="F899:F913" si="115">IFERROR(YEAR(C899), "")</f>
        <v>2025</v>
      </c>
      <c r="G899" s="3" t="s">
        <v>955</v>
      </c>
      <c r="H899" s="9">
        <f>IFERROR(DATEVALUE(TEXT(G899,"DD/MM/YYYY")), IF(ISNUMBER(G899), G899, ""))</f>
        <v>45934</v>
      </c>
      <c r="I899" s="9" t="str">
        <f>IF(G899="","Missing", IF(AND(ISNUMBER(G899)=FALSE, H899=""),"Invalid - Could Not Parse", IF(AND(ISNUMBER(G899)=FALSE, H899&lt;&gt;""),"Text - Converted to Date", IF(ISNUMBER(G899),"Valid","Check"))))</f>
        <v>Text - Converted to Date</v>
      </c>
      <c r="J899" s="9" t="str">
        <f>IF(OR(C899="", H899=""), "Cannot Check - Date Missing", IF(H899&lt;C899, "Invalid - Ship Before Order", "Valid"))</f>
        <v>Valid</v>
      </c>
      <c r="K899" s="5">
        <f>IF(OR(C899="", H899=""), "", IF(H899&lt;C899, "", H899-C899))</f>
        <v>8</v>
      </c>
      <c r="L899" s="3" t="s">
        <v>3831</v>
      </c>
      <c r="M899" s="3" t="s">
        <v>142</v>
      </c>
      <c r="N899" s="4" t="str">
        <f>TRIM(SUBSTITUTE(M899,"_"," "))</f>
        <v>Priya Menon</v>
      </c>
      <c r="O899" s="3" t="s">
        <v>41</v>
      </c>
      <c r="P899" s="6" t="str">
        <f>PROPER(TRIM(SUBSTITUTE(O899,".","")))</f>
        <v>Small Business</v>
      </c>
      <c r="Q899" s="3" t="s">
        <v>42</v>
      </c>
      <c r="R899" s="7" t="str">
        <f>PROPER(TRIM(SUBSTITUTE(Q899,"  "," ")))</f>
        <v>East</v>
      </c>
      <c r="S899" s="3" t="s">
        <v>216</v>
      </c>
      <c r="T899" s="6" t="str">
        <f>PROPER(TRIM(SUBSTITUTE(S899,"  "," ")))</f>
        <v>Assam</v>
      </c>
      <c r="U899" s="3" t="s">
        <v>217</v>
      </c>
      <c r="V899" s="6" t="str">
        <f>PROPER(TRIM(SUBSTITUTE(U899,"  "," ")))</f>
        <v>Guwahati</v>
      </c>
      <c r="W899" s="3" t="s">
        <v>86</v>
      </c>
      <c r="X899" s="6" t="str">
        <f>PROPER(TRIM(SUBSTITUTE(W899,"  "," ")))</f>
        <v>Technology</v>
      </c>
      <c r="Y899" s="3" t="s">
        <v>223</v>
      </c>
      <c r="Z899" s="6" t="str">
        <f>PROPER(TRIM(SUBSTITUTE(Y899,"  "," ")))</f>
        <v>Phones</v>
      </c>
      <c r="AA899" s="3" t="s">
        <v>3832</v>
      </c>
      <c r="AB899" s="3" t="s">
        <v>33</v>
      </c>
      <c r="AC899" s="6" t="str">
        <f>PROPER(TRIM(SUBSTITUTE(AB899,"  "," ")))</f>
        <v>Second Class</v>
      </c>
      <c r="AD899" s="3">
        <v>7</v>
      </c>
      <c r="AE899" s="3">
        <v>1509.59</v>
      </c>
      <c r="AF899" s="3">
        <v>0.05</v>
      </c>
      <c r="AG899" s="17">
        <v>0.05</v>
      </c>
      <c r="AH899" s="6" t="str">
        <f t="shared" ref="AH899:AH913" si="116">IF(ISBLANK(AF899), "Missing", IF(AF899 &lt; 0, "Invalid - Negative", IF(AF899 &gt; 0.5, "Invalid - Above Range", "Valid")))</f>
        <v>Valid</v>
      </c>
      <c r="AI899" s="3">
        <v>10038.77</v>
      </c>
      <c r="AJ899" s="3">
        <v>5673.1</v>
      </c>
      <c r="AK899" s="3">
        <v>4365.67</v>
      </c>
      <c r="AL899" s="3" t="s">
        <v>34</v>
      </c>
      <c r="AM899" s="6" t="str">
        <f>PROPER(TRIM(SUBSTITUTE(AL899,".","")))</f>
        <v>Paid</v>
      </c>
      <c r="AN899" s="3" t="s">
        <v>35</v>
      </c>
      <c r="AO899" s="8" t="str">
        <f>PROPER(TRIM(SUBSTITUTE(AN899,".","")))</f>
        <v>Completed</v>
      </c>
      <c r="AP899" t="str">
        <f>IF(COUNTIF($A$2:$A$933, A899) &gt; 1, "Duplicate ID", "Unique")</f>
        <v>Unique</v>
      </c>
      <c r="AR899">
        <f t="shared" ref="AR899:AR912" si="117">AD899 * AE899 * (1 - AG899)</f>
        <v>10038.773499999999</v>
      </c>
      <c r="AS899">
        <f t="shared" ref="AS899:AS913" si="118">AR899-AJ899</f>
        <v>4365.673499999999</v>
      </c>
      <c r="AT899" s="15">
        <f t="shared" ref="AT899:AT913" si="119">IFERROR(AS899 / AR899, "")</f>
        <v>0.43488116352062323</v>
      </c>
      <c r="AU899" t="str">
        <f t="shared" ref="AU899:AU913" si="120">IF(OR(AH899="Invalid - Negative",AH899="Invalid - Above Range", J899="Invalid - Ship Before Order", AQ899="Conflicting Duplicate - Flagged"), "Invalid", IF(OR(R898="Unknown", AC898="Unknown", AH899="Missing"), "Warning", "Clean"))</f>
        <v>Clean</v>
      </c>
      <c r="AV899" s="8" t="str">
        <f t="shared" ref="AV899:AV913" si="121">IF(AM899 = "Refunded", "Refund", IF(AO899 = "Cancelled", "Cancelled", "Active"))</f>
        <v>Active</v>
      </c>
    </row>
    <row r="900" spans="1:48">
      <c r="A900" s="3" t="s">
        <v>3845</v>
      </c>
      <c r="B900" s="3" t="s">
        <v>3846</v>
      </c>
      <c r="C900" s="10">
        <f>IFERROR(DATEVALUE(MID(B900,4,2) &amp; "/" &amp; LEFT(B900,2) &amp; "/" &amp; RIGHT(B900,4)), IF(ISNUMBER(B900), B900, IFERROR(DATEVALUE(B900), "")))</f>
        <v>45555</v>
      </c>
      <c r="D900" s="9" t="str">
        <f>IF(B900="","Missing", IF(AND(ISNUMBER(B900)=FALSE, C900=""),"Invalid - Could Not Parse", IF(AND(ISNUMBER(B900)=FALSE, C900&lt;&gt;""),"Text - Converted to Date", IF(ISNUMBER(B900),"Valid","Check"))))</f>
        <v>Text - Converted to Date</v>
      </c>
      <c r="E900" s="5">
        <f t="shared" si="114"/>
        <v>9</v>
      </c>
      <c r="F900" s="5">
        <f t="shared" si="115"/>
        <v>2024</v>
      </c>
      <c r="G900" s="3" t="s">
        <v>3847</v>
      </c>
      <c r="H900" s="9">
        <f>IFERROR(DATEVALUE(TEXT(G900,"DD/MM/YYYY")), IF(ISNUMBER(G900), G900, ""))</f>
        <v>45557</v>
      </c>
      <c r="I900" s="9" t="str">
        <f>IF(G900="","Missing", IF(AND(ISNUMBER(G900)=FALSE, H900=""),"Invalid - Could Not Parse", IF(AND(ISNUMBER(G900)=FALSE, H900&lt;&gt;""),"Text - Converted to Date", IF(ISNUMBER(G900),"Valid","Check"))))</f>
        <v>Text - Converted to Date</v>
      </c>
      <c r="J900" s="9" t="str">
        <f>IF(OR(C900="", H900=""), "Cannot Check - Date Missing", IF(H900&lt;C900, "Invalid - Ship Before Order", "Valid"))</f>
        <v>Valid</v>
      </c>
      <c r="K900" s="5">
        <f>IF(OR(C900="", H900=""), "", IF(H900&lt;C900, "", H900-C900))</f>
        <v>2</v>
      </c>
      <c r="L900" s="3" t="s">
        <v>3848</v>
      </c>
      <c r="M900" s="3" t="s">
        <v>180</v>
      </c>
      <c r="N900" s="4" t="str">
        <f>TRIM(SUBSTITUTE(M900,"_"," "))</f>
        <v>Rohan Mehta</v>
      </c>
      <c r="O900" s="3" t="s">
        <v>115</v>
      </c>
      <c r="P900" s="6" t="str">
        <f>PROPER(TRIM(SUBSTITUTE(O900,".","")))</f>
        <v>Home Office</v>
      </c>
      <c r="Q900" s="3" t="s">
        <v>42</v>
      </c>
      <c r="R900" s="7" t="str">
        <f>PROPER(TRIM(SUBSTITUTE(Q900,"  "," ")))</f>
        <v>East</v>
      </c>
      <c r="S900" s="3" t="s">
        <v>43</v>
      </c>
      <c r="T900" s="6" t="str">
        <f>PROPER(TRIM(SUBSTITUTE(S900,"  "," ")))</f>
        <v>Odisha</v>
      </c>
      <c r="U900" s="3" t="s">
        <v>44</v>
      </c>
      <c r="V900" s="6" t="str">
        <f>PROPER(TRIM(SUBSTITUTE(U900,"  "," ")))</f>
        <v>Bhubaneswar</v>
      </c>
      <c r="W900" s="3" t="s">
        <v>86</v>
      </c>
      <c r="X900" s="6" t="str">
        <f>PROPER(TRIM(SUBSTITUTE(W900,"  "," ")))</f>
        <v>Technology</v>
      </c>
      <c r="Y900" s="3" t="s">
        <v>223</v>
      </c>
      <c r="Z900" s="6" t="str">
        <f>PROPER(TRIM(SUBSTITUTE(Y900,"  "," ")))</f>
        <v>Phones</v>
      </c>
      <c r="AA900" s="3" t="s">
        <v>3849</v>
      </c>
      <c r="AB900" s="3" t="s">
        <v>67</v>
      </c>
      <c r="AC900" s="6" t="str">
        <f>PROPER(TRIM(SUBSTITUTE(AB900,"  "," ")))</f>
        <v>Standard Class</v>
      </c>
      <c r="AD900" s="3">
        <v>8</v>
      </c>
      <c r="AE900" s="3">
        <v>531.42999999999995</v>
      </c>
      <c r="AF900" s="3">
        <v>0.1</v>
      </c>
      <c r="AG900" s="17">
        <v>0.1</v>
      </c>
      <c r="AH900" s="6" t="str">
        <f t="shared" si="116"/>
        <v>Valid</v>
      </c>
      <c r="AI900" s="3">
        <v>3826.3</v>
      </c>
      <c r="AJ900" s="3">
        <v>2194.12</v>
      </c>
      <c r="AK900" s="3">
        <v>1632.18</v>
      </c>
      <c r="AL900" s="3" t="s">
        <v>34</v>
      </c>
      <c r="AM900" s="6" t="str">
        <f>PROPER(TRIM(SUBSTITUTE(AL900,".","")))</f>
        <v>Paid</v>
      </c>
      <c r="AN900" s="3" t="s">
        <v>35</v>
      </c>
      <c r="AO900" s="8" t="str">
        <f>PROPER(TRIM(SUBSTITUTE(AN900,".","")))</f>
        <v>Completed</v>
      </c>
      <c r="AP900" t="str">
        <f>IF(COUNTIF($A$2:$A$933, A900) &gt; 1, "Duplicate ID", "Unique")</f>
        <v>Unique</v>
      </c>
      <c r="AR900">
        <f t="shared" si="117"/>
        <v>3826.2959999999998</v>
      </c>
      <c r="AS900">
        <f t="shared" si="118"/>
        <v>1632.1759999999999</v>
      </c>
      <c r="AT900" s="15">
        <f t="shared" si="119"/>
        <v>0.42656814841298218</v>
      </c>
      <c r="AU900" t="str">
        <f t="shared" si="120"/>
        <v>Clean</v>
      </c>
      <c r="AV900" s="8" t="str">
        <f t="shared" si="121"/>
        <v>Active</v>
      </c>
    </row>
    <row r="901" spans="1:48">
      <c r="A901" s="3" t="s">
        <v>3908</v>
      </c>
      <c r="B901" s="3" t="s">
        <v>3909</v>
      </c>
      <c r="C901" s="10">
        <f>IFERROR(DATEVALUE(MID(B901,4,2) &amp; "/" &amp; LEFT(B901,2) &amp; "/" &amp; RIGHT(B901,4)), IF(ISNUMBER(B901), B901, IFERROR(DATEVALUE(B901), "")))</f>
        <v>45741</v>
      </c>
      <c r="D901" s="9" t="str">
        <f>IF(B901="","Missing", IF(AND(ISNUMBER(B901)=FALSE, C901=""),"Invalid - Could Not Parse", IF(AND(ISNUMBER(B901)=FALSE, C901&lt;&gt;""),"Text - Converted to Date", IF(ISNUMBER(B901),"Valid","Check"))))</f>
        <v>Text - Converted to Date</v>
      </c>
      <c r="E901" s="5">
        <f t="shared" si="114"/>
        <v>3</v>
      </c>
      <c r="F901" s="5">
        <f t="shared" si="115"/>
        <v>2025</v>
      </c>
      <c r="G901" s="3" t="s">
        <v>3910</v>
      </c>
      <c r="H901" s="9">
        <f>IFERROR(DATEVALUE(TEXT(G901,"DD/MM/YYYY")), IF(ISNUMBER(G901), G901, ""))</f>
        <v>45692</v>
      </c>
      <c r="I901" s="9" t="str">
        <f>IF(G901="","Missing", IF(AND(ISNUMBER(G901)=FALSE, H901=""),"Invalid - Could Not Parse", IF(AND(ISNUMBER(G901)=FALSE, H901&lt;&gt;""),"Text - Converted to Date", IF(ISNUMBER(G901),"Valid","Check"))))</f>
        <v>Text - Converted to Date</v>
      </c>
      <c r="J901" s="9" t="str">
        <f>IF(OR(C901="", H901=""), "Cannot Check - Date Missing", IF(H901&lt;C901, "Invalid - Ship Before Order", "Valid"))</f>
        <v>Invalid - Ship Before Order</v>
      </c>
      <c r="K901" s="5" t="str">
        <f>IF(OR(C901="", H901=""), "", IF(H901&lt;C901, "", H901-C901))</f>
        <v/>
      </c>
      <c r="L901" s="3" t="s">
        <v>3911</v>
      </c>
      <c r="M901" s="3" t="s">
        <v>142</v>
      </c>
      <c r="N901" s="4" t="str">
        <f>TRIM(SUBSTITUTE(M901,"_"," "))</f>
        <v>Priya Menon</v>
      </c>
      <c r="O901" s="3" t="s">
        <v>26</v>
      </c>
      <c r="P901" s="6" t="str">
        <f>PROPER(TRIM(SUBSTITUTE(O901,".","")))</f>
        <v>Consumer</v>
      </c>
      <c r="Q901" s="3" t="s">
        <v>62</v>
      </c>
      <c r="R901" s="7" t="str">
        <f>PROPER(TRIM(SUBSTITUTE(Q901,"  "," ")))</f>
        <v>South</v>
      </c>
      <c r="S901" s="3" t="s">
        <v>229</v>
      </c>
      <c r="T901" s="6" t="str">
        <f>PROPER(TRIM(SUBSTITUTE(S901,"  "," ")))</f>
        <v>Karnataka</v>
      </c>
      <c r="U901" s="3" t="s">
        <v>230</v>
      </c>
      <c r="V901" s="6" t="str">
        <f>PROPER(TRIM(SUBSTITUTE(U901,"  "," ")))</f>
        <v>Bengaluru</v>
      </c>
      <c r="W901" s="3" t="s">
        <v>45</v>
      </c>
      <c r="X901" s="6" t="str">
        <f>PROPER(TRIM(SUBSTITUTE(W901,"  "," ")))</f>
        <v>Furniture</v>
      </c>
      <c r="Y901" s="3" t="s">
        <v>204</v>
      </c>
      <c r="Z901" s="6" t="str">
        <f>PROPER(TRIM(SUBSTITUTE(Y901,"  "," ")))</f>
        <v>Bookcases</v>
      </c>
      <c r="AA901" s="3" t="s">
        <v>3912</v>
      </c>
      <c r="AB901" s="3" t="s">
        <v>33</v>
      </c>
      <c r="AC901" s="6" t="str">
        <f>PROPER(TRIM(SUBSTITUTE(AB901,"  "," ")))</f>
        <v>Second Class</v>
      </c>
      <c r="AD901" s="3">
        <v>4</v>
      </c>
      <c r="AE901" s="3">
        <v>2233.64</v>
      </c>
      <c r="AF901" s="3">
        <v>0.05</v>
      </c>
      <c r="AG901" s="17">
        <v>0.05</v>
      </c>
      <c r="AH901" s="6" t="str">
        <f t="shared" si="116"/>
        <v>Valid</v>
      </c>
      <c r="AI901" s="3">
        <v>8487.83</v>
      </c>
      <c r="AJ901" s="3">
        <v>5245.72</v>
      </c>
      <c r="AK901" s="3">
        <v>3242.11</v>
      </c>
      <c r="AL901" s="3" t="s">
        <v>34</v>
      </c>
      <c r="AM901" s="6" t="str">
        <f>PROPER(TRIM(SUBSTITUTE(AL901,".","")))</f>
        <v>Paid</v>
      </c>
      <c r="AN901" s="3" t="s">
        <v>35</v>
      </c>
      <c r="AO901" s="8" t="str">
        <f>PROPER(TRIM(SUBSTITUTE(AN901,".","")))</f>
        <v>Completed</v>
      </c>
      <c r="AP901" t="str">
        <f>IF(COUNTIF($A$2:$A$933, A901) &gt; 1, "Duplicate ID", "Unique")</f>
        <v>Unique</v>
      </c>
      <c r="AR901">
        <f t="shared" si="117"/>
        <v>8487.8319999999985</v>
      </c>
      <c r="AS901">
        <f t="shared" si="118"/>
        <v>3242.1119999999983</v>
      </c>
      <c r="AT901" s="15">
        <f t="shared" si="119"/>
        <v>0.38197174496384928</v>
      </c>
      <c r="AU901" t="str">
        <f t="shared" si="120"/>
        <v>Invalid</v>
      </c>
      <c r="AV901" s="8" t="str">
        <f t="shared" si="121"/>
        <v>Active</v>
      </c>
    </row>
    <row r="902" spans="1:48">
      <c r="A902" s="3" t="s">
        <v>3927</v>
      </c>
      <c r="B902" s="3" t="s">
        <v>3505</v>
      </c>
      <c r="C902" s="10">
        <f>IFERROR(DATEVALUE(MID(B902,4,2) &amp; "/" &amp; LEFT(B902,2) &amp; "/" &amp; RIGHT(B902,4)), IF(ISNUMBER(B902), B902, IFERROR(DATEVALUE(B902), "")))</f>
        <v>45592</v>
      </c>
      <c r="D902" s="9" t="str">
        <f>IF(B902="","Missing", IF(AND(ISNUMBER(B902)=FALSE, C902=""),"Invalid - Could Not Parse", IF(AND(ISNUMBER(B902)=FALSE, C902&lt;&gt;""),"Text - Converted to Date", IF(ISNUMBER(B902),"Valid","Check"))))</f>
        <v>Text - Converted to Date</v>
      </c>
      <c r="E902" s="5">
        <f t="shared" si="114"/>
        <v>10</v>
      </c>
      <c r="F902" s="5">
        <f t="shared" si="115"/>
        <v>2024</v>
      </c>
      <c r="G902" s="3" t="s">
        <v>3928</v>
      </c>
      <c r="H902" s="9">
        <f>IFERROR(DATEVALUE(TEXT(G902,"DD/MM/YYYY")), IF(ISNUMBER(G902), G902, ""))</f>
        <v>45597</v>
      </c>
      <c r="I902" s="9" t="str">
        <f>IF(G902="","Missing", IF(AND(ISNUMBER(G902)=FALSE, H902=""),"Invalid - Could Not Parse", IF(AND(ISNUMBER(G902)=FALSE, H902&lt;&gt;""),"Text - Converted to Date", IF(ISNUMBER(G902),"Valid","Check"))))</f>
        <v>Text - Converted to Date</v>
      </c>
      <c r="J902" s="9" t="str">
        <f>IF(OR(C902="", H902=""), "Cannot Check - Date Missing", IF(H902&lt;C902, "Invalid - Ship Before Order", "Valid"))</f>
        <v>Valid</v>
      </c>
      <c r="K902" s="5">
        <f>IF(OR(C902="", H902=""), "", IF(H902&lt;C902, "", H902-C902))</f>
        <v>5</v>
      </c>
      <c r="L902" s="3" t="s">
        <v>3929</v>
      </c>
      <c r="M902" s="3" t="s">
        <v>107</v>
      </c>
      <c r="N902" s="4" t="str">
        <f>TRIM(SUBSTITUTE(M902,"_"," "))</f>
        <v>Aditi Sen</v>
      </c>
      <c r="O902" s="3" t="s">
        <v>108</v>
      </c>
      <c r="P902" s="6" t="str">
        <f>PROPER(TRIM(SUBSTITUTE(O902,".","")))</f>
        <v>Corporate</v>
      </c>
      <c r="Q902" s="3" t="s">
        <v>62</v>
      </c>
      <c r="R902" s="7" t="str">
        <f>PROPER(TRIM(SUBSTITUTE(Q902,"  "," ")))</f>
        <v>South</v>
      </c>
      <c r="S902" s="3" t="s">
        <v>339</v>
      </c>
      <c r="T902" s="6" t="str">
        <f>PROPER(TRIM(SUBSTITUTE(S902,"  "," ")))</f>
        <v>Tamil Nadu</v>
      </c>
      <c r="U902" s="3" t="s">
        <v>340</v>
      </c>
      <c r="V902" s="6" t="str">
        <f>PROPER(TRIM(SUBSTITUTE(U902,"  "," ")))</f>
        <v>Chennai</v>
      </c>
      <c r="W902" s="3" t="s">
        <v>86</v>
      </c>
      <c r="X902" s="6" t="str">
        <f>PROPER(TRIM(SUBSTITUTE(W902,"  "," ")))</f>
        <v>Technology</v>
      </c>
      <c r="Y902" s="3" t="s">
        <v>223</v>
      </c>
      <c r="Z902" s="6" t="str">
        <f>PROPER(TRIM(SUBSTITUTE(Y902,"  "," ")))</f>
        <v>Phones</v>
      </c>
      <c r="AA902" s="3" t="s">
        <v>3930</v>
      </c>
      <c r="AB902" s="3" t="s">
        <v>67</v>
      </c>
      <c r="AC902" s="6" t="str">
        <f>PROPER(TRIM(SUBSTITUTE(AB902,"  "," ")))</f>
        <v>Standard Class</v>
      </c>
      <c r="AD902" s="3">
        <v>6</v>
      </c>
      <c r="AE902" s="3">
        <v>4399.2</v>
      </c>
      <c r="AF902" s="3">
        <v>0.05</v>
      </c>
      <c r="AG902" s="17">
        <v>0.05</v>
      </c>
      <c r="AH902" s="6" t="str">
        <f t="shared" si="116"/>
        <v>Valid</v>
      </c>
      <c r="AI902" s="3">
        <v>25075.439999999999</v>
      </c>
      <c r="AJ902" s="3">
        <v>16282.74</v>
      </c>
      <c r="AK902" s="3">
        <v>8792.7000000000007</v>
      </c>
      <c r="AL902" s="3" t="s">
        <v>34</v>
      </c>
      <c r="AM902" s="6" t="str">
        <f>PROPER(TRIM(SUBSTITUTE(AL902,".","")))</f>
        <v>Paid</v>
      </c>
      <c r="AN902" s="3" t="s">
        <v>35</v>
      </c>
      <c r="AO902" s="8" t="str">
        <f>PROPER(TRIM(SUBSTITUTE(AN902,".","")))</f>
        <v>Completed</v>
      </c>
      <c r="AP902" t="str">
        <f>IF(COUNTIF($A$2:$A$933, A902) &gt; 1, "Duplicate ID", "Unique")</f>
        <v>Unique</v>
      </c>
      <c r="AR902">
        <f t="shared" si="117"/>
        <v>25075.439999999995</v>
      </c>
      <c r="AS902">
        <f t="shared" si="118"/>
        <v>8792.6999999999953</v>
      </c>
      <c r="AT902" s="15">
        <f t="shared" si="119"/>
        <v>0.35064987892535471</v>
      </c>
      <c r="AU902" t="str">
        <f t="shared" si="120"/>
        <v>Clean</v>
      </c>
      <c r="AV902" s="8" t="str">
        <f t="shared" si="121"/>
        <v>Active</v>
      </c>
    </row>
    <row r="903" spans="1:48">
      <c r="A903" s="3" t="s">
        <v>3955</v>
      </c>
      <c r="B903" s="3" t="s">
        <v>1186</v>
      </c>
      <c r="C903" s="10">
        <f>IFERROR(DATEVALUE(MID(B903,4,2) &amp; "/" &amp; LEFT(B903,2) &amp; "/" &amp; RIGHT(B903,4)), IF(ISNUMBER(B903), B903, IFERROR(DATEVALUE(B903), "")))</f>
        <v>45714</v>
      </c>
      <c r="D903" s="9" t="str">
        <f>IF(B903="","Missing", IF(AND(ISNUMBER(B903)=FALSE, C903=""),"Invalid - Could Not Parse", IF(AND(ISNUMBER(B903)=FALSE, C903&lt;&gt;""),"Text - Converted to Date", IF(ISNUMBER(B903),"Valid","Check"))))</f>
        <v>Text - Converted to Date</v>
      </c>
      <c r="E903" s="5">
        <f t="shared" si="114"/>
        <v>2</v>
      </c>
      <c r="F903" s="5">
        <f t="shared" si="115"/>
        <v>2025</v>
      </c>
      <c r="G903" s="3" t="s">
        <v>3956</v>
      </c>
      <c r="H903" s="9">
        <f>IFERROR(DATEVALUE(TEXT(G903,"DD/MM/YYYY")), IF(ISNUMBER(G903), G903, ""))</f>
        <v>45722</v>
      </c>
      <c r="I903" s="9" t="str">
        <f>IF(G903="","Missing", IF(AND(ISNUMBER(G903)=FALSE, H903=""),"Invalid - Could Not Parse", IF(AND(ISNUMBER(G903)=FALSE, H903&lt;&gt;""),"Text - Converted to Date", IF(ISNUMBER(G903),"Valid","Check"))))</f>
        <v>Text - Converted to Date</v>
      </c>
      <c r="J903" s="9" t="str">
        <f>IF(OR(C903="", H903=""), "Cannot Check - Date Missing", IF(H903&lt;C903, "Invalid - Ship Before Order", "Valid"))</f>
        <v>Valid</v>
      </c>
      <c r="K903" s="5">
        <f>IF(OR(C903="", H903=""), "", IF(H903&lt;C903, "", H903-C903))</f>
        <v>8</v>
      </c>
      <c r="L903" s="3" t="s">
        <v>3957</v>
      </c>
      <c r="M903" s="3" t="s">
        <v>142</v>
      </c>
      <c r="N903" s="4" t="str">
        <f>TRIM(SUBSTITUTE(M903,"_"," "))</f>
        <v>Priya Menon</v>
      </c>
      <c r="O903" s="3" t="s">
        <v>26</v>
      </c>
      <c r="P903" s="6" t="str">
        <f>PROPER(TRIM(SUBSTITUTE(O903,".","")))</f>
        <v>Consumer</v>
      </c>
      <c r="Q903" s="3" t="s">
        <v>42</v>
      </c>
      <c r="R903" s="7" t="str">
        <f>PROPER(TRIM(SUBSTITUTE(Q903,"  "," ")))</f>
        <v>East</v>
      </c>
      <c r="S903" s="3" t="s">
        <v>186</v>
      </c>
      <c r="T903" s="6" t="str">
        <f>PROPER(TRIM(SUBSTITUTE(S903,"  "," ")))</f>
        <v>Bihar</v>
      </c>
      <c r="U903" s="3" t="s">
        <v>187</v>
      </c>
      <c r="V903" s="6" t="str">
        <f>PROPER(TRIM(SUBSTITUTE(U903,"  "," ")))</f>
        <v>Patna</v>
      </c>
      <c r="W903" s="3" t="s">
        <v>45</v>
      </c>
      <c r="X903" s="6" t="str">
        <f>PROPER(TRIM(SUBSTITUTE(W903,"  "," ")))</f>
        <v>Furniture</v>
      </c>
      <c r="Y903" s="3" t="s">
        <v>204</v>
      </c>
      <c r="Z903" s="6" t="str">
        <f>PROPER(TRIM(SUBSTITUTE(Y903,"  "," ")))</f>
        <v>Bookcases</v>
      </c>
      <c r="AA903" s="3" t="s">
        <v>3958</v>
      </c>
      <c r="AB903" s="3" t="s">
        <v>56</v>
      </c>
      <c r="AC903" s="6" t="str">
        <f>PROPER(TRIM(SUBSTITUTE(AB903,"  "," ")))</f>
        <v>First Class</v>
      </c>
      <c r="AD903" s="3">
        <v>9</v>
      </c>
      <c r="AE903" s="3">
        <v>3043.37</v>
      </c>
      <c r="AF903" s="3">
        <v>0.2</v>
      </c>
      <c r="AG903" s="17">
        <v>0.2</v>
      </c>
      <c r="AH903" s="6" t="str">
        <f t="shared" si="116"/>
        <v>Valid</v>
      </c>
      <c r="AI903" s="3">
        <v>21912.26</v>
      </c>
      <c r="AJ903" s="3">
        <v>16367.78</v>
      </c>
      <c r="AK903" s="3">
        <v>5544.48</v>
      </c>
      <c r="AL903" s="3" t="s">
        <v>137</v>
      </c>
      <c r="AM903" s="6" t="str">
        <f>PROPER(TRIM(SUBSTITUTE(AL903,".","")))</f>
        <v>Pending</v>
      </c>
      <c r="AN903" s="3" t="s">
        <v>78</v>
      </c>
      <c r="AO903" s="8" t="str">
        <f>PROPER(TRIM(SUBSTITUTE(AN903,".","")))</f>
        <v>Cancelled</v>
      </c>
      <c r="AP903" t="str">
        <f>IF(COUNTIF($A$2:$A$933, A903) &gt; 1, "Duplicate ID", "Unique")</f>
        <v>Unique</v>
      </c>
      <c r="AR903">
        <f t="shared" si="117"/>
        <v>21912.263999999999</v>
      </c>
      <c r="AS903">
        <f t="shared" si="118"/>
        <v>5544.4839999999986</v>
      </c>
      <c r="AT903" s="15">
        <f t="shared" si="119"/>
        <v>0.25303108797885965</v>
      </c>
      <c r="AU903" t="str">
        <f t="shared" si="120"/>
        <v>Clean</v>
      </c>
      <c r="AV903" s="8" t="str">
        <f t="shared" si="121"/>
        <v>Cancelled</v>
      </c>
    </row>
    <row r="904" spans="1:48">
      <c r="A904" s="3" t="s">
        <v>3975</v>
      </c>
      <c r="B904" s="3" t="s">
        <v>3976</v>
      </c>
      <c r="C904" s="10">
        <f>IFERROR(DATEVALUE(MID(B904,4,2) &amp; "/" &amp; LEFT(B904,2) &amp; "/" &amp; RIGHT(B904,4)), IF(ISNUMBER(B904), B904, IFERROR(DATEVALUE(B904), "")))</f>
        <v>45342</v>
      </c>
      <c r="D904" s="9" t="str">
        <f>IF(B904="","Missing", IF(AND(ISNUMBER(B904)=FALSE, C904=""),"Invalid - Could Not Parse", IF(AND(ISNUMBER(B904)=FALSE, C904&lt;&gt;""),"Text - Converted to Date", IF(ISNUMBER(B904),"Valid","Check"))))</f>
        <v>Text - Converted to Date</v>
      </c>
      <c r="E904" s="5">
        <f t="shared" si="114"/>
        <v>2</v>
      </c>
      <c r="F904" s="5">
        <f t="shared" si="115"/>
        <v>2024</v>
      </c>
      <c r="G904" s="3" t="s">
        <v>2830</v>
      </c>
      <c r="H904" s="9">
        <f>IFERROR(DATEVALUE(TEXT(G904,"DD/MM/YYYY")), IF(ISNUMBER(G904), G904, ""))</f>
        <v>45344</v>
      </c>
      <c r="I904" s="9" t="str">
        <f>IF(G904="","Missing", IF(AND(ISNUMBER(G904)=FALSE, H904=""),"Invalid - Could Not Parse", IF(AND(ISNUMBER(G904)=FALSE, H904&lt;&gt;""),"Text - Converted to Date", IF(ISNUMBER(G904),"Valid","Check"))))</f>
        <v>Text - Converted to Date</v>
      </c>
      <c r="J904" s="9" t="str">
        <f>IF(OR(C904="", H904=""), "Cannot Check - Date Missing", IF(H904&lt;C904, "Invalid - Ship Before Order", "Valid"))</f>
        <v>Valid</v>
      </c>
      <c r="K904" s="5">
        <f>IF(OR(C904="", H904=""), "", IF(H904&lt;C904, "", H904-C904))</f>
        <v>2</v>
      </c>
      <c r="L904" s="3" t="s">
        <v>3795</v>
      </c>
      <c r="M904" s="3" t="s">
        <v>93</v>
      </c>
      <c r="N904" s="4" t="str">
        <f>TRIM(SUBSTITUTE(M904,"_"," "))</f>
        <v>Neha Gupta</v>
      </c>
      <c r="O904" s="3" t="s">
        <v>41</v>
      </c>
      <c r="P904" s="6" t="str">
        <f>PROPER(TRIM(SUBSTITUTE(O904,".","")))</f>
        <v>Small Business</v>
      </c>
      <c r="Q904" s="3" t="s">
        <v>62</v>
      </c>
      <c r="R904" s="7" t="str">
        <f>PROPER(TRIM(SUBSTITUTE(Q904,"  "," ")))</f>
        <v>South</v>
      </c>
      <c r="S904" s="3" t="s">
        <v>63</v>
      </c>
      <c r="T904" s="6" t="str">
        <f>PROPER(TRIM(SUBSTITUTE(S904,"  "," ")))</f>
        <v>Telangana</v>
      </c>
      <c r="U904" s="3" t="s">
        <v>64</v>
      </c>
      <c r="V904" s="6" t="str">
        <f>PROPER(TRIM(SUBSTITUTE(U904,"  "," ")))</f>
        <v>Hyderabad</v>
      </c>
      <c r="W904" s="3" t="s">
        <v>86</v>
      </c>
      <c r="X904" s="6" t="str">
        <f>PROPER(TRIM(SUBSTITUTE(W904,"  "," ")))</f>
        <v>Technology</v>
      </c>
      <c r="Y904" s="3" t="s">
        <v>87</v>
      </c>
      <c r="Z904" s="6" t="str">
        <f>PROPER(TRIM(SUBSTITUTE(Y904,"  "," ")))</f>
        <v>Accessories</v>
      </c>
      <c r="AA904" s="3" t="s">
        <v>3977</v>
      </c>
      <c r="AB904" s="3" t="s">
        <v>56</v>
      </c>
      <c r="AC904" s="6" t="str">
        <f>PROPER(TRIM(SUBSTITUTE(AB904,"  "," ")))</f>
        <v>First Class</v>
      </c>
      <c r="AD904" s="3">
        <v>9</v>
      </c>
      <c r="AE904" s="3">
        <v>2186.23</v>
      </c>
      <c r="AF904" s="3">
        <v>0</v>
      </c>
      <c r="AG904" s="17">
        <v>0</v>
      </c>
      <c r="AH904" s="6" t="str">
        <f t="shared" si="116"/>
        <v>Valid</v>
      </c>
      <c r="AI904" s="3">
        <v>19676.07</v>
      </c>
      <c r="AJ904" s="3">
        <v>12458.62</v>
      </c>
      <c r="AK904" s="3">
        <v>7217.45</v>
      </c>
      <c r="AL904" s="3" t="s">
        <v>124</v>
      </c>
      <c r="AM904" s="6" t="str">
        <f>PROPER(TRIM(SUBSTITUTE(AL904,".","")))</f>
        <v>Refunded</v>
      </c>
      <c r="AN904" s="3" t="s">
        <v>78</v>
      </c>
      <c r="AO904" s="8" t="str">
        <f>PROPER(TRIM(SUBSTITUTE(AN904,".","")))</f>
        <v>Cancelled</v>
      </c>
      <c r="AP904" t="str">
        <f>IF(COUNTIF($A$2:$A$933, A904) &gt; 1, "Duplicate ID", "Unique")</f>
        <v>Unique</v>
      </c>
      <c r="AR904">
        <f t="shared" si="117"/>
        <v>19676.07</v>
      </c>
      <c r="AS904">
        <f t="shared" si="118"/>
        <v>7217.4499999999989</v>
      </c>
      <c r="AT904" s="15">
        <f t="shared" si="119"/>
        <v>0.36681359641432454</v>
      </c>
      <c r="AU904" t="str">
        <f t="shared" si="120"/>
        <v>Clean</v>
      </c>
      <c r="AV904" s="8" t="str">
        <f t="shared" si="121"/>
        <v>Refund</v>
      </c>
    </row>
    <row r="905" spans="1:48">
      <c r="A905" s="3" t="s">
        <v>3994</v>
      </c>
      <c r="B905" s="3" t="s">
        <v>3995</v>
      </c>
      <c r="C905" s="10">
        <f>IFERROR(DATEVALUE(MID(B905,4,2) &amp; "/" &amp; LEFT(B905,2) &amp; "/" &amp; RIGHT(B905,4)), IF(ISNUMBER(B905), B905, IFERROR(DATEVALUE(B905), "")))</f>
        <v>45614</v>
      </c>
      <c r="D905" s="9" t="str">
        <f>IF(B905="","Missing", IF(AND(ISNUMBER(B905)=FALSE, C905=""),"Invalid - Could Not Parse", IF(AND(ISNUMBER(B905)=FALSE, C905&lt;&gt;""),"Text - Converted to Date", IF(ISNUMBER(B905),"Valid","Check"))))</f>
        <v>Text - Converted to Date</v>
      </c>
      <c r="E905" s="5">
        <f t="shared" si="114"/>
        <v>11</v>
      </c>
      <c r="F905" s="5">
        <f t="shared" si="115"/>
        <v>2024</v>
      </c>
      <c r="G905" s="3" t="s">
        <v>3996</v>
      </c>
      <c r="H905" s="9">
        <f>IFERROR(DATEVALUE(TEXT(G905,"DD/MM/YYYY")), IF(ISNUMBER(G905), G905, ""))</f>
        <v>45616</v>
      </c>
      <c r="I905" s="9" t="str">
        <f>IF(G905="","Missing", IF(AND(ISNUMBER(G905)=FALSE, H905=""),"Invalid - Could Not Parse", IF(AND(ISNUMBER(G905)=FALSE, H905&lt;&gt;""),"Text - Converted to Date", IF(ISNUMBER(G905),"Valid","Check"))))</f>
        <v>Text - Converted to Date</v>
      </c>
      <c r="J905" s="9" t="str">
        <f>IF(OR(C905="", H905=""), "Cannot Check - Date Missing", IF(H905&lt;C905, "Invalid - Ship Before Order", "Valid"))</f>
        <v>Valid</v>
      </c>
      <c r="K905" s="5">
        <f>IF(OR(C905="", H905=""), "", IF(H905&lt;C905, "", H905-C905))</f>
        <v>2</v>
      </c>
      <c r="L905" s="3" t="s">
        <v>3997</v>
      </c>
      <c r="M905" s="3" t="s">
        <v>142</v>
      </c>
      <c r="N905" s="4" t="str">
        <f>TRIM(SUBSTITUTE(M905,"_"," "))</f>
        <v>Priya Menon</v>
      </c>
      <c r="O905" s="3" t="s">
        <v>26</v>
      </c>
      <c r="P905" s="6" t="str">
        <f>PROPER(TRIM(SUBSTITUTE(O905,".","")))</f>
        <v>Consumer</v>
      </c>
      <c r="Q905" s="3" t="s">
        <v>73</v>
      </c>
      <c r="R905" s="7" t="str">
        <f>PROPER(TRIM(SUBSTITUTE(Q905,"  "," ")))</f>
        <v>West</v>
      </c>
      <c r="S905" s="3" t="s">
        <v>28</v>
      </c>
      <c r="T905" s="6" t="str">
        <f>PROPER(TRIM(SUBSTITUTE(S905,"  "," ")))</f>
        <v>Rajasthan</v>
      </c>
      <c r="U905" s="3" t="s">
        <v>135</v>
      </c>
      <c r="V905" s="6" t="str">
        <f>PROPER(TRIM(SUBSTITUTE(U905,"  "," ")))</f>
        <v>Udaipur</v>
      </c>
      <c r="W905" s="3" t="s">
        <v>45</v>
      </c>
      <c r="X905" s="6" t="str">
        <f>PROPER(TRIM(SUBSTITUTE(W905,"  "," ")))</f>
        <v>Furniture</v>
      </c>
      <c r="Y905" s="3" t="s">
        <v>76</v>
      </c>
      <c r="Z905" s="6" t="str">
        <f>PROPER(TRIM(SUBSTITUTE(Y905,"  "," ")))</f>
        <v>Chairs</v>
      </c>
      <c r="AA905" s="3" t="s">
        <v>1291</v>
      </c>
      <c r="AB905" s="3" t="s">
        <v>56</v>
      </c>
      <c r="AC905" s="6" t="str">
        <f>PROPER(TRIM(SUBSTITUTE(AB905,"  "," ")))</f>
        <v>First Class</v>
      </c>
      <c r="AD905" s="3">
        <v>6</v>
      </c>
      <c r="AE905" s="3">
        <v>3790.22</v>
      </c>
      <c r="AF905" s="3">
        <v>0</v>
      </c>
      <c r="AG905" s="17">
        <v>0</v>
      </c>
      <c r="AH905" s="6" t="str">
        <f t="shared" si="116"/>
        <v>Valid</v>
      </c>
      <c r="AI905" s="3">
        <v>22741.32</v>
      </c>
      <c r="AJ905" s="3">
        <v>16388.57</v>
      </c>
      <c r="AK905" s="3">
        <v>6352.75</v>
      </c>
      <c r="AL905" s="3" t="s">
        <v>34</v>
      </c>
      <c r="AM905" s="6" t="str">
        <f>PROPER(TRIM(SUBSTITUTE(AL905,".","")))</f>
        <v>Paid</v>
      </c>
      <c r="AN905" s="3" t="s">
        <v>35</v>
      </c>
      <c r="AO905" s="8" t="str">
        <f>PROPER(TRIM(SUBSTITUTE(AN905,".","")))</f>
        <v>Completed</v>
      </c>
      <c r="AP905" t="str">
        <f>IF(COUNTIF($A$2:$A$933, A905) &gt; 1, "Duplicate ID", "Unique")</f>
        <v>Unique</v>
      </c>
      <c r="AR905">
        <f t="shared" si="117"/>
        <v>22741.32</v>
      </c>
      <c r="AS905">
        <f t="shared" si="118"/>
        <v>6352.75</v>
      </c>
      <c r="AT905" s="15">
        <f t="shared" si="119"/>
        <v>0.27934834037777928</v>
      </c>
      <c r="AU905" t="str">
        <f t="shared" si="120"/>
        <v>Clean</v>
      </c>
      <c r="AV905" s="8" t="str">
        <f t="shared" si="121"/>
        <v>Active</v>
      </c>
    </row>
    <row r="906" spans="1:48">
      <c r="A906" s="3" t="s">
        <v>4074</v>
      </c>
      <c r="B906" s="3" t="s">
        <v>4075</v>
      </c>
      <c r="C906" s="10">
        <f>IFERROR(DATEVALUE(MID(B906,4,2) &amp; "/" &amp; LEFT(B906,2) &amp; "/" &amp; RIGHT(B906,4)), IF(ISNUMBER(B906), B906, IFERROR(DATEVALUE(B906), "")))</f>
        <v>45650</v>
      </c>
      <c r="D906" s="9" t="str">
        <f>IF(B906="","Missing", IF(AND(ISNUMBER(B906)=FALSE, C906=""),"Invalid - Could Not Parse", IF(AND(ISNUMBER(B906)=FALSE, C906&lt;&gt;""),"Text - Converted to Date", IF(ISNUMBER(B906),"Valid","Check"))))</f>
        <v>Text - Converted to Date</v>
      </c>
      <c r="E906" s="5">
        <f t="shared" si="114"/>
        <v>12</v>
      </c>
      <c r="F906" s="5">
        <f t="shared" si="115"/>
        <v>2024</v>
      </c>
      <c r="G906" s="3" t="s">
        <v>2358</v>
      </c>
      <c r="H906" s="9">
        <f>IFERROR(DATEVALUE(TEXT(G906,"DD/MM/YYYY")), IF(ISNUMBER(G906), G906, ""))</f>
        <v>45651</v>
      </c>
      <c r="I906" s="9" t="str">
        <f>IF(G906="","Missing", IF(AND(ISNUMBER(G906)=FALSE, H906=""),"Invalid - Could Not Parse", IF(AND(ISNUMBER(G906)=FALSE, H906&lt;&gt;""),"Text - Converted to Date", IF(ISNUMBER(G906),"Valid","Check"))))</f>
        <v>Text - Converted to Date</v>
      </c>
      <c r="J906" s="9" t="str">
        <f>IF(OR(C906="", H906=""), "Cannot Check - Date Missing", IF(H906&lt;C906, "Invalid - Ship Before Order", "Valid"))</f>
        <v>Valid</v>
      </c>
      <c r="K906" s="5">
        <f>IF(OR(C906="", H906=""), "", IF(H906&lt;C906, "", H906-C906))</f>
        <v>1</v>
      </c>
      <c r="L906" s="3" t="s">
        <v>4076</v>
      </c>
      <c r="M906" s="3" t="s">
        <v>72</v>
      </c>
      <c r="N906" s="4" t="str">
        <f>TRIM(SUBSTITUTE(M906,"_"," "))</f>
        <v>Ananya Rao</v>
      </c>
      <c r="O906" s="3" t="s">
        <v>41</v>
      </c>
      <c r="P906" s="6" t="str">
        <f>PROPER(TRIM(SUBSTITUTE(O906,".","")))</f>
        <v>Small Business</v>
      </c>
      <c r="Q906" s="3" t="s">
        <v>62</v>
      </c>
      <c r="R906" s="7" t="str">
        <f>PROPER(TRIM(SUBSTITUTE(Q906,"  "," ")))</f>
        <v>South</v>
      </c>
      <c r="S906" s="3" t="s">
        <v>339</v>
      </c>
      <c r="T906" s="6" t="str">
        <f>PROPER(TRIM(SUBSTITUTE(S906,"  "," ")))</f>
        <v>Tamil Nadu</v>
      </c>
      <c r="U906" s="3" t="s">
        <v>340</v>
      </c>
      <c r="V906" s="6" t="str">
        <f>PROPER(TRIM(SUBSTITUTE(U906,"  "," ")))</f>
        <v>Chennai</v>
      </c>
      <c r="W906" s="3" t="s">
        <v>86</v>
      </c>
      <c r="X906" s="6" t="str">
        <f>PROPER(TRIM(SUBSTITUTE(W906,"  "," ")))</f>
        <v>Technology</v>
      </c>
      <c r="Y906" s="3" t="s">
        <v>94</v>
      </c>
      <c r="Z906" s="6" t="str">
        <f>PROPER(TRIM(SUBSTITUTE(Y906,"  "," ")))</f>
        <v>Copiers</v>
      </c>
      <c r="AA906" s="3" t="s">
        <v>4077</v>
      </c>
      <c r="AB906" s="3" t="s">
        <v>33</v>
      </c>
      <c r="AC906" s="6" t="str">
        <f>PROPER(TRIM(SUBSTITUTE(AB906,"  "," ")))</f>
        <v>Second Class</v>
      </c>
      <c r="AD906" s="3">
        <v>1</v>
      </c>
      <c r="AE906" s="3">
        <v>3693.03</v>
      </c>
      <c r="AF906" s="3">
        <v>0.05</v>
      </c>
      <c r="AG906" s="17">
        <v>0.05</v>
      </c>
      <c r="AH906" s="6" t="str">
        <f t="shared" si="116"/>
        <v>Valid</v>
      </c>
      <c r="AI906" s="3">
        <v>3508.38</v>
      </c>
      <c r="AJ906" s="3">
        <v>2828.06</v>
      </c>
      <c r="AK906" s="3">
        <v>680.32</v>
      </c>
      <c r="AL906" s="3" t="s">
        <v>200</v>
      </c>
      <c r="AM906" s="6" t="str">
        <f>PROPER(TRIM(SUBSTITUTE(AL906,".","")))</f>
        <v>Failed</v>
      </c>
      <c r="AN906" s="3" t="s">
        <v>125</v>
      </c>
      <c r="AO906" s="8" t="str">
        <f>PROPER(TRIM(SUBSTITUTE(AN906,".","")))</f>
        <v>Returned</v>
      </c>
      <c r="AP906" t="str">
        <f>IF(COUNTIF($A$2:$A$933, A906) &gt; 1, "Duplicate ID", "Unique")</f>
        <v>Unique</v>
      </c>
      <c r="AR906">
        <f t="shared" si="117"/>
        <v>3508.3784999999998</v>
      </c>
      <c r="AS906">
        <f t="shared" si="118"/>
        <v>680.31849999999986</v>
      </c>
      <c r="AT906" s="15">
        <f t="shared" si="119"/>
        <v>0.19391251542557336</v>
      </c>
      <c r="AU906" t="str">
        <f t="shared" si="120"/>
        <v>Clean</v>
      </c>
      <c r="AV906" s="8" t="str">
        <f t="shared" si="121"/>
        <v>Active</v>
      </c>
    </row>
    <row r="907" spans="1:48">
      <c r="A907" s="3" t="s">
        <v>4078</v>
      </c>
      <c r="B907" s="3" t="s">
        <v>1181</v>
      </c>
      <c r="C907" s="10">
        <f>IFERROR(DATEVALUE(MID(B907,4,2) &amp; "/" &amp; LEFT(B907,2) &amp; "/" &amp; RIGHT(B907,4)), IF(ISNUMBER(B907), B907, IFERROR(DATEVALUE(B907), "")))</f>
        <v>45776</v>
      </c>
      <c r="D907" s="9" t="str">
        <f>IF(B907="","Missing", IF(AND(ISNUMBER(B907)=FALSE, C907=""),"Invalid - Could Not Parse", IF(AND(ISNUMBER(B907)=FALSE, C907&lt;&gt;""),"Text - Converted to Date", IF(ISNUMBER(B907),"Valid","Check"))))</f>
        <v>Text - Converted to Date</v>
      </c>
      <c r="E907" s="5">
        <f t="shared" si="114"/>
        <v>4</v>
      </c>
      <c r="F907" s="5">
        <f t="shared" si="115"/>
        <v>2025</v>
      </c>
      <c r="G907" s="3" t="s">
        <v>4079</v>
      </c>
      <c r="H907" s="9">
        <f>IFERROR(DATEVALUE(TEXT(G907,"DD/MM/YYYY")), IF(ISNUMBER(G907), G907, ""))</f>
        <v>45780</v>
      </c>
      <c r="I907" s="9" t="str">
        <f>IF(G907="","Missing", IF(AND(ISNUMBER(G907)=FALSE, H907=""),"Invalid - Could Not Parse", IF(AND(ISNUMBER(G907)=FALSE, H907&lt;&gt;""),"Text - Converted to Date", IF(ISNUMBER(G907),"Valid","Check"))))</f>
        <v>Text - Converted to Date</v>
      </c>
      <c r="J907" s="9" t="str">
        <f>IF(OR(C907="", H907=""), "Cannot Check - Date Missing", IF(H907&lt;C907, "Invalid - Ship Before Order", "Valid"))</f>
        <v>Valid</v>
      </c>
      <c r="K907" s="5">
        <f>IF(OR(C907="", H907=""), "", IF(H907&lt;C907, "", H907-C907))</f>
        <v>4</v>
      </c>
      <c r="L907" s="3" t="s">
        <v>3200</v>
      </c>
      <c r="M907" s="3" t="s">
        <v>180</v>
      </c>
      <c r="N907" s="4" t="str">
        <f>TRIM(SUBSTITUTE(M907,"_"," "))</f>
        <v>Rohan Mehta</v>
      </c>
      <c r="O907" s="3" t="s">
        <v>108</v>
      </c>
      <c r="P907" s="6" t="str">
        <f>PROPER(TRIM(SUBSTITUTE(O907,".","")))</f>
        <v>Corporate</v>
      </c>
      <c r="Q907" s="3" t="s">
        <v>27</v>
      </c>
      <c r="R907" s="7" t="str">
        <f>PROPER(TRIM(SUBSTITUTE(Q907,"  "," ")))</f>
        <v>North</v>
      </c>
      <c r="S907" s="3" t="s">
        <v>323</v>
      </c>
      <c r="T907" s="6" t="str">
        <f>PROPER(TRIM(SUBSTITUTE(S907,"  "," ")))</f>
        <v>Haryana</v>
      </c>
      <c r="U907" s="3" t="s">
        <v>324</v>
      </c>
      <c r="V907" s="6" t="str">
        <f>PROPER(TRIM(SUBSTITUTE(U907,"  "," ")))</f>
        <v>Gurugram</v>
      </c>
      <c r="W907" s="3" t="s">
        <v>30</v>
      </c>
      <c r="X907" s="6" t="str">
        <f>PROPER(TRIM(SUBSTITUTE(W907,"  "," ")))</f>
        <v>Office Supplies</v>
      </c>
      <c r="Y907" s="3" t="s">
        <v>31</v>
      </c>
      <c r="Z907" s="6" t="str">
        <f>PROPER(TRIM(SUBSTITUTE(Y907,"  "," ")))</f>
        <v>Paper</v>
      </c>
      <c r="AA907" s="3" t="s">
        <v>4080</v>
      </c>
      <c r="AB907" s="3" t="s">
        <v>56</v>
      </c>
      <c r="AC907" s="6" t="str">
        <f>PROPER(TRIM(SUBSTITUTE(AB907,"  "," ")))</f>
        <v>First Class</v>
      </c>
      <c r="AD907" s="3">
        <v>4</v>
      </c>
      <c r="AE907" s="3">
        <v>1786.65</v>
      </c>
      <c r="AF907" s="3">
        <v>0.05</v>
      </c>
      <c r="AG907" s="17">
        <v>0.05</v>
      </c>
      <c r="AH907" s="6" t="str">
        <f t="shared" si="116"/>
        <v>Valid</v>
      </c>
      <c r="AI907" s="3">
        <v>6789.27</v>
      </c>
      <c r="AJ907" s="3">
        <v>5626.43</v>
      </c>
      <c r="AK907" s="3">
        <v>1162.8399999999999</v>
      </c>
      <c r="AL907" s="3" t="s">
        <v>34</v>
      </c>
      <c r="AM907" s="6" t="str">
        <f>PROPER(TRIM(SUBSTITUTE(AL907,".","")))</f>
        <v>Paid</v>
      </c>
      <c r="AN907" s="3" t="s">
        <v>35</v>
      </c>
      <c r="AO907" s="8" t="str">
        <f>PROPER(TRIM(SUBSTITUTE(AN907,".","")))</f>
        <v>Completed</v>
      </c>
      <c r="AP907" t="str">
        <f>IF(COUNTIF($A$2:$A$933, A907) &gt; 1, "Duplicate ID", "Unique")</f>
        <v>Unique</v>
      </c>
      <c r="AR907">
        <f t="shared" si="117"/>
        <v>6789.27</v>
      </c>
      <c r="AS907">
        <f t="shared" si="118"/>
        <v>1162.8400000000001</v>
      </c>
      <c r="AT907" s="15">
        <f t="shared" si="119"/>
        <v>0.17127614603631908</v>
      </c>
      <c r="AU907" t="str">
        <f t="shared" si="120"/>
        <v>Clean</v>
      </c>
      <c r="AV907" s="8" t="str">
        <f t="shared" si="121"/>
        <v>Active</v>
      </c>
    </row>
    <row r="908" spans="1:48">
      <c r="A908" s="3" t="s">
        <v>2739</v>
      </c>
      <c r="B908" s="3" t="s">
        <v>2675</v>
      </c>
      <c r="C908" s="10">
        <f>IFERROR(DATEVALUE(TEXT(B908,"DD/MM/YYYY")), IF(ISNUMBER(B908), B908, ""))</f>
        <v>45698</v>
      </c>
      <c r="D908" s="9" t="str">
        <f>IF(B908="","Missing", IF(AND(ISNUMBER(B908)=FALSE, C908=""),"Invalid - Could Not Parse", IF(AND(ISNUMBER(B908)=FALSE, C908&lt;&gt;""),"Text - Converted to Date", IF(ISNUMBER(B908),"Valid","Check"))))</f>
        <v>Text - Converted to Date</v>
      </c>
      <c r="E908" s="5">
        <f t="shared" si="114"/>
        <v>2</v>
      </c>
      <c r="F908" s="5">
        <f t="shared" si="115"/>
        <v>2025</v>
      </c>
      <c r="G908" s="3" t="s">
        <v>2740</v>
      </c>
      <c r="H908" s="9">
        <f>IFERROR(DATEVALUE(TEXT(G908,"DD/MM/YYYY")), IF(ISNUMBER(G908), G908, ""))</f>
        <v>45702</v>
      </c>
      <c r="I908" s="9" t="str">
        <f>IF(G908="","Missing", IF(AND(ISNUMBER(G908)=FALSE, H908=""),"Invalid - Could Not Parse", IF(AND(ISNUMBER(G908)=FALSE, H908&lt;&gt;""),"Text - Converted to Date", IF(ISNUMBER(G908),"Valid","Check"))))</f>
        <v>Text - Converted to Date</v>
      </c>
      <c r="J908" s="9" t="str">
        <f>IF(OR(C908="", H908=""), "Cannot Check - Date Missing", IF(H908&lt;C908, "Invalid - Ship Before Order", "Valid"))</f>
        <v>Valid</v>
      </c>
      <c r="K908" s="5">
        <f>IF(OR(C908="", H908=""), "", IF(H908&lt;C908, "", H908-C908))</f>
        <v>4</v>
      </c>
      <c r="L908" s="3" t="s">
        <v>2741</v>
      </c>
      <c r="M908" s="3" t="s">
        <v>142</v>
      </c>
      <c r="N908" s="4" t="str">
        <f>TRIM(SUBSTITUTE(M908,"_"," "))</f>
        <v>Priya Menon</v>
      </c>
      <c r="O908" s="3" t="s">
        <v>41</v>
      </c>
      <c r="P908" s="6" t="str">
        <f>PROPER(TRIM(SUBSTITUTE(O908,".","")))</f>
        <v>Small Business</v>
      </c>
      <c r="Q908" s="3" t="s">
        <v>27</v>
      </c>
      <c r="R908" s="7" t="str">
        <f>PROPER(TRIM(SUBSTITUTE(Q908,"  "," ")))</f>
        <v>North</v>
      </c>
      <c r="S908" s="3" t="s">
        <v>174</v>
      </c>
      <c r="T908" s="6" t="str">
        <f>PROPER(TRIM(SUBSTITUTE(S908,"  "," ")))</f>
        <v>Uttar Pradesh</v>
      </c>
      <c r="U908" s="3" t="s">
        <v>175</v>
      </c>
      <c r="V908" s="6" t="str">
        <f>PROPER(TRIM(SUBSTITUTE(U908,"  "," ")))</f>
        <v>Noida</v>
      </c>
      <c r="W908" s="3" t="s">
        <v>86</v>
      </c>
      <c r="X908" s="6" t="str">
        <f>PROPER(TRIM(SUBSTITUTE(W908,"  "," ")))</f>
        <v>Technology</v>
      </c>
      <c r="Y908" s="3" t="s">
        <v>223</v>
      </c>
      <c r="Z908" s="6" t="str">
        <f>PROPER(TRIM(SUBSTITUTE(Y908,"  "," ")))</f>
        <v>Phones</v>
      </c>
      <c r="AA908" s="3" t="s">
        <v>2742</v>
      </c>
      <c r="AB908" s="3"/>
      <c r="AC908" s="11" t="str">
        <f>IF(ISBLANK(AB908), "Unknown", AB908)</f>
        <v>Unknown</v>
      </c>
      <c r="AD908" s="3">
        <v>5</v>
      </c>
      <c r="AE908" s="3">
        <v>4276.29</v>
      </c>
      <c r="AF908" s="3">
        <v>0</v>
      </c>
      <c r="AG908" s="17">
        <v>0</v>
      </c>
      <c r="AH908" s="6" t="str">
        <f t="shared" si="116"/>
        <v>Valid</v>
      </c>
      <c r="AI908" s="3">
        <v>21443.63</v>
      </c>
      <c r="AJ908" s="3">
        <v>13240.21</v>
      </c>
      <c r="AK908" s="3">
        <v>8141.24</v>
      </c>
      <c r="AL908" s="3" t="s">
        <v>200</v>
      </c>
      <c r="AM908" s="6" t="str">
        <f>PROPER(TRIM(SUBSTITUTE(AL908,".","")))</f>
        <v>Failed</v>
      </c>
      <c r="AN908" s="3" t="s">
        <v>35</v>
      </c>
      <c r="AO908" s="8" t="str">
        <f>PROPER(TRIM(SUBSTITUTE(AN908,".","")))</f>
        <v>Completed</v>
      </c>
      <c r="AP908" t="str">
        <f>IF(COUNTIF($A$2:$A$933, A908) &gt; 1, "Duplicate ID", "Unique")</f>
        <v>Duplicate ID</v>
      </c>
      <c r="AQ908" t="s">
        <v>4106</v>
      </c>
      <c r="AR908">
        <f t="shared" si="117"/>
        <v>21381.45</v>
      </c>
      <c r="AS908">
        <f t="shared" si="118"/>
        <v>8141.2400000000016</v>
      </c>
      <c r="AT908" s="15">
        <f t="shared" si="119"/>
        <v>0.38076182859441249</v>
      </c>
      <c r="AU908" t="str">
        <f t="shared" si="120"/>
        <v>Invalid</v>
      </c>
      <c r="AV908" s="8" t="str">
        <f t="shared" si="121"/>
        <v>Active</v>
      </c>
    </row>
    <row r="909" spans="1:48">
      <c r="A909" s="3" t="s">
        <v>2994</v>
      </c>
      <c r="B909" s="3" t="s">
        <v>2995</v>
      </c>
      <c r="C909" s="10">
        <f>IFERROR(DATEVALUE(TEXT(B909,"DD/MM/YYYY")), IF(ISNUMBER(B909), B909, ""))</f>
        <v>45762</v>
      </c>
      <c r="D909" s="9" t="str">
        <f>IF(B909="","Missing", IF(AND(ISNUMBER(B909)=FALSE, C909=""),"Invalid - Could Not Parse", IF(AND(ISNUMBER(B909)=FALSE, C909&lt;&gt;""),"Text - Converted to Date", IF(ISNUMBER(B909),"Valid","Check"))))</f>
        <v>Text - Converted to Date</v>
      </c>
      <c r="E909" s="5">
        <f t="shared" si="114"/>
        <v>4</v>
      </c>
      <c r="F909" s="5">
        <f t="shared" si="115"/>
        <v>2025</v>
      </c>
      <c r="G909" s="3" t="s">
        <v>2996</v>
      </c>
      <c r="H909" s="9">
        <f>IFERROR(DATEVALUE(TEXT(G909,"DD/MM/YYYY")), IF(ISNUMBER(G909), G909, ""))</f>
        <v>45763</v>
      </c>
      <c r="I909" s="9" t="str">
        <f>IF(G909="","Missing", IF(AND(ISNUMBER(G909)=FALSE, H909=""),"Invalid - Could Not Parse", IF(AND(ISNUMBER(G909)=FALSE, H909&lt;&gt;""),"Text - Converted to Date", IF(ISNUMBER(G909),"Valid","Check"))))</f>
        <v>Text - Converted to Date</v>
      </c>
      <c r="J909" s="9" t="str">
        <f>IF(OR(C909="", H909=""), "Cannot Check - Date Missing", IF(H909&lt;C909, "Invalid - Ship Before Order", "Valid"))</f>
        <v>Valid</v>
      </c>
      <c r="K909" s="5">
        <f>IF(OR(C909="", H909=""), "", IF(H909&lt;C909, "", H909-C909))</f>
        <v>1</v>
      </c>
      <c r="L909" s="3" t="s">
        <v>2997</v>
      </c>
      <c r="M909" s="3" t="s">
        <v>168</v>
      </c>
      <c r="N909" s="4" t="str">
        <f>TRIM(SUBSTITUTE(M909,"_"," "))</f>
        <v>Sneha Kapoor</v>
      </c>
      <c r="O909" s="3" t="s">
        <v>41</v>
      </c>
      <c r="P909" s="6" t="str">
        <f>PROPER(TRIM(SUBSTITUTE(O909,".","")))</f>
        <v>Small Business</v>
      </c>
      <c r="Q909" s="3" t="s">
        <v>62</v>
      </c>
      <c r="R909" s="7" t="str">
        <f>PROPER(TRIM(SUBSTITUTE(Q909,"  "," ")))</f>
        <v>South</v>
      </c>
      <c r="S909" s="3" t="s">
        <v>229</v>
      </c>
      <c r="T909" s="6" t="str">
        <f>PROPER(TRIM(SUBSTITUTE(S909,"  "," ")))</f>
        <v>Karnataka</v>
      </c>
      <c r="U909" s="3" t="s">
        <v>230</v>
      </c>
      <c r="V909" s="6" t="str">
        <f>PROPER(TRIM(SUBSTITUTE(U909,"  "," ")))</f>
        <v>Bengaluru</v>
      </c>
      <c r="W909" s="3" t="s">
        <v>45</v>
      </c>
      <c r="X909" s="6" t="str">
        <f>PROPER(TRIM(SUBSTITUTE(W909,"  "," ")))</f>
        <v>Furniture</v>
      </c>
      <c r="Y909" s="3" t="s">
        <v>65</v>
      </c>
      <c r="Z909" s="6" t="str">
        <f>PROPER(TRIM(SUBSTITUTE(Y909,"  "," ")))</f>
        <v>Furnishings</v>
      </c>
      <c r="AA909" s="3" t="s">
        <v>2998</v>
      </c>
      <c r="AB909" s="3" t="s">
        <v>56</v>
      </c>
      <c r="AC909" s="6" t="str">
        <f>PROPER(TRIM(SUBSTITUTE(AB909,"  "," ")))</f>
        <v>First Class</v>
      </c>
      <c r="AD909" s="3">
        <v>5</v>
      </c>
      <c r="AE909" s="3">
        <v>2850.53</v>
      </c>
      <c r="AF909" s="3">
        <v>0</v>
      </c>
      <c r="AG909" s="17">
        <v>0</v>
      </c>
      <c r="AH909" s="6" t="str">
        <f t="shared" si="116"/>
        <v>Valid</v>
      </c>
      <c r="AI909" s="3">
        <v>14252.65</v>
      </c>
      <c r="AJ909" s="3">
        <v>11558.31</v>
      </c>
      <c r="AK909" s="3">
        <v>2694.34</v>
      </c>
      <c r="AL909" s="3" t="s">
        <v>34</v>
      </c>
      <c r="AM909" s="6" t="str">
        <f>PROPER(TRIM(SUBSTITUTE(AL909,".","")))</f>
        <v>Paid</v>
      </c>
      <c r="AN909" s="3" t="s">
        <v>35</v>
      </c>
      <c r="AO909" s="8" t="str">
        <f>PROPER(TRIM(SUBSTITUTE(AN909,".","")))</f>
        <v>Completed</v>
      </c>
      <c r="AP909" t="str">
        <f>IF(COUNTIF($A$2:$A$933, A909) &gt; 1, "Duplicate ID", "Unique")</f>
        <v>Unique</v>
      </c>
      <c r="AR909">
        <f t="shared" si="117"/>
        <v>14252.650000000001</v>
      </c>
      <c r="AS909">
        <f t="shared" si="118"/>
        <v>2694.340000000002</v>
      </c>
      <c r="AT909" s="15">
        <f t="shared" si="119"/>
        <v>0.18904133617257154</v>
      </c>
      <c r="AU909" t="str">
        <f t="shared" si="120"/>
        <v>Warning</v>
      </c>
      <c r="AV909" s="8" t="str">
        <f t="shared" si="121"/>
        <v>Active</v>
      </c>
    </row>
    <row r="910" spans="1:48">
      <c r="A910" s="3" t="s">
        <v>3184</v>
      </c>
      <c r="B910" s="3" t="s">
        <v>3185</v>
      </c>
      <c r="C910" s="10">
        <f>IFERROR(DATEVALUE(TEXT(B910,"DD/MM/YYYY")), IF(ISNUMBER(B910), B910, ""))</f>
        <v>45970</v>
      </c>
      <c r="D910" s="9" t="str">
        <f>IF(B910="","Missing", IF(AND(ISNUMBER(B910)=FALSE, C910=""),"Invalid - Could Not Parse", IF(AND(ISNUMBER(B910)=FALSE, C910&lt;&gt;""),"Text - Converted to Date", IF(ISNUMBER(B910),"Valid","Check"))))</f>
        <v>Text - Converted to Date</v>
      </c>
      <c r="E910" s="5">
        <f t="shared" si="114"/>
        <v>11</v>
      </c>
      <c r="F910" s="5">
        <f t="shared" si="115"/>
        <v>2025</v>
      </c>
      <c r="G910" s="3" t="s">
        <v>3186</v>
      </c>
      <c r="H910" s="9">
        <f>IFERROR(DATEVALUE(MID(G910,4,2) &amp; "/" &amp; LEFT(G910,2) &amp; "/" &amp; RIGHT(G910,4)), IF(ISNUMBER(G910), G910, IFERROR(DATEVALUE(G910), "")))</f>
        <v>45918</v>
      </c>
      <c r="I910" s="9" t="str">
        <f>IF(G910="","Missing", IF(AND(ISNUMBER(G910)=FALSE, H910=""),"Invalid - Could Not Parse", IF(AND(ISNUMBER(G910)=FALSE, H910&lt;&gt;""),"Text - Converted to Date", IF(ISNUMBER(G910),"Valid","Check"))))</f>
        <v>Text - Converted to Date</v>
      </c>
      <c r="J910" s="9" t="str">
        <f>IF(OR(C910="", H910=""), "Cannot Check - Date Missing", IF(H910&lt;C910, "Invalid - Ship Before Order", "Valid"))</f>
        <v>Invalid - Ship Before Order</v>
      </c>
      <c r="K910" s="5" t="str">
        <f>IF(OR(C910="", H910=""), "", IF(H910&lt;C910, "", H910-C910))</f>
        <v/>
      </c>
      <c r="L910" s="3" t="s">
        <v>3187</v>
      </c>
      <c r="M910" s="3" t="s">
        <v>148</v>
      </c>
      <c r="N910" s="4" t="str">
        <f>TRIM(SUBSTITUTE(M910,"_"," "))</f>
        <v>Rahul Verma</v>
      </c>
      <c r="O910" s="3" t="s">
        <v>41</v>
      </c>
      <c r="P910" s="6" t="str">
        <f>PROPER(TRIM(SUBSTITUTE(O910,".","")))</f>
        <v>Small Business</v>
      </c>
      <c r="Q910" s="3" t="s">
        <v>27</v>
      </c>
      <c r="R910" s="7" t="str">
        <f>PROPER(TRIM(SUBSTITUTE(Q910,"  "," ")))</f>
        <v>North</v>
      </c>
      <c r="S910" s="3" t="s">
        <v>506</v>
      </c>
      <c r="T910" s="6" t="str">
        <f>PROPER(TRIM(SUBSTITUTE(S910,"  "," ")))</f>
        <v>Delhi</v>
      </c>
      <c r="U910" s="3" t="s">
        <v>507</v>
      </c>
      <c r="V910" s="6" t="str">
        <f>PROPER(TRIM(SUBSTITUTE(U910,"  "," ")))</f>
        <v>New Delhi</v>
      </c>
      <c r="W910" s="3" t="s">
        <v>86</v>
      </c>
      <c r="X910" s="6" t="str">
        <f>PROPER(TRIM(SUBSTITUTE(W910,"  "," ")))</f>
        <v>Technology</v>
      </c>
      <c r="Y910" s="3" t="s">
        <v>223</v>
      </c>
      <c r="Z910" s="6" t="str">
        <f>PROPER(TRIM(SUBSTITUTE(Y910,"  "," ")))</f>
        <v>Phones</v>
      </c>
      <c r="AA910" s="3" t="s">
        <v>3188</v>
      </c>
      <c r="AB910" s="3" t="s">
        <v>48</v>
      </c>
      <c r="AC910" s="6" t="str">
        <f>PROPER(TRIM(SUBSTITUTE(AB910,"  "," ")))</f>
        <v>Same Day</v>
      </c>
      <c r="AD910" s="3">
        <v>7</v>
      </c>
      <c r="AE910" s="3">
        <v>3411.21</v>
      </c>
      <c r="AF910" s="3">
        <v>0.15</v>
      </c>
      <c r="AG910" s="17">
        <v>0.15</v>
      </c>
      <c r="AH910" s="6" t="str">
        <f t="shared" si="116"/>
        <v>Valid</v>
      </c>
      <c r="AI910" s="3">
        <v>20296.7</v>
      </c>
      <c r="AJ910" s="3">
        <v>14920.87</v>
      </c>
      <c r="AK910" s="3">
        <v>5375.83</v>
      </c>
      <c r="AL910" s="3" t="s">
        <v>34</v>
      </c>
      <c r="AM910" s="6" t="str">
        <f>PROPER(TRIM(SUBSTITUTE(AL910,".","")))</f>
        <v>Paid</v>
      </c>
      <c r="AN910" s="3" t="s">
        <v>35</v>
      </c>
      <c r="AO910" s="8" t="str">
        <f>PROPER(TRIM(SUBSTITUTE(AN910,".","")))</f>
        <v>Completed</v>
      </c>
      <c r="AP910" t="str">
        <f>IF(COUNTIF($A$2:$A$933, A910) &gt; 1, "Duplicate ID", "Unique")</f>
        <v>Unique</v>
      </c>
      <c r="AR910">
        <f t="shared" si="117"/>
        <v>20296.699499999999</v>
      </c>
      <c r="AS910">
        <f t="shared" si="118"/>
        <v>5375.829499999998</v>
      </c>
      <c r="AT910" s="15">
        <f t="shared" si="119"/>
        <v>0.26486225014071862</v>
      </c>
      <c r="AU910" t="str">
        <f t="shared" si="120"/>
        <v>Invalid</v>
      </c>
      <c r="AV910" s="8" t="str">
        <f t="shared" si="121"/>
        <v>Active</v>
      </c>
    </row>
    <row r="911" spans="1:48">
      <c r="A911" s="3" t="s">
        <v>3258</v>
      </c>
      <c r="B911" s="3" t="s">
        <v>1730</v>
      </c>
      <c r="C911" s="10">
        <f>IFERROR(DATEVALUE(TEXT(B911,"DD/MM/YYYY")), IF(ISNUMBER(B911), B911, ""))</f>
        <v>45870</v>
      </c>
      <c r="D911" s="9" t="str">
        <f>IF(B911="","Missing", IF(AND(ISNUMBER(B911)=FALSE, C911=""),"Invalid - Could Not Parse", IF(AND(ISNUMBER(B911)=FALSE, C911&lt;&gt;""),"Text - Converted to Date", IF(ISNUMBER(B911),"Valid","Check"))))</f>
        <v>Text - Converted to Date</v>
      </c>
      <c r="E911" s="5">
        <f t="shared" si="114"/>
        <v>8</v>
      </c>
      <c r="F911" s="5">
        <f t="shared" si="115"/>
        <v>2025</v>
      </c>
      <c r="G911" s="3" t="s">
        <v>3079</v>
      </c>
      <c r="H911" s="9">
        <f>IFERROR(DATEVALUE(TEXT(G911,"DD/MM/YYYY")), IF(ISNUMBER(G911), G911, ""))</f>
        <v>45878</v>
      </c>
      <c r="I911" s="9" t="str">
        <f>IF(G911="","Missing", IF(AND(ISNUMBER(G911)=FALSE, H911=""),"Invalid - Could Not Parse", IF(AND(ISNUMBER(G911)=FALSE, H911&lt;&gt;""),"Text - Converted to Date", IF(ISNUMBER(G911),"Valid","Check"))))</f>
        <v>Text - Converted to Date</v>
      </c>
      <c r="J911" s="9" t="str">
        <f>IF(OR(C911="", H911=""), "Cannot Check - Date Missing", IF(H911&lt;C911, "Invalid - Ship Before Order", "Valid"))</f>
        <v>Valid</v>
      </c>
      <c r="K911" s="5">
        <f>IF(OR(C911="", H911=""), "", IF(H911&lt;C911, "", H911-C911))</f>
        <v>8</v>
      </c>
      <c r="L911" s="3" t="s">
        <v>1738</v>
      </c>
      <c r="M911" s="3" t="s">
        <v>53</v>
      </c>
      <c r="N911" s="4" t="str">
        <f>TRIM(SUBSTITUTE(M911,"_"," "))</f>
        <v>Isha Nair</v>
      </c>
      <c r="O911" s="3" t="s">
        <v>26</v>
      </c>
      <c r="P911" s="6" t="str">
        <f>PROPER(TRIM(SUBSTITUTE(O911,".","")))</f>
        <v>Consumer</v>
      </c>
      <c r="Q911" s="3" t="s">
        <v>62</v>
      </c>
      <c r="R911" s="7" t="str">
        <f>PROPER(TRIM(SUBSTITUTE(Q911,"  "," ")))</f>
        <v>South</v>
      </c>
      <c r="S911" s="3" t="s">
        <v>100</v>
      </c>
      <c r="T911" s="6" t="str">
        <f>PROPER(TRIM(SUBSTITUTE(S911,"  "," ")))</f>
        <v>Andhra Pradesh</v>
      </c>
      <c r="U911" s="3" t="s">
        <v>101</v>
      </c>
      <c r="V911" s="6" t="str">
        <f>PROPER(TRIM(SUBSTITUTE(U911,"  "," ")))</f>
        <v>Vijayawada</v>
      </c>
      <c r="W911" s="3" t="s">
        <v>30</v>
      </c>
      <c r="X911" s="6" t="str">
        <f>PROPER(TRIM(SUBSTITUTE(W911,"  "," ")))</f>
        <v>Office Supplies</v>
      </c>
      <c r="Y911" s="3" t="s">
        <v>156</v>
      </c>
      <c r="Z911" s="6" t="str">
        <f>PROPER(TRIM(SUBSTITUTE(Y911,"  "," ")))</f>
        <v>Storage</v>
      </c>
      <c r="AA911" s="3" t="s">
        <v>3259</v>
      </c>
      <c r="AB911" s="3" t="s">
        <v>56</v>
      </c>
      <c r="AC911" s="6" t="str">
        <f>PROPER(TRIM(SUBSTITUTE(AB911,"  "," ")))</f>
        <v>First Class</v>
      </c>
      <c r="AD911" s="3">
        <v>5</v>
      </c>
      <c r="AE911" s="3">
        <v>2736.24</v>
      </c>
      <c r="AF911" s="3">
        <v>0.15</v>
      </c>
      <c r="AG911" s="17">
        <v>0.15</v>
      </c>
      <c r="AH911" s="6" t="str">
        <f t="shared" si="116"/>
        <v>Valid</v>
      </c>
      <c r="AI911" s="3">
        <v>11629.02</v>
      </c>
      <c r="AJ911" s="3">
        <v>9627.2099999999991</v>
      </c>
      <c r="AK911" s="3">
        <v>2001.81</v>
      </c>
      <c r="AL911" s="3" t="s">
        <v>34</v>
      </c>
      <c r="AM911" s="6" t="str">
        <f>PROPER(TRIM(SUBSTITUTE(AL911,".","")))</f>
        <v>Paid</v>
      </c>
      <c r="AN911" s="3" t="s">
        <v>35</v>
      </c>
      <c r="AO911" s="8" t="str">
        <f>PROPER(TRIM(SUBSTITUTE(AN911,".","")))</f>
        <v>Completed</v>
      </c>
      <c r="AP911" t="str">
        <f>IF(COUNTIF($A$2:$A$933, A911) &gt; 1, "Duplicate ID", "Unique")</f>
        <v>Unique</v>
      </c>
      <c r="AR911">
        <f t="shared" si="117"/>
        <v>11629.019999999999</v>
      </c>
      <c r="AS911">
        <f t="shared" si="118"/>
        <v>2001.8099999999995</v>
      </c>
      <c r="AT911" s="15">
        <f t="shared" si="119"/>
        <v>0.17213918283741877</v>
      </c>
      <c r="AU911" t="str">
        <f t="shared" si="120"/>
        <v>Clean</v>
      </c>
      <c r="AV911" s="8" t="str">
        <f t="shared" si="121"/>
        <v>Active</v>
      </c>
    </row>
    <row r="912" spans="1:48">
      <c r="A912" s="3" t="s">
        <v>3355</v>
      </c>
      <c r="B912" s="3" t="s">
        <v>1724</v>
      </c>
      <c r="C912" s="10">
        <f>IFERROR(DATEVALUE(TEXT(B912,"DD/MM/YYYY")), IF(ISNUMBER(B912), B912, ""))</f>
        <v>45908</v>
      </c>
      <c r="D912" s="9" t="str">
        <f>IF(B912="","Missing", IF(AND(ISNUMBER(B912)=FALSE, C912=""),"Invalid - Could Not Parse", IF(AND(ISNUMBER(B912)=FALSE, C912&lt;&gt;""),"Text - Converted to Date", IF(ISNUMBER(B912),"Valid","Check"))))</f>
        <v>Text - Converted to Date</v>
      </c>
      <c r="E912" s="5">
        <f t="shared" si="114"/>
        <v>9</v>
      </c>
      <c r="F912" s="5">
        <f t="shared" si="115"/>
        <v>2025</v>
      </c>
      <c r="G912" s="3" t="s">
        <v>1725</v>
      </c>
      <c r="H912" s="9">
        <f>IFERROR(DATEVALUE(TEXT(G912,"DD/MM/YYYY")), IF(ISNUMBER(G912), G912, ""))</f>
        <v>45909</v>
      </c>
      <c r="I912" s="9" t="str">
        <f>IF(G912="","Missing", IF(AND(ISNUMBER(G912)=FALSE, H912=""),"Invalid - Could Not Parse", IF(AND(ISNUMBER(G912)=FALSE, H912&lt;&gt;""),"Text - Converted to Date", IF(ISNUMBER(G912),"Valid","Check"))))</f>
        <v>Text - Converted to Date</v>
      </c>
      <c r="J912" s="9" t="str">
        <f>IF(OR(C912="", H912=""), "Cannot Check - Date Missing", IF(H912&lt;C912, "Invalid - Ship Before Order", "Valid"))</f>
        <v>Valid</v>
      </c>
      <c r="K912" s="5">
        <f>IF(OR(C912="", H912=""), "", IF(H912&lt;C912, "", H912-C912))</f>
        <v>1</v>
      </c>
      <c r="L912" s="3" t="s">
        <v>185</v>
      </c>
      <c r="M912" s="3" t="s">
        <v>366</v>
      </c>
      <c r="N912" s="4" t="str">
        <f>TRIM(SUBSTITUTE(M912,"_"," "))</f>
        <v>Kabir Singh</v>
      </c>
      <c r="O912" s="3" t="s">
        <v>108</v>
      </c>
      <c r="P912" s="6" t="str">
        <f>PROPER(TRIM(SUBSTITUTE(O912,".","")))</f>
        <v>Corporate</v>
      </c>
      <c r="Q912" s="3" t="s">
        <v>73</v>
      </c>
      <c r="R912" s="7" t="str">
        <f>PROPER(TRIM(SUBSTITUTE(Q912,"  "," ")))</f>
        <v>West</v>
      </c>
      <c r="S912" s="3" t="s">
        <v>235</v>
      </c>
      <c r="T912" s="6" t="str">
        <f>PROPER(TRIM(SUBSTITUTE(S912,"  "," ")))</f>
        <v>Gujarat</v>
      </c>
      <c r="U912" s="3" t="s">
        <v>236</v>
      </c>
      <c r="V912" s="6" t="str">
        <f>PROPER(TRIM(SUBSTITUTE(U912,"  "," ")))</f>
        <v>Ahmedabad</v>
      </c>
      <c r="W912" s="3" t="s">
        <v>30</v>
      </c>
      <c r="X912" s="6" t="str">
        <f>PROPER(TRIM(SUBSTITUTE(W912,"  "," ")))</f>
        <v>Office Supplies</v>
      </c>
      <c r="Y912" s="3" t="s">
        <v>54</v>
      </c>
      <c r="Z912" s="6" t="str">
        <f>PROPER(TRIM(SUBSTITUTE(Y912,"  "," ")))</f>
        <v>Art</v>
      </c>
      <c r="AA912" s="3" t="s">
        <v>3356</v>
      </c>
      <c r="AB912" s="3" t="s">
        <v>48</v>
      </c>
      <c r="AC912" s="6" t="str">
        <f>PROPER(TRIM(SUBSTITUTE(AB912,"  "," ")))</f>
        <v>Same Day</v>
      </c>
      <c r="AD912" s="3">
        <v>2</v>
      </c>
      <c r="AE912" s="3">
        <v>2372.41</v>
      </c>
      <c r="AF912" s="3">
        <v>0.2</v>
      </c>
      <c r="AG912" s="17">
        <v>0.2</v>
      </c>
      <c r="AH912" s="6" t="str">
        <f t="shared" si="116"/>
        <v>Valid</v>
      </c>
      <c r="AI912" s="3">
        <v>3795.86</v>
      </c>
      <c r="AJ912" s="3">
        <v>2264.92</v>
      </c>
      <c r="AK912" s="3">
        <v>1530.94</v>
      </c>
      <c r="AL912" s="3" t="s">
        <v>34</v>
      </c>
      <c r="AM912" s="6" t="str">
        <f>PROPER(TRIM(SUBSTITUTE(AL912,".","")))</f>
        <v>Paid</v>
      </c>
      <c r="AN912" s="3" t="s">
        <v>35</v>
      </c>
      <c r="AO912" s="8" t="str">
        <f>PROPER(TRIM(SUBSTITUTE(AN912,".","")))</f>
        <v>Completed</v>
      </c>
      <c r="AP912" t="str">
        <f>IF(COUNTIF($A$2:$A$933, A912) &gt; 1, "Duplicate ID", "Unique")</f>
        <v>Unique</v>
      </c>
      <c r="AR912">
        <f t="shared" si="117"/>
        <v>3795.8559999999998</v>
      </c>
      <c r="AS912">
        <f t="shared" si="118"/>
        <v>1530.9359999999997</v>
      </c>
      <c r="AT912" s="15">
        <f t="shared" si="119"/>
        <v>0.40331772332775528</v>
      </c>
      <c r="AU912" t="str">
        <f t="shared" si="120"/>
        <v>Clean</v>
      </c>
      <c r="AV912" s="8" t="str">
        <f t="shared" si="121"/>
        <v>Active</v>
      </c>
    </row>
    <row r="913" spans="1:48">
      <c r="A913" s="3" t="s">
        <v>3393</v>
      </c>
      <c r="B913" s="3" t="s">
        <v>3394</v>
      </c>
      <c r="C913" s="10">
        <f>IFERROR(DATEVALUE(TEXT(B913,"DD/MM/YYYY")), IF(ISNUMBER(B913), B913, ""))</f>
        <v>45794</v>
      </c>
      <c r="D913" s="9" t="str">
        <f>IF(B913="","Missing", IF(AND(ISNUMBER(B913)=FALSE, C913=""),"Invalid - Could Not Parse", IF(AND(ISNUMBER(B913)=FALSE, C913&lt;&gt;""),"Text - Converted to Date", IF(ISNUMBER(B913),"Valid","Check"))))</f>
        <v>Text - Converted to Date</v>
      </c>
      <c r="E913" s="5">
        <f t="shared" si="114"/>
        <v>5</v>
      </c>
      <c r="F913" s="5">
        <f t="shared" si="115"/>
        <v>2025</v>
      </c>
      <c r="G913" s="3" t="s">
        <v>3395</v>
      </c>
      <c r="H913" s="9">
        <f>IFERROR(DATEVALUE(TEXT(G913,"DD/MM/YYYY")), IF(ISNUMBER(G913), G913, ""))</f>
        <v>45802</v>
      </c>
      <c r="I913" s="9" t="str">
        <f>IF(G913="","Missing", IF(AND(ISNUMBER(G913)=FALSE, H913=""),"Invalid - Could Not Parse", IF(AND(ISNUMBER(G913)=FALSE, H913&lt;&gt;""),"Text - Converted to Date", IF(ISNUMBER(G913),"Valid","Check"))))</f>
        <v>Text - Converted to Date</v>
      </c>
      <c r="J913" s="9" t="str">
        <f>IF(OR(C913="", H913=""), "Cannot Check - Date Missing", IF(H913&lt;C913, "Invalid - Ship Before Order", "Valid"))</f>
        <v>Valid</v>
      </c>
      <c r="K913" s="5">
        <f>IF(OR(C913="", H913=""), "", IF(H913&lt;C913, "", H913-C913))</f>
        <v>8</v>
      </c>
      <c r="L913" s="3" t="s">
        <v>3396</v>
      </c>
      <c r="M913" s="3" t="s">
        <v>72</v>
      </c>
      <c r="N913" s="4" t="str">
        <f>TRIM(SUBSTITUTE(M913,"_"," "))</f>
        <v>Ananya Rao</v>
      </c>
      <c r="O913" s="3" t="s">
        <v>108</v>
      </c>
      <c r="P913" s="6" t="str">
        <f>PROPER(TRIM(SUBSTITUTE(O913,".","")))</f>
        <v>Corporate</v>
      </c>
      <c r="Q913" s="3" t="s">
        <v>62</v>
      </c>
      <c r="R913" s="7" t="str">
        <f>PROPER(TRIM(SUBSTITUTE(Q913,"  "," ")))</f>
        <v>South</v>
      </c>
      <c r="S913" s="3" t="s">
        <v>339</v>
      </c>
      <c r="T913" s="6" t="str">
        <f>PROPER(TRIM(SUBSTITUTE(S913,"  "," ")))</f>
        <v>Tamil Nadu</v>
      </c>
      <c r="U913" s="3" t="s">
        <v>340</v>
      </c>
      <c r="V913" s="6" t="str">
        <f>PROPER(TRIM(SUBSTITUTE(U913,"  "," ")))</f>
        <v>Chennai</v>
      </c>
      <c r="W913" s="3" t="s">
        <v>86</v>
      </c>
      <c r="X913" s="6" t="str">
        <f>PROPER(TRIM(SUBSTITUTE(W913,"  "," ")))</f>
        <v>Technology</v>
      </c>
      <c r="Y913" s="3" t="s">
        <v>382</v>
      </c>
      <c r="Z913" s="6" t="str">
        <f>PROPER(TRIM(SUBSTITUTE(Y913,"  "," ")))</f>
        <v>Machines</v>
      </c>
      <c r="AA913" s="3" t="s">
        <v>3397</v>
      </c>
      <c r="AB913" s="3" t="s">
        <v>48</v>
      </c>
      <c r="AC913" s="6" t="str">
        <f>PROPER(TRIM(SUBSTITUTE(AB913,"  "," ")))</f>
        <v>Same Day</v>
      </c>
      <c r="AD913" s="3">
        <v>6</v>
      </c>
      <c r="AE913" s="3">
        <v>1810.63</v>
      </c>
      <c r="AF913" s="3">
        <v>0.15</v>
      </c>
      <c r="AG913" s="17">
        <v>0.15</v>
      </c>
      <c r="AH913" s="6" t="str">
        <f t="shared" si="116"/>
        <v>Valid</v>
      </c>
      <c r="AI913" s="3">
        <v>9234.2099999999991</v>
      </c>
      <c r="AJ913" s="3">
        <v>5516.52</v>
      </c>
      <c r="AK913" s="3">
        <v>3717.69</v>
      </c>
      <c r="AL913" s="3" t="s">
        <v>34</v>
      </c>
      <c r="AM913" s="6" t="str">
        <f>PROPER(TRIM(SUBSTITUTE(AL913,".","")))</f>
        <v>Paid</v>
      </c>
      <c r="AN913" s="3" t="s">
        <v>35</v>
      </c>
      <c r="AO913" s="8" t="str">
        <f>PROPER(TRIM(SUBSTITUTE(AN913,".","")))</f>
        <v>Completed</v>
      </c>
      <c r="AP913" t="str">
        <f>IF(COUNTIF($A$2:$A$933, A913) &gt; 1, "Duplicate ID", "Unique")</f>
        <v>Unique</v>
      </c>
      <c r="AR913">
        <f>AD913 * AE913 * (1 - AG913)</f>
        <v>9234.2129999999997</v>
      </c>
      <c r="AS913">
        <f t="shared" si="118"/>
        <v>3717.6929999999993</v>
      </c>
      <c r="AT913" s="15">
        <f t="shared" si="119"/>
        <v>0.40259987505161504</v>
      </c>
      <c r="AU913" t="str">
        <f t="shared" si="120"/>
        <v>Clean</v>
      </c>
      <c r="AV913" s="8" t="str">
        <f t="shared" si="121"/>
        <v>Active</v>
      </c>
    </row>
    <row r="914" spans="1:48">
      <c r="AG914" s="19"/>
      <c r="AH914" s="14"/>
    </row>
    <row r="915" spans="1:48">
      <c r="AG915" s="19"/>
      <c r="AH915" s="14"/>
    </row>
    <row r="916" spans="1:48">
      <c r="AG916" s="19"/>
      <c r="AH916" s="14"/>
    </row>
    <row r="917" spans="1:48">
      <c r="AG917" s="19"/>
      <c r="AH917" s="14"/>
    </row>
    <row r="918" spans="1:48">
      <c r="AG918" s="19"/>
      <c r="AH918" s="14"/>
    </row>
    <row r="919" spans="1:48">
      <c r="AG919" s="19"/>
      <c r="AH919" s="14"/>
    </row>
    <row r="920" spans="1:48">
      <c r="AG920" s="19"/>
      <c r="AH920" s="14"/>
    </row>
    <row r="921" spans="1:48">
      <c r="AG921" s="19"/>
      <c r="AH921" s="14"/>
    </row>
    <row r="922" spans="1:48">
      <c r="AG922" s="19"/>
      <c r="AH922" s="14"/>
    </row>
    <row r="923" spans="1:48">
      <c r="AG923" s="19"/>
      <c r="AH923" s="14"/>
    </row>
    <row r="924" spans="1:48">
      <c r="AG924" s="19"/>
      <c r="AH924" s="14"/>
    </row>
    <row r="925" spans="1:48">
      <c r="AG925" s="19"/>
      <c r="AH925" s="14"/>
    </row>
    <row r="926" spans="1:48">
      <c r="AG926" s="19"/>
      <c r="AH926" s="14"/>
    </row>
    <row r="927" spans="1:48">
      <c r="AG927" s="19"/>
      <c r="AH927" s="14"/>
    </row>
    <row r="928" spans="1:48">
      <c r="AG928" s="19"/>
      <c r="AH928" s="14"/>
    </row>
    <row r="929" spans="33:34">
      <c r="AG929" s="19"/>
      <c r="AH929" s="14"/>
    </row>
    <row r="930" spans="33:34">
      <c r="AG930" s="19"/>
      <c r="AH930" s="14"/>
    </row>
    <row r="931" spans="33:34">
      <c r="AG931" s="19"/>
      <c r="AH931" s="14"/>
    </row>
    <row r="932" spans="33:34">
      <c r="AG932" s="19"/>
      <c r="AH932" s="14"/>
    </row>
    <row r="933" spans="33:34">
      <c r="AG933" s="19"/>
      <c r="AH933" s="14"/>
    </row>
    <row r="934" spans="33:34">
      <c r="AG934" s="19"/>
      <c r="AH934" s="14"/>
    </row>
    <row r="935" spans="33:34">
      <c r="AG935" s="19"/>
      <c r="AH935" s="14"/>
    </row>
    <row r="936" spans="33:34">
      <c r="AG936" s="19"/>
      <c r="AH936" s="14"/>
    </row>
    <row r="937" spans="33:34">
      <c r="AG937" s="19"/>
      <c r="AH937" s="14"/>
    </row>
    <row r="938" spans="33:34">
      <c r="AG938" s="19"/>
      <c r="AH938" s="14"/>
    </row>
    <row r="939" spans="33:34">
      <c r="AG939" s="19"/>
      <c r="AH939" s="14"/>
    </row>
    <row r="940" spans="33:34">
      <c r="AG940" s="19"/>
      <c r="AH940" s="14"/>
    </row>
    <row r="941" spans="33:34">
      <c r="AG941" s="19"/>
      <c r="AH941" s="14"/>
    </row>
    <row r="942" spans="33:34">
      <c r="AG942" s="19"/>
      <c r="AH942" s="14"/>
    </row>
    <row r="943" spans="33:34">
      <c r="AG943" s="19"/>
      <c r="AH943" s="14"/>
    </row>
    <row r="944" spans="33:34">
      <c r="AG944" s="19"/>
      <c r="AH944" s="14"/>
    </row>
    <row r="945" spans="33:34">
      <c r="AG945" s="19"/>
      <c r="AH945" s="14"/>
    </row>
    <row r="946" spans="33:34">
      <c r="AG946" s="19"/>
      <c r="AH946" s="14"/>
    </row>
    <row r="947" spans="33:34">
      <c r="AG947" s="19"/>
      <c r="AH947" s="14"/>
    </row>
    <row r="948" spans="33:34">
      <c r="AG948" s="19"/>
      <c r="AH948" s="14"/>
    </row>
    <row r="949" spans="33:34">
      <c r="AG949" s="19"/>
      <c r="AH949" s="14"/>
    </row>
    <row r="950" spans="33:34">
      <c r="AG950" s="19"/>
      <c r="AH950" s="14"/>
    </row>
    <row r="951" spans="33:34">
      <c r="AG951" s="19"/>
      <c r="AH951" s="14"/>
    </row>
    <row r="952" spans="33:34">
      <c r="AG952" s="19"/>
      <c r="AH952" s="14"/>
    </row>
    <row r="953" spans="33:34">
      <c r="AG953" s="19"/>
      <c r="AH953" s="14"/>
    </row>
    <row r="954" spans="33:34">
      <c r="AG954" s="19"/>
      <c r="AH954" s="14"/>
    </row>
    <row r="955" spans="33:34">
      <c r="AG955" s="19"/>
      <c r="AH955" s="14"/>
    </row>
    <row r="956" spans="33:34">
      <c r="AG956" s="19"/>
      <c r="AH956" s="14"/>
    </row>
    <row r="957" spans="33:34">
      <c r="AG957" s="19"/>
      <c r="AH957" s="14"/>
    </row>
    <row r="958" spans="33:34">
      <c r="AG958" s="19"/>
      <c r="AH958" s="14"/>
    </row>
    <row r="959" spans="33:34">
      <c r="AG959" s="19"/>
      <c r="AH959" s="14"/>
    </row>
    <row r="960" spans="33:34">
      <c r="AG960" s="19"/>
      <c r="AH960" s="14"/>
    </row>
    <row r="961" spans="33:34">
      <c r="AG961" s="19"/>
      <c r="AH961" s="14"/>
    </row>
    <row r="962" spans="33:34">
      <c r="AG962" s="19"/>
      <c r="AH962" s="14"/>
    </row>
    <row r="963" spans="33:34">
      <c r="AG963" s="19"/>
      <c r="AH963" s="14"/>
    </row>
    <row r="964" spans="33:34">
      <c r="AG964" s="19"/>
      <c r="AH964" s="14"/>
    </row>
    <row r="965" spans="33:34">
      <c r="AG965" s="19"/>
      <c r="AH965" s="14"/>
    </row>
    <row r="966" spans="33:34">
      <c r="AG966" s="19"/>
      <c r="AH966" s="14"/>
    </row>
    <row r="967" spans="33:34">
      <c r="AG967" s="19"/>
      <c r="AH967" s="14"/>
    </row>
    <row r="968" spans="33:34">
      <c r="AG968" s="19"/>
      <c r="AH968" s="14"/>
    </row>
    <row r="969" spans="33:34">
      <c r="AG969" s="19"/>
      <c r="AH969" s="14"/>
    </row>
    <row r="970" spans="33:34">
      <c r="AG970" s="19"/>
      <c r="AH970" s="14"/>
    </row>
    <row r="971" spans="33:34">
      <c r="AG971" s="19"/>
      <c r="AH971" s="14"/>
    </row>
    <row r="972" spans="33:34">
      <c r="AG972" s="19"/>
      <c r="AH972" s="14"/>
    </row>
    <row r="973" spans="33:34">
      <c r="AG973" s="19"/>
      <c r="AH973" s="14"/>
    </row>
    <row r="974" spans="33:34">
      <c r="AG974" s="19"/>
      <c r="AH974" s="14"/>
    </row>
    <row r="975" spans="33:34">
      <c r="AG975" s="19"/>
      <c r="AH975" s="14"/>
    </row>
    <row r="976" spans="33:34">
      <c r="AG976" s="19"/>
      <c r="AH976" s="14"/>
    </row>
    <row r="977" spans="33:34">
      <c r="AG977" s="19"/>
      <c r="AH977" s="14"/>
    </row>
    <row r="978" spans="33:34">
      <c r="AG978" s="19"/>
      <c r="AH978" s="14"/>
    </row>
    <row r="979" spans="33:34">
      <c r="AG979" s="19"/>
      <c r="AH979" s="14"/>
    </row>
    <row r="980" spans="33:34">
      <c r="AG980" s="19"/>
      <c r="AH980" s="14"/>
    </row>
    <row r="981" spans="33:34">
      <c r="AG981" s="19"/>
      <c r="AH981" s="14"/>
    </row>
    <row r="982" spans="33:34">
      <c r="AG982" s="19"/>
      <c r="AH982" s="14"/>
    </row>
    <row r="983" spans="33:34">
      <c r="AG983" s="19"/>
      <c r="AH983" s="14"/>
    </row>
    <row r="984" spans="33:34">
      <c r="AG984" s="19"/>
      <c r="AH984" s="14"/>
    </row>
    <row r="985" spans="33:34">
      <c r="AG985" s="19"/>
      <c r="AH985" s="14"/>
    </row>
    <row r="986" spans="33:34">
      <c r="AG986" s="19"/>
      <c r="AH986" s="14"/>
    </row>
    <row r="987" spans="33:34">
      <c r="AG987" s="19"/>
      <c r="AH987" s="14"/>
    </row>
    <row r="988" spans="33:34">
      <c r="AG988" s="19"/>
      <c r="AH988" s="14"/>
    </row>
    <row r="989" spans="33:34">
      <c r="AG989" s="19"/>
      <c r="AH989" s="14"/>
    </row>
    <row r="990" spans="33:34">
      <c r="AG990" s="19"/>
      <c r="AH990" s="14"/>
    </row>
    <row r="991" spans="33:34">
      <c r="AG991" s="19"/>
      <c r="AH991" s="14"/>
    </row>
    <row r="992" spans="33:34">
      <c r="AG992" s="19"/>
      <c r="AH992" s="14"/>
    </row>
    <row r="993" spans="33:34">
      <c r="AG993" s="19"/>
      <c r="AH993" s="14"/>
    </row>
    <row r="994" spans="33:34">
      <c r="AG994" s="19"/>
      <c r="AH994" s="14"/>
    </row>
    <row r="995" spans="33:34">
      <c r="AG995" s="19"/>
      <c r="AH995" s="14"/>
    </row>
    <row r="996" spans="33:34">
      <c r="AG996" s="19"/>
      <c r="AH996" s="14"/>
    </row>
    <row r="997" spans="33:34">
      <c r="AG997" s="19"/>
      <c r="AH997" s="14"/>
    </row>
    <row r="998" spans="33:34">
      <c r="AG998" s="19"/>
      <c r="AH998" s="14"/>
    </row>
    <row r="999" spans="33:34">
      <c r="AG999" s="19"/>
      <c r="AH999" s="14"/>
    </row>
    <row r="1000" spans="33:34">
      <c r="AG1000" s="19"/>
      <c r="AH1000" s="14"/>
    </row>
    <row r="1001" spans="33:34">
      <c r="AG1001" s="19"/>
      <c r="AH1001" s="14"/>
    </row>
    <row r="1002" spans="33:34">
      <c r="AG1002" s="19"/>
      <c r="AH1002" s="14"/>
    </row>
    <row r="1003" spans="33:34">
      <c r="AG1003" s="19"/>
      <c r="AH1003" s="14"/>
    </row>
    <row r="1004" spans="33:34">
      <c r="AG1004" s="19"/>
      <c r="AH1004" s="14"/>
    </row>
    <row r="1005" spans="33:34">
      <c r="AG1005" s="19"/>
      <c r="AH1005" s="14"/>
    </row>
    <row r="1006" spans="33:34">
      <c r="AG1006" s="19"/>
      <c r="AH1006" s="14"/>
    </row>
    <row r="1007" spans="33:34">
      <c r="AG1007" s="19"/>
      <c r="AH1007" s="14"/>
    </row>
    <row r="1008" spans="33:34">
      <c r="AG1008" s="19"/>
      <c r="AH1008" s="14"/>
    </row>
    <row r="1009" spans="33:34">
      <c r="AG1009" s="19"/>
      <c r="AH1009" s="14"/>
    </row>
    <row r="1010" spans="33:34">
      <c r="AG1010" s="19"/>
      <c r="AH1010" s="14"/>
    </row>
    <row r="1011" spans="33:34">
      <c r="AG1011" s="19"/>
      <c r="AH1011" s="14"/>
    </row>
    <row r="1012" spans="33:34">
      <c r="AG1012" s="19"/>
      <c r="AH1012" s="14"/>
    </row>
    <row r="1013" spans="33:34">
      <c r="AG1013" s="19"/>
      <c r="AH1013" s="14"/>
    </row>
    <row r="1014" spans="33:34">
      <c r="AG1014" s="19"/>
      <c r="AH1014" s="14"/>
    </row>
    <row r="1015" spans="33:34">
      <c r="AG1015" s="19"/>
      <c r="AH1015" s="14"/>
    </row>
    <row r="1016" spans="33:34">
      <c r="AG1016" s="19"/>
      <c r="AH1016" s="14"/>
    </row>
    <row r="1017" spans="33:34">
      <c r="AG1017" s="19"/>
      <c r="AH1017" s="14"/>
    </row>
    <row r="1018" spans="33:34">
      <c r="AG1018" s="19"/>
      <c r="AH1018" s="14"/>
    </row>
    <row r="1019" spans="33:34">
      <c r="AG1019" s="19"/>
      <c r="AH1019" s="14"/>
    </row>
    <row r="1020" spans="33:34">
      <c r="AG1020" s="19"/>
      <c r="AH1020" s="14"/>
    </row>
    <row r="1021" spans="33:34">
      <c r="AG1021" s="19"/>
      <c r="AH1021" s="14"/>
    </row>
    <row r="1022" spans="33:34">
      <c r="AG1022" s="19"/>
      <c r="AH1022" s="14"/>
    </row>
    <row r="1023" spans="33:34">
      <c r="AG1023" s="19"/>
      <c r="AH1023" s="14"/>
    </row>
    <row r="1024" spans="33:34">
      <c r="AG1024" s="19"/>
      <c r="AH1024" s="14"/>
    </row>
    <row r="1025" spans="33:34">
      <c r="AG1025" s="19"/>
      <c r="AH1025" s="14"/>
    </row>
    <row r="1026" spans="33:34">
      <c r="AG1026" s="19"/>
      <c r="AH1026" s="14"/>
    </row>
    <row r="1027" spans="33:34">
      <c r="AG1027" s="19"/>
      <c r="AH1027" s="14"/>
    </row>
    <row r="1028" spans="33:34">
      <c r="AG1028" s="19"/>
      <c r="AH1028" s="14"/>
    </row>
    <row r="1029" spans="33:34">
      <c r="AG1029" s="19"/>
      <c r="AH1029" s="14"/>
    </row>
    <row r="1030" spans="33:34">
      <c r="AG1030" s="19"/>
      <c r="AH1030" s="14"/>
    </row>
    <row r="1031" spans="33:34">
      <c r="AG1031" s="19"/>
      <c r="AH1031" s="14"/>
    </row>
    <row r="1032" spans="33:34">
      <c r="AG1032" s="19"/>
      <c r="AH1032" s="14"/>
    </row>
    <row r="1033" spans="33:34">
      <c r="AG1033" s="19"/>
      <c r="AH1033" s="14"/>
    </row>
    <row r="1034" spans="33:34">
      <c r="AG1034" s="19"/>
      <c r="AH1034" s="14"/>
    </row>
    <row r="1035" spans="33:34">
      <c r="AG1035" s="19"/>
      <c r="AH1035" s="14"/>
    </row>
    <row r="1036" spans="33:34">
      <c r="AG1036" s="19"/>
      <c r="AH1036" s="14"/>
    </row>
    <row r="1037" spans="33:34">
      <c r="AG1037" s="19"/>
      <c r="AH1037" s="14"/>
    </row>
    <row r="1038" spans="33:34">
      <c r="AG1038" s="19"/>
      <c r="AH1038" s="14"/>
    </row>
    <row r="1039" spans="33:34">
      <c r="AG1039" s="19"/>
      <c r="AH1039" s="14"/>
    </row>
    <row r="1040" spans="33:34">
      <c r="AG1040" s="19"/>
      <c r="AH1040" s="14"/>
    </row>
    <row r="1041" spans="33:34">
      <c r="AG1041" s="19"/>
      <c r="AH1041" s="14"/>
    </row>
    <row r="1042" spans="33:34">
      <c r="AG1042" s="19"/>
      <c r="AH1042" s="14"/>
    </row>
    <row r="1043" spans="33:34">
      <c r="AG1043" s="19"/>
      <c r="AH1043" s="14"/>
    </row>
    <row r="1044" spans="33:34">
      <c r="AG1044" s="19"/>
      <c r="AH1044" s="14"/>
    </row>
    <row r="1045" spans="33:34">
      <c r="AG1045" s="19"/>
      <c r="AH1045" s="14"/>
    </row>
    <row r="1046" spans="33:34">
      <c r="AG1046" s="19"/>
      <c r="AH1046" s="14"/>
    </row>
    <row r="1047" spans="33:34">
      <c r="AG1047" s="19"/>
      <c r="AH1047" s="14"/>
    </row>
    <row r="1048" spans="33:34">
      <c r="AG1048" s="19"/>
      <c r="AH1048" s="14"/>
    </row>
    <row r="1049" spans="33:34">
      <c r="AG1049" s="19"/>
      <c r="AH1049" s="14"/>
    </row>
    <row r="1050" spans="33:34">
      <c r="AG1050" s="19"/>
      <c r="AH1050" s="14"/>
    </row>
    <row r="1051" spans="33:34">
      <c r="AG1051" s="19"/>
      <c r="AH1051" s="14"/>
    </row>
    <row r="1052" spans="33:34">
      <c r="AG1052" s="19"/>
      <c r="AH1052" s="14"/>
    </row>
    <row r="1053" spans="33:34">
      <c r="AG1053" s="19"/>
      <c r="AH1053" s="14"/>
    </row>
    <row r="1054" spans="33:34">
      <c r="AG1054" s="19"/>
      <c r="AH1054" s="14"/>
    </row>
    <row r="1055" spans="33:34">
      <c r="AG1055" s="19"/>
      <c r="AH1055" s="14"/>
    </row>
    <row r="1056" spans="33:34">
      <c r="AG1056" s="19"/>
      <c r="AH1056" s="14"/>
    </row>
    <row r="1057" spans="33:34">
      <c r="AG1057" s="19"/>
      <c r="AH1057" s="14"/>
    </row>
    <row r="1058" spans="33:34">
      <c r="AG1058" s="19"/>
      <c r="AH1058" s="14"/>
    </row>
    <row r="1059" spans="33:34">
      <c r="AG1059" s="19"/>
      <c r="AH1059" s="14"/>
    </row>
    <row r="1060" spans="33:34">
      <c r="AG1060" s="19"/>
      <c r="AH1060" s="14"/>
    </row>
    <row r="1061" spans="33:34">
      <c r="AG1061" s="19"/>
      <c r="AH1061" s="14"/>
    </row>
    <row r="1062" spans="33:34">
      <c r="AG1062" s="19"/>
      <c r="AH1062" s="14"/>
    </row>
    <row r="1063" spans="33:34">
      <c r="AG1063" s="19"/>
      <c r="AH1063" s="14"/>
    </row>
    <row r="1064" spans="33:34">
      <c r="AG1064" s="19"/>
      <c r="AH1064" s="14"/>
    </row>
    <row r="1065" spans="33:34">
      <c r="AG1065" s="19"/>
      <c r="AH1065" s="14"/>
    </row>
    <row r="1066" spans="33:34">
      <c r="AG1066" s="19"/>
      <c r="AH1066" s="14"/>
    </row>
    <row r="1067" spans="33:34">
      <c r="AG1067" s="19"/>
      <c r="AH1067" s="14"/>
    </row>
    <row r="1068" spans="33:34">
      <c r="AG1068" s="19"/>
      <c r="AH1068" s="14"/>
    </row>
    <row r="1069" spans="33:34">
      <c r="AG1069" s="19"/>
      <c r="AH1069" s="14"/>
    </row>
    <row r="1070" spans="33:34">
      <c r="AG1070" s="19"/>
      <c r="AH1070" s="14"/>
    </row>
    <row r="1071" spans="33:34">
      <c r="AG1071" s="19"/>
      <c r="AH1071" s="14"/>
    </row>
    <row r="1072" spans="33:34">
      <c r="AG1072" s="19"/>
      <c r="AH1072" s="14"/>
    </row>
    <row r="1073" spans="33:34">
      <c r="AG1073" s="19"/>
      <c r="AH1073" s="14"/>
    </row>
    <row r="1074" spans="33:34">
      <c r="AG1074" s="19"/>
      <c r="AH1074" s="14"/>
    </row>
    <row r="1075" spans="33:34">
      <c r="AG1075" s="19"/>
      <c r="AH1075" s="14"/>
    </row>
    <row r="1076" spans="33:34">
      <c r="AG1076" s="19"/>
      <c r="AH1076" s="14"/>
    </row>
    <row r="1077" spans="33:34">
      <c r="AG1077" s="19"/>
      <c r="AH1077" s="14"/>
    </row>
    <row r="1078" spans="33:34">
      <c r="AG1078" s="19"/>
      <c r="AH1078" s="14"/>
    </row>
    <row r="1079" spans="33:34">
      <c r="AG1079" s="19"/>
      <c r="AH1079" s="14"/>
    </row>
    <row r="1080" spans="33:34">
      <c r="AG1080" s="19"/>
      <c r="AH1080" s="14"/>
    </row>
    <row r="1081" spans="33:34">
      <c r="AG1081" s="19"/>
      <c r="AH1081" s="14"/>
    </row>
    <row r="1082" spans="33:34">
      <c r="AG1082" s="19"/>
      <c r="AH1082" s="14"/>
    </row>
    <row r="1083" spans="33:34">
      <c r="AG1083" s="19"/>
      <c r="AH1083" s="14"/>
    </row>
    <row r="1084" spans="33:34">
      <c r="AG1084" s="19"/>
      <c r="AH1084" s="14"/>
    </row>
    <row r="1085" spans="33:34">
      <c r="AG1085" s="19"/>
      <c r="AH1085" s="14"/>
    </row>
    <row r="1086" spans="33:34">
      <c r="AG1086" s="19"/>
      <c r="AH1086" s="14"/>
    </row>
    <row r="1087" spans="33:34">
      <c r="AG1087" s="19"/>
      <c r="AH1087" s="14"/>
    </row>
    <row r="1088" spans="33:34">
      <c r="AG1088" s="19"/>
      <c r="AH1088" s="14"/>
    </row>
    <row r="1089" spans="33:34">
      <c r="AG1089" s="19"/>
      <c r="AH1089" s="14"/>
    </row>
    <row r="1090" spans="33:34">
      <c r="AG1090" s="19"/>
      <c r="AH1090" s="14"/>
    </row>
    <row r="1091" spans="33:34">
      <c r="AG1091" s="19"/>
      <c r="AH1091" s="14"/>
    </row>
    <row r="1092" spans="33:34">
      <c r="AG1092" s="19"/>
      <c r="AH1092" s="14"/>
    </row>
    <row r="1093" spans="33:34">
      <c r="AG1093" s="19"/>
      <c r="AH1093" s="14"/>
    </row>
    <row r="1094" spans="33:34">
      <c r="AG1094" s="19"/>
      <c r="AH1094" s="14"/>
    </row>
    <row r="1095" spans="33:34">
      <c r="AG1095" s="19"/>
      <c r="AH1095" s="14"/>
    </row>
    <row r="1096" spans="33:34">
      <c r="AG1096" s="19"/>
      <c r="AH1096" s="14"/>
    </row>
    <row r="1097" spans="33:34">
      <c r="AG1097" s="19"/>
      <c r="AH1097" s="14"/>
    </row>
    <row r="1098" spans="33:34">
      <c r="AG1098" s="19"/>
      <c r="AH1098" s="14"/>
    </row>
    <row r="1099" spans="33:34">
      <c r="AG1099" s="19"/>
      <c r="AH1099" s="14"/>
    </row>
    <row r="1100" spans="33:34">
      <c r="AG1100" s="19"/>
      <c r="AH1100" s="14"/>
    </row>
    <row r="1101" spans="33:34">
      <c r="AG1101" s="19"/>
      <c r="AH1101" s="14"/>
    </row>
    <row r="1102" spans="33:34">
      <c r="AG1102" s="19"/>
      <c r="AH1102" s="14"/>
    </row>
    <row r="1103" spans="33:34">
      <c r="AG1103" s="19"/>
      <c r="AH1103" s="14"/>
    </row>
    <row r="1104" spans="33:34">
      <c r="AG1104" s="19"/>
      <c r="AH1104" s="14"/>
    </row>
    <row r="1105" spans="33:34">
      <c r="AG1105" s="19"/>
      <c r="AH1105" s="14"/>
    </row>
    <row r="1106" spans="33:34">
      <c r="AG1106" s="19"/>
      <c r="AH1106" s="14"/>
    </row>
    <row r="1107" spans="33:34">
      <c r="AG1107" s="19"/>
      <c r="AH1107" s="14"/>
    </row>
    <row r="1108" spans="33:34">
      <c r="AG1108" s="19"/>
      <c r="AH1108" s="14"/>
    </row>
    <row r="1109" spans="33:34">
      <c r="AG1109" s="19"/>
      <c r="AH1109" s="14"/>
    </row>
    <row r="1110" spans="33:34">
      <c r="AG1110" s="19"/>
      <c r="AH1110" s="14"/>
    </row>
    <row r="1111" spans="33:34">
      <c r="AG1111" s="19"/>
      <c r="AH1111" s="14"/>
    </row>
    <row r="1112" spans="33:34">
      <c r="AG1112" s="19"/>
      <c r="AH1112" s="14"/>
    </row>
    <row r="1113" spans="33:34">
      <c r="AG1113" s="19"/>
      <c r="AH1113" s="14"/>
    </row>
    <row r="1114" spans="33:34">
      <c r="AG1114" s="19"/>
      <c r="AH1114" s="14"/>
    </row>
    <row r="1115" spans="33:34">
      <c r="AG1115" s="19"/>
      <c r="AH1115" s="14"/>
    </row>
    <row r="1116" spans="33:34">
      <c r="AG1116" s="19"/>
      <c r="AH1116" s="14"/>
    </row>
    <row r="1117" spans="33:34">
      <c r="AG1117" s="19"/>
      <c r="AH1117" s="14"/>
    </row>
    <row r="1118" spans="33:34">
      <c r="AG1118" s="19"/>
      <c r="AH1118" s="14"/>
    </row>
    <row r="1119" spans="33:34">
      <c r="AG1119" s="19"/>
      <c r="AH1119" s="14"/>
    </row>
    <row r="1120" spans="33:34">
      <c r="AG1120" s="19"/>
      <c r="AH1120" s="14"/>
    </row>
    <row r="1121" spans="33:34">
      <c r="AG1121" s="19"/>
      <c r="AH1121" s="14"/>
    </row>
    <row r="1122" spans="33:34">
      <c r="AG1122" s="19"/>
      <c r="AH1122" s="14"/>
    </row>
    <row r="1123" spans="33:34">
      <c r="AG1123" s="19"/>
      <c r="AH1123" s="14"/>
    </row>
    <row r="1124" spans="33:34">
      <c r="AG1124" s="19"/>
      <c r="AH1124" s="14"/>
    </row>
    <row r="1125" spans="33:34">
      <c r="AG1125" s="19"/>
      <c r="AH1125" s="14"/>
    </row>
    <row r="1126" spans="33:34">
      <c r="AG1126" s="19"/>
      <c r="AH1126" s="14"/>
    </row>
    <row r="1127" spans="33:34">
      <c r="AG1127" s="19"/>
      <c r="AH1127" s="14"/>
    </row>
    <row r="1128" spans="33:34">
      <c r="AG1128" s="19"/>
      <c r="AH1128" s="14"/>
    </row>
    <row r="1129" spans="33:34">
      <c r="AG1129" s="19"/>
      <c r="AH1129" s="14"/>
    </row>
    <row r="1130" spans="33:34">
      <c r="AG1130" s="19"/>
      <c r="AH1130" s="14"/>
    </row>
    <row r="1131" spans="33:34">
      <c r="AG1131" s="19"/>
      <c r="AH1131" s="14"/>
    </row>
    <row r="1132" spans="33:34">
      <c r="AG1132" s="19"/>
      <c r="AH1132" s="14"/>
    </row>
    <row r="1133" spans="33:34">
      <c r="AG1133" s="19"/>
      <c r="AH1133" s="14"/>
    </row>
    <row r="1134" spans="33:34">
      <c r="AG1134" s="19"/>
      <c r="AH1134" s="14"/>
    </row>
    <row r="1135" spans="33:34">
      <c r="AG1135" s="19"/>
      <c r="AH1135" s="14"/>
    </row>
    <row r="1136" spans="33:34">
      <c r="AG1136" s="19"/>
      <c r="AH1136" s="14"/>
    </row>
    <row r="1137" spans="33:34">
      <c r="AG1137" s="19"/>
      <c r="AH1137" s="14"/>
    </row>
    <row r="1138" spans="33:34">
      <c r="AG1138" s="19"/>
      <c r="AH1138" s="14"/>
    </row>
    <row r="1139" spans="33:34">
      <c r="AG1139" s="19"/>
      <c r="AH1139" s="14"/>
    </row>
    <row r="1140" spans="33:34">
      <c r="AG1140" s="19"/>
      <c r="AH1140" s="14"/>
    </row>
    <row r="1141" spans="33:34">
      <c r="AG1141" s="19"/>
      <c r="AH1141" s="14"/>
    </row>
    <row r="1142" spans="33:34">
      <c r="AG1142" s="19"/>
      <c r="AH1142" s="14"/>
    </row>
    <row r="1143" spans="33:34">
      <c r="AG1143" s="19"/>
      <c r="AH1143" s="14"/>
    </row>
    <row r="1144" spans="33:34">
      <c r="AG1144" s="19"/>
      <c r="AH1144" s="14"/>
    </row>
    <row r="1145" spans="33:34">
      <c r="AG1145" s="19"/>
      <c r="AH1145" s="14"/>
    </row>
    <row r="1146" spans="33:34">
      <c r="AG1146" s="19"/>
      <c r="AH1146" s="14"/>
    </row>
    <row r="1147" spans="33:34">
      <c r="AG1147" s="19"/>
      <c r="AH1147" s="14"/>
    </row>
    <row r="1148" spans="33:34">
      <c r="AG1148" s="19"/>
      <c r="AH1148" s="14"/>
    </row>
    <row r="1149" spans="33:34">
      <c r="AG1149" s="19"/>
      <c r="AH1149" s="14"/>
    </row>
    <row r="1150" spans="33:34">
      <c r="AG1150" s="19"/>
      <c r="AH1150" s="14"/>
    </row>
    <row r="1151" spans="33:34">
      <c r="AG1151" s="19"/>
      <c r="AH1151" s="14"/>
    </row>
    <row r="1152" spans="33:34">
      <c r="AG1152" s="19"/>
      <c r="AH1152" s="14"/>
    </row>
    <row r="1153" spans="33:34">
      <c r="AG1153" s="19"/>
      <c r="AH1153" s="14"/>
    </row>
    <row r="1154" spans="33:34">
      <c r="AG1154" s="19"/>
      <c r="AH1154" s="14"/>
    </row>
    <row r="1155" spans="33:34">
      <c r="AG1155" s="19"/>
      <c r="AH1155" s="14"/>
    </row>
    <row r="1156" spans="33:34">
      <c r="AG1156" s="19"/>
      <c r="AH1156" s="14"/>
    </row>
    <row r="1157" spans="33:34">
      <c r="AG1157" s="19"/>
      <c r="AH1157" s="14"/>
    </row>
    <row r="1158" spans="33:34">
      <c r="AG1158" s="19"/>
      <c r="AH1158" s="14"/>
    </row>
    <row r="1159" spans="33:34">
      <c r="AG1159" s="19"/>
      <c r="AH1159" s="14"/>
    </row>
    <row r="1160" spans="33:34">
      <c r="AG1160" s="19"/>
      <c r="AH1160" s="14"/>
    </row>
    <row r="1161" spans="33:34">
      <c r="AG1161" s="19"/>
      <c r="AH1161" s="14"/>
    </row>
    <row r="1162" spans="33:34">
      <c r="AG1162" s="19"/>
      <c r="AH1162" s="14"/>
    </row>
    <row r="1163" spans="33:34">
      <c r="AG1163" s="19"/>
      <c r="AH1163" s="14"/>
    </row>
    <row r="1164" spans="33:34">
      <c r="AG1164" s="19"/>
      <c r="AH1164" s="14"/>
    </row>
    <row r="1165" spans="33:34">
      <c r="AG1165" s="19"/>
      <c r="AH1165" s="14"/>
    </row>
    <row r="1166" spans="33:34">
      <c r="AG1166" s="19"/>
      <c r="AH1166" s="14"/>
    </row>
    <row r="1167" spans="33:34">
      <c r="AG1167" s="19"/>
      <c r="AH1167" s="14"/>
    </row>
    <row r="1168" spans="33:34">
      <c r="AG1168" s="19"/>
      <c r="AH1168" s="14"/>
    </row>
    <row r="1169" spans="33:34">
      <c r="AG1169" s="19"/>
      <c r="AH1169" s="14"/>
    </row>
    <row r="1170" spans="33:34">
      <c r="AG1170" s="19"/>
      <c r="AH1170" s="14"/>
    </row>
    <row r="1171" spans="33:34">
      <c r="AG1171" s="19"/>
      <c r="AH1171" s="14"/>
    </row>
    <row r="1172" spans="33:34">
      <c r="AG1172" s="19"/>
      <c r="AH1172" s="14"/>
    </row>
    <row r="1173" spans="33:34">
      <c r="AG1173" s="19"/>
      <c r="AH1173" s="14"/>
    </row>
    <row r="1174" spans="33:34">
      <c r="AG1174" s="19"/>
      <c r="AH1174" s="14"/>
    </row>
    <row r="1175" spans="33:34">
      <c r="AG1175" s="19"/>
      <c r="AH1175" s="14"/>
    </row>
    <row r="1176" spans="33:34">
      <c r="AG1176" s="19"/>
      <c r="AH1176" s="14"/>
    </row>
    <row r="1177" spans="33:34">
      <c r="AG1177" s="19"/>
      <c r="AH1177" s="14"/>
    </row>
    <row r="1178" spans="33:34">
      <c r="AG1178" s="19"/>
      <c r="AH1178" s="14"/>
    </row>
    <row r="1179" spans="33:34">
      <c r="AG1179" s="19"/>
      <c r="AH1179" s="14"/>
    </row>
    <row r="1180" spans="33:34">
      <c r="AG1180" s="19"/>
      <c r="AH1180" s="14"/>
    </row>
    <row r="1181" spans="33:34">
      <c r="AG1181" s="19"/>
      <c r="AH1181" s="14"/>
    </row>
    <row r="1182" spans="33:34">
      <c r="AG1182" s="19"/>
      <c r="AH1182" s="14"/>
    </row>
    <row r="1183" spans="33:34">
      <c r="AG1183" s="19"/>
      <c r="AH1183" s="14"/>
    </row>
    <row r="1184" spans="33:34">
      <c r="AG1184" s="19"/>
      <c r="AH1184" s="14"/>
    </row>
    <row r="1185" spans="33:34">
      <c r="AG1185" s="19"/>
      <c r="AH1185" s="14"/>
    </row>
    <row r="1186" spans="33:34">
      <c r="AG1186" s="19"/>
      <c r="AH1186" s="14"/>
    </row>
    <row r="1187" spans="33:34">
      <c r="AG1187" s="19"/>
      <c r="AH1187" s="14"/>
    </row>
    <row r="1188" spans="33:34">
      <c r="AG1188" s="19"/>
      <c r="AH1188" s="14"/>
    </row>
    <row r="1189" spans="33:34">
      <c r="AG1189" s="19"/>
      <c r="AH1189" s="14"/>
    </row>
    <row r="1190" spans="33:34">
      <c r="AG1190" s="19"/>
      <c r="AH1190" s="14"/>
    </row>
    <row r="1191" spans="33:34">
      <c r="AG1191" s="19"/>
      <c r="AH1191" s="14"/>
    </row>
    <row r="1192" spans="33:34">
      <c r="AG1192" s="19"/>
      <c r="AH1192" s="14"/>
    </row>
    <row r="1193" spans="33:34">
      <c r="AG1193" s="19"/>
      <c r="AH1193" s="14"/>
    </row>
    <row r="1194" spans="33:34">
      <c r="AG1194" s="19"/>
      <c r="AH1194" s="14"/>
    </row>
    <row r="1195" spans="33:34">
      <c r="AG1195" s="19"/>
      <c r="AH1195" s="14"/>
    </row>
    <row r="1196" spans="33:34">
      <c r="AG1196" s="19"/>
      <c r="AH1196" s="14"/>
    </row>
    <row r="1197" spans="33:34">
      <c r="AG1197" s="19"/>
      <c r="AH1197" s="14"/>
    </row>
    <row r="1198" spans="33:34">
      <c r="AG1198" s="19"/>
      <c r="AH1198" s="14"/>
    </row>
    <row r="1199" spans="33:34">
      <c r="AG1199" s="19"/>
      <c r="AH1199" s="14"/>
    </row>
    <row r="1200" spans="33:34">
      <c r="AG1200" s="19"/>
      <c r="AH1200" s="14"/>
    </row>
    <row r="1201" spans="33:34">
      <c r="AG1201" s="19"/>
      <c r="AH1201" s="14"/>
    </row>
    <row r="1202" spans="33:34">
      <c r="AG1202" s="19"/>
      <c r="AH1202" s="14"/>
    </row>
    <row r="1203" spans="33:34">
      <c r="AG1203" s="19"/>
      <c r="AH1203" s="14"/>
    </row>
    <row r="1204" spans="33:34">
      <c r="AG1204" s="19"/>
      <c r="AH1204" s="14"/>
    </row>
    <row r="1205" spans="33:34">
      <c r="AG1205" s="19"/>
      <c r="AH1205" s="14"/>
    </row>
    <row r="1206" spans="33:34">
      <c r="AG1206" s="19"/>
      <c r="AH1206" s="14"/>
    </row>
    <row r="1207" spans="33:34">
      <c r="AG1207" s="19"/>
      <c r="AH1207" s="14"/>
    </row>
    <row r="1208" spans="33:34">
      <c r="AG1208" s="19"/>
      <c r="AH1208" s="14"/>
    </row>
    <row r="1209" spans="33:34">
      <c r="AG1209" s="19"/>
      <c r="AH1209" s="14"/>
    </row>
    <row r="1210" spans="33:34">
      <c r="AG1210" s="19"/>
      <c r="AH1210" s="14"/>
    </row>
    <row r="1211" spans="33:34">
      <c r="AG1211" s="19"/>
      <c r="AH1211" s="14"/>
    </row>
    <row r="1212" spans="33:34">
      <c r="AG1212" s="19"/>
      <c r="AH1212" s="14"/>
    </row>
    <row r="1213" spans="33:34">
      <c r="AG1213" s="19"/>
      <c r="AH1213" s="14"/>
    </row>
    <row r="1214" spans="33:34">
      <c r="AG1214" s="19"/>
      <c r="AH1214" s="14"/>
    </row>
    <row r="1215" spans="33:34">
      <c r="AG1215" s="19"/>
      <c r="AH1215" s="14"/>
    </row>
    <row r="1216" spans="33:34">
      <c r="AG1216" s="19"/>
      <c r="AH1216" s="14"/>
    </row>
    <row r="1217" spans="33:34">
      <c r="AG1217" s="19"/>
      <c r="AH1217" s="14"/>
    </row>
    <row r="1218" spans="33:34">
      <c r="AG1218" s="19"/>
      <c r="AH1218" s="14"/>
    </row>
    <row r="1219" spans="33:34">
      <c r="AG1219" s="19"/>
      <c r="AH1219" s="14"/>
    </row>
    <row r="1220" spans="33:34">
      <c r="AG1220" s="19"/>
      <c r="AH1220" s="14"/>
    </row>
    <row r="1221" spans="33:34">
      <c r="AG1221" s="19"/>
      <c r="AH1221" s="14"/>
    </row>
    <row r="1222" spans="33:34">
      <c r="AG1222" s="19"/>
      <c r="AH1222" s="14"/>
    </row>
    <row r="1223" spans="33:34">
      <c r="AG1223" s="19"/>
      <c r="AH1223" s="14"/>
    </row>
    <row r="1224" spans="33:34">
      <c r="AG1224" s="19"/>
      <c r="AH1224" s="14"/>
    </row>
    <row r="1225" spans="33:34">
      <c r="AG1225" s="19"/>
      <c r="AH1225" s="14"/>
    </row>
    <row r="1226" spans="33:34">
      <c r="AG1226" s="19"/>
      <c r="AH1226" s="14"/>
    </row>
    <row r="1227" spans="33:34">
      <c r="AG1227" s="19"/>
      <c r="AH1227" s="14"/>
    </row>
    <row r="1228" spans="33:34">
      <c r="AG1228" s="19"/>
      <c r="AH1228" s="14"/>
    </row>
    <row r="1229" spans="33:34">
      <c r="AG1229" s="19"/>
      <c r="AH1229" s="14"/>
    </row>
    <row r="1230" spans="33:34">
      <c r="AG1230" s="19"/>
      <c r="AH1230" s="14"/>
    </row>
    <row r="1231" spans="33:34">
      <c r="AG1231" s="19"/>
      <c r="AH1231" s="14"/>
    </row>
    <row r="1232" spans="33:34">
      <c r="AG1232" s="19"/>
      <c r="AH1232" s="14"/>
    </row>
    <row r="1233" spans="33:34">
      <c r="AG1233" s="19"/>
      <c r="AH1233" s="14"/>
    </row>
    <row r="1234" spans="33:34">
      <c r="AG1234" s="19"/>
      <c r="AH1234" s="14"/>
    </row>
    <row r="1235" spans="33:34">
      <c r="AG1235" s="19"/>
      <c r="AH1235" s="14"/>
    </row>
    <row r="1236" spans="33:34">
      <c r="AG1236" s="19"/>
      <c r="AH1236" s="14"/>
    </row>
    <row r="1237" spans="33:34">
      <c r="AG1237" s="19"/>
      <c r="AH1237" s="14"/>
    </row>
    <row r="1238" spans="33:34">
      <c r="AG1238" s="19"/>
      <c r="AH1238" s="14"/>
    </row>
    <row r="1239" spans="33:34">
      <c r="AG1239" s="19"/>
      <c r="AH1239" s="14"/>
    </row>
    <row r="1240" spans="33:34">
      <c r="AG1240" s="19"/>
      <c r="AH1240" s="14"/>
    </row>
    <row r="1241" spans="33:34">
      <c r="AG1241" s="19"/>
      <c r="AH1241" s="14"/>
    </row>
    <row r="1242" spans="33:34">
      <c r="AG1242" s="19"/>
      <c r="AH1242" s="14"/>
    </row>
    <row r="1243" spans="33:34">
      <c r="AG1243" s="19"/>
      <c r="AH1243" s="14"/>
    </row>
    <row r="1244" spans="33:34">
      <c r="AG1244" s="19"/>
      <c r="AH1244" s="14"/>
    </row>
    <row r="1245" spans="33:34">
      <c r="AG1245" s="19"/>
      <c r="AH1245" s="14"/>
    </row>
    <row r="1246" spans="33:34">
      <c r="AG1246" s="19"/>
      <c r="AH1246" s="14"/>
    </row>
    <row r="1247" spans="33:34">
      <c r="AG1247" s="19"/>
      <c r="AH1247" s="14"/>
    </row>
    <row r="1248" spans="33:34">
      <c r="AG1248" s="19"/>
      <c r="AH1248" s="14"/>
    </row>
    <row r="1249" spans="33:34">
      <c r="AG1249" s="19"/>
      <c r="AH1249" s="14"/>
    </row>
    <row r="1250" spans="33:34">
      <c r="AG1250" s="19"/>
      <c r="AH1250" s="14"/>
    </row>
    <row r="1251" spans="33:34">
      <c r="AG1251" s="19"/>
      <c r="AH1251" s="14"/>
    </row>
    <row r="1252" spans="33:34">
      <c r="AG1252" s="19"/>
      <c r="AH1252" s="14"/>
    </row>
    <row r="1253" spans="33:34">
      <c r="AG1253" s="19"/>
      <c r="AH1253" s="14"/>
    </row>
    <row r="1254" spans="33:34">
      <c r="AG1254" s="19"/>
      <c r="AH1254" s="14"/>
    </row>
    <row r="1255" spans="33:34">
      <c r="AG1255" s="19"/>
      <c r="AH1255" s="14"/>
    </row>
    <row r="1256" spans="33:34">
      <c r="AG1256" s="19"/>
      <c r="AH1256" s="14"/>
    </row>
    <row r="1257" spans="33:34">
      <c r="AG1257" s="19"/>
      <c r="AH1257" s="14"/>
    </row>
    <row r="1258" spans="33:34">
      <c r="AG1258" s="19"/>
      <c r="AH1258" s="14"/>
    </row>
    <row r="1259" spans="33:34">
      <c r="AG1259" s="19"/>
      <c r="AH1259" s="14"/>
    </row>
    <row r="1260" spans="33:34">
      <c r="AG1260" s="19"/>
      <c r="AH1260" s="14"/>
    </row>
    <row r="1261" spans="33:34">
      <c r="AG1261" s="19"/>
      <c r="AH1261" s="14"/>
    </row>
    <row r="1262" spans="33:34">
      <c r="AG1262" s="19"/>
      <c r="AH1262" s="14"/>
    </row>
    <row r="1263" spans="33:34">
      <c r="AG1263" s="19"/>
      <c r="AH1263" s="14"/>
    </row>
    <row r="1264" spans="33:34">
      <c r="AG1264" s="19"/>
      <c r="AH1264" s="14"/>
    </row>
    <row r="1265" spans="33:34">
      <c r="AG1265" s="19"/>
      <c r="AH1265" s="14"/>
    </row>
    <row r="1266" spans="33:34">
      <c r="AG1266" s="19"/>
      <c r="AH1266" s="14"/>
    </row>
    <row r="1267" spans="33:34">
      <c r="AG1267" s="19"/>
      <c r="AH1267" s="14"/>
    </row>
    <row r="1268" spans="33:34">
      <c r="AG1268" s="19"/>
      <c r="AH1268" s="14"/>
    </row>
    <row r="1269" spans="33:34">
      <c r="AG1269" s="19"/>
      <c r="AH1269" s="14"/>
    </row>
    <row r="1270" spans="33:34">
      <c r="AG1270" s="19"/>
      <c r="AH1270" s="14"/>
    </row>
    <row r="1271" spans="33:34">
      <c r="AG1271" s="19"/>
      <c r="AH1271" s="14"/>
    </row>
    <row r="1272" spans="33:34">
      <c r="AG1272" s="19"/>
      <c r="AH1272" s="14"/>
    </row>
    <row r="1273" spans="33:34">
      <c r="AG1273" s="19"/>
      <c r="AH1273" s="14"/>
    </row>
    <row r="1274" spans="33:34">
      <c r="AG1274" s="19"/>
      <c r="AH1274" s="14"/>
    </row>
    <row r="1275" spans="33:34">
      <c r="AG1275" s="19"/>
      <c r="AH1275" s="14"/>
    </row>
    <row r="1276" spans="33:34">
      <c r="AG1276" s="19"/>
      <c r="AH1276" s="14"/>
    </row>
    <row r="1277" spans="33:34">
      <c r="AG1277" s="19"/>
      <c r="AH1277" s="14"/>
    </row>
    <row r="1278" spans="33:34">
      <c r="AG1278" s="19"/>
      <c r="AH1278" s="14"/>
    </row>
    <row r="1279" spans="33:34">
      <c r="AG1279" s="19"/>
      <c r="AH1279" s="14"/>
    </row>
    <row r="1280" spans="33:34">
      <c r="AG1280" s="19"/>
      <c r="AH1280" s="14"/>
    </row>
  </sheetData>
  <sortState ref="A2:AG933">
    <sortCondition ref="C1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cleaned_orders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Anaina Jolly</dc:creator>
  <cp:lastModifiedBy>RENY</cp:lastModifiedBy>
  <dcterms:created xsi:type="dcterms:W3CDTF">2026-06-27T20:25:22Z</dcterms:created>
  <dcterms:modified xsi:type="dcterms:W3CDTF">2026-06-28T13:43:35Z</dcterms:modified>
</cp:coreProperties>
</file>