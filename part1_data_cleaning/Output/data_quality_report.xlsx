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its\assignments\capstone\final\part1_data_cleaning\"/>
    </mc:Choice>
  </mc:AlternateContent>
  <bookViews>
    <workbookView xWindow="0" yWindow="0" windowWidth="20490" windowHeight="7035" tabRatio="500" firstSheet="6" activeTab="6"/>
  </bookViews>
  <sheets>
    <sheet name="1 - Missing Values" sheetId="1" r:id="rId1"/>
    <sheet name="2 - Duplicate Summary" sheetId="2" r:id="rId2"/>
    <sheet name="3 - Discount Issues" sheetId="3" r:id="rId3"/>
    <sheet name="4 - Date Issues" sheetId="4" r:id="rId4"/>
    <sheet name="5 - Order Status Summary" sheetId="5" r:id="rId5"/>
    <sheet name="6 - Sales Calc Check" sheetId="6" r:id="rId6"/>
    <sheet name="7 - Quality Summary" sheetId="7" r:id="rId7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7" l="1"/>
  <c r="C3" i="7"/>
  <c r="C4" i="7"/>
  <c r="C2" i="7"/>
  <c r="C3" i="1"/>
  <c r="C4" i="1"/>
  <c r="C5" i="1"/>
  <c r="C6" i="1"/>
  <c r="C2" i="1"/>
</calcChain>
</file>

<file path=xl/sharedStrings.xml><?xml version="1.0" encoding="utf-8"?>
<sst xmlns="http://schemas.openxmlformats.org/spreadsheetml/2006/main" count="114" uniqueCount="81">
  <si>
    <t>Column</t>
  </si>
  <si>
    <t>Missing Count</t>
  </si>
  <si>
    <t>% Missing</t>
  </si>
  <si>
    <t>Action Taken</t>
  </si>
  <si>
    <t>region</t>
  </si>
  <si>
    <t>Filled as "Unknown"</t>
  </si>
  <si>
    <t>ship_mode</t>
  </si>
  <si>
    <t>discount (raw)</t>
  </si>
  <si>
    <t>Treated as 0</t>
  </si>
  <si>
    <t>order_date</t>
  </si>
  <si>
    <t>Flagged - Missing Date</t>
  </si>
  <si>
    <t>ship_date</t>
  </si>
  <si>
    <t>Metric</t>
  </si>
  <si>
    <t>Count</t>
  </si>
  <si>
    <t>Notes</t>
  </si>
  <si>
    <t>Exact duplicate rows found</t>
  </si>
  <si>
    <t>Removed from cleaned dataset</t>
  </si>
  <si>
    <t>Conflicting duplicate order_ids</t>
  </si>
  <si>
    <t>Flagged as "Conflicting Duplicate" — kept</t>
  </si>
  <si>
    <t>Rows with duplicate order_id</t>
  </si>
  <si>
    <t>Visible in data_quality_flag = Invalid</t>
  </si>
  <si>
    <t>Records removed (exact dupes)</t>
  </si>
  <si>
    <t>Removed before all other cleaning</t>
  </si>
  <si>
    <t>Records flagged for review</t>
  </si>
  <si>
    <t>Review duplicate_flag column</t>
  </si>
  <si>
    <t>Final row count after dedup</t>
  </si>
  <si>
    <t>From original 932 rows</t>
  </si>
  <si>
    <t>Discount Flag</t>
  </si>
  <si>
    <t>% of Total</t>
  </si>
  <si>
    <t>Business Rule Applied</t>
  </si>
  <si>
    <t>Valid</t>
  </si>
  <si>
    <t>Used as-is in calculations</t>
  </si>
  <si>
    <t>Missing</t>
  </si>
  <si>
    <t>Treated as 0 (cleaned_discount = 0)</t>
  </si>
  <si>
    <t>Invalid - Above Range</t>
  </si>
  <si>
    <t>Flagged (&gt;50%); excluded from calculated_sales</t>
  </si>
  <si>
    <t>Invalid - Negative</t>
  </si>
  <si>
    <t>Flagged; excluded from calculated_sales</t>
  </si>
  <si>
    <t>Date Flag</t>
  </si>
  <si>
    <t>Both dates parsed; ship date &gt;= order date</t>
  </si>
  <si>
    <t>Invalid - Ship Before Order</t>
  </si>
  <si>
    <t>Flagged; shipping_delay_days left blank</t>
  </si>
  <si>
    <t>Order Status</t>
  </si>
  <si>
    <t>Payment Status</t>
  </si>
  <si>
    <t>Included in Sales?</t>
  </si>
  <si>
    <t>Cancelled</t>
  </si>
  <si>
    <t>Failed</t>
  </si>
  <si>
    <t>Review</t>
  </si>
  <si>
    <t>Paid</t>
  </si>
  <si>
    <t>No</t>
  </si>
  <si>
    <t>Cancelled order excluded</t>
  </si>
  <si>
    <t>Pending</t>
  </si>
  <si>
    <t>Refunded</t>
  </si>
  <si>
    <t>Cancelled + refunded</t>
  </si>
  <si>
    <t>Completed</t>
  </si>
  <si>
    <t>Failed payment excluded</t>
  </si>
  <si>
    <t>Yes</t>
  </si>
  <si>
    <t>Core revenue</t>
  </si>
  <si>
    <t>Returned</t>
  </si>
  <si>
    <t>Returned excluded</t>
  </si>
  <si>
    <t>Returned + pending</t>
  </si>
  <si>
    <t>Returned + refunded</t>
  </si>
  <si>
    <t>Value</t>
  </si>
  <si>
    <t>Total records checked</t>
  </si>
  <si>
    <t>Valid or missing discount only</t>
  </si>
  <si>
    <t>Exact matches (within ₹1)</t>
  </si>
  <si>
    <t>Mismatches (&gt;₹1 difference)</t>
  </si>
  <si>
    <t>May indicate data entry errors</t>
  </si>
  <si>
    <t>Total reported sales</t>
  </si>
  <si>
    <t>Total calculated sales</t>
  </si>
  <si>
    <t>Difference</t>
  </si>
  <si>
    <t>Positive = calc higher</t>
  </si>
  <si>
    <t>Data Quality Flag</t>
  </si>
  <si>
    <t>Description</t>
  </si>
  <si>
    <t>Clean</t>
  </si>
  <si>
    <t>All fields valid, calculations match, no issues</t>
  </si>
  <si>
    <t>Invalid</t>
  </si>
  <si>
    <t>Negative discount, ship before order, or conflicting duplicate ID</t>
  </si>
  <si>
    <t>Warning</t>
  </si>
  <si>
    <t>Missing values filled with defaults (Unknown/0)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</si>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</sst>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5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A235A"/>
        <bgColor rgb="FF333399"/>
      </patternFill>
    </fill>
    <fill>
      <patternFill patternType="solid">
        <fgColor rgb="FFFFF3CD"/>
        <bgColor rgb="FFFFDEDE"/>
      </patternFill>
    </fill>
    <fill>
      <patternFill patternType="solid">
        <fgColor rgb="FFDFFADF"/>
        <bgColor rgb="FFCCFFFF"/>
      </patternFill>
    </fill>
    <fill>
      <patternFill patternType="solid">
        <fgColor rgb="FFFFDEDE"/>
        <bgColor rgb="FFFFF3CD"/>
      </patternFill>
    </fill>
    <fill>
      <patternFill patternType="solid">
        <fgColor rgb="FFFFFFFF"/>
        <bgColor rgb="FFFFF3C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0" xfId="0" applyFont="1"/>
    <xf numFmtId="164" fontId="0" fillId="0" borderId="0" xfId="0" applyNumberFormat="1"/>
    <xf numFmtId="0" fontId="1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ADF"/>
      <rgbColor rgb="FFFFFF99"/>
      <rgbColor rgb="FF99CCFF"/>
      <rgbColor rgb="FFFF99CC"/>
      <rgbColor rgb="FFCC99FF"/>
      <rgbColor rgb="FFFFDED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23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zoomScaleNormal="100" workbookViewId="0">
      <selection activeCell="C2" sqref="C2"/>
    </sheetView>
  </sheetViews>
  <sheetFormatPr defaultColWidth="8.7109375" defaultRowHeight="15" x14ac:dyDescent="0.25"/>
  <cols>
    <col min="1" max="1" width="16" customWidth="1"/>
    <col min="2" max="2" width="15" customWidth="1"/>
    <col min="3" max="3" width="22" customWidth="1"/>
    <col min="4" max="4" width="24" customWidth="1"/>
  </cols>
  <sheetData>
    <row r="1" spans="1:4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12">
        <v>25</v>
      </c>
      <c r="C2" s="3">
        <f>B2/912</f>
        <v>2.7412280701754384E-2</v>
      </c>
      <c r="D2" s="2" t="s">
        <v>5</v>
      </c>
    </row>
    <row r="3" spans="1:4" x14ac:dyDescent="0.25">
      <c r="A3" s="2" t="s">
        <v>6</v>
      </c>
      <c r="B3" s="2">
        <v>21</v>
      </c>
      <c r="C3" s="3">
        <f t="shared" ref="C3:C6" si="0">B3/912</f>
        <v>2.3026315789473683E-2</v>
      </c>
      <c r="D3" s="2" t="s">
        <v>5</v>
      </c>
    </row>
    <row r="4" spans="1:4" x14ac:dyDescent="0.25">
      <c r="A4" s="2" t="s">
        <v>7</v>
      </c>
      <c r="B4" s="2">
        <v>18</v>
      </c>
      <c r="C4" s="3">
        <f t="shared" si="0"/>
        <v>1.9736842105263157E-2</v>
      </c>
      <c r="D4" s="2" t="s">
        <v>8</v>
      </c>
    </row>
    <row r="5" spans="1:4" x14ac:dyDescent="0.25">
      <c r="A5" s="4" t="s">
        <v>9</v>
      </c>
      <c r="B5" s="4">
        <v>0</v>
      </c>
      <c r="C5" s="3">
        <f t="shared" si="0"/>
        <v>0</v>
      </c>
      <c r="D5" s="4" t="s">
        <v>10</v>
      </c>
    </row>
    <row r="6" spans="1:4" x14ac:dyDescent="0.25">
      <c r="A6" s="4" t="s">
        <v>11</v>
      </c>
      <c r="B6" s="4">
        <v>0</v>
      </c>
      <c r="C6" s="3">
        <f t="shared" si="0"/>
        <v>0</v>
      </c>
      <c r="D6" s="4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zoomScaleNormal="100" workbookViewId="0"/>
  </sheetViews>
  <sheetFormatPr defaultColWidth="8.7109375" defaultRowHeight="15" x14ac:dyDescent="0.25"/>
  <cols>
    <col min="1" max="1" width="33" customWidth="1"/>
    <col min="2" max="2" width="12" customWidth="1"/>
    <col min="3" max="3" width="40" customWidth="1"/>
  </cols>
  <sheetData>
    <row r="1" spans="1:3" ht="27.75" customHeight="1" x14ac:dyDescent="0.25">
      <c r="A1" s="1" t="s">
        <v>12</v>
      </c>
      <c r="B1" s="1" t="s">
        <v>13</v>
      </c>
      <c r="C1" s="1" t="s">
        <v>14</v>
      </c>
    </row>
    <row r="2" spans="1:3" x14ac:dyDescent="0.25">
      <c r="A2" s="6" t="s">
        <v>15</v>
      </c>
      <c r="B2" s="6">
        <v>20</v>
      </c>
      <c r="C2" s="6" t="s">
        <v>16</v>
      </c>
    </row>
    <row r="3" spans="1:3" x14ac:dyDescent="0.25">
      <c r="A3" s="6" t="s">
        <v>17</v>
      </c>
      <c r="B3" s="6">
        <v>12</v>
      </c>
      <c r="C3" s="6" t="s">
        <v>18</v>
      </c>
    </row>
    <row r="4" spans="1:3" x14ac:dyDescent="0.25">
      <c r="A4" s="6" t="s">
        <v>19</v>
      </c>
      <c r="B4" s="6">
        <v>24</v>
      </c>
      <c r="C4" s="6" t="s">
        <v>20</v>
      </c>
    </row>
    <row r="5" spans="1:3" x14ac:dyDescent="0.25">
      <c r="A5" s="6" t="s">
        <v>21</v>
      </c>
      <c r="B5" s="6">
        <v>20</v>
      </c>
      <c r="C5" s="6" t="s">
        <v>22</v>
      </c>
    </row>
    <row r="6" spans="1:3" x14ac:dyDescent="0.25">
      <c r="A6" s="6" t="s">
        <v>23</v>
      </c>
      <c r="B6" s="6">
        <v>24</v>
      </c>
      <c r="C6" s="6" t="s">
        <v>24</v>
      </c>
    </row>
    <row r="7" spans="1:3" x14ac:dyDescent="0.25">
      <c r="A7" s="6" t="s">
        <v>25</v>
      </c>
      <c r="B7" s="6">
        <v>912</v>
      </c>
      <c r="C7" s="6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zoomScaleNormal="100" workbookViewId="0"/>
  </sheetViews>
  <sheetFormatPr defaultColWidth="8.7109375" defaultRowHeight="15" x14ac:dyDescent="0.25"/>
  <cols>
    <col min="1" max="1" width="23" customWidth="1"/>
    <col min="2" max="2" width="12" customWidth="1"/>
    <col min="3" max="3" width="22" customWidth="1"/>
    <col min="4" max="4" width="40" customWidth="1"/>
  </cols>
  <sheetData>
    <row r="1" spans="1:4" ht="27.75" customHeight="1" x14ac:dyDescent="0.25">
      <c r="A1" s="1" t="s">
        <v>27</v>
      </c>
      <c r="B1" s="1" t="s">
        <v>13</v>
      </c>
      <c r="C1" s="1" t="s">
        <v>28</v>
      </c>
      <c r="D1" s="1" t="s">
        <v>29</v>
      </c>
    </row>
    <row r="2" spans="1:4" x14ac:dyDescent="0.25">
      <c r="A2" s="4" t="s">
        <v>30</v>
      </c>
      <c r="B2" s="4">
        <v>864</v>
      </c>
      <c r="C2" s="5">
        <v>0.94736842105263197</v>
      </c>
      <c r="D2" s="4" t="s">
        <v>31</v>
      </c>
    </row>
    <row r="3" spans="1:4" x14ac:dyDescent="0.25">
      <c r="A3" s="2" t="s">
        <v>32</v>
      </c>
      <c r="B3" s="2">
        <v>18</v>
      </c>
      <c r="C3" s="3">
        <v>1.9736842105263198E-2</v>
      </c>
      <c r="D3" s="2" t="s">
        <v>33</v>
      </c>
    </row>
    <row r="4" spans="1:4" x14ac:dyDescent="0.25">
      <c r="A4" s="7" t="s">
        <v>34</v>
      </c>
      <c r="B4" s="7">
        <v>15</v>
      </c>
      <c r="C4" s="8">
        <v>1.6447368421052599E-2</v>
      </c>
      <c r="D4" s="7" t="s">
        <v>35</v>
      </c>
    </row>
    <row r="5" spans="1:4" x14ac:dyDescent="0.25">
      <c r="A5" s="7" t="s">
        <v>36</v>
      </c>
      <c r="B5" s="7">
        <v>15</v>
      </c>
      <c r="C5" s="8">
        <v>1.6447368421052599E-2</v>
      </c>
      <c r="D5" s="7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zoomScaleNormal="100" workbookViewId="0"/>
  </sheetViews>
  <sheetFormatPr defaultColWidth="8.7109375" defaultRowHeight="15" x14ac:dyDescent="0.25"/>
  <cols>
    <col min="1" max="1" width="29" customWidth="1"/>
    <col min="2" max="2" width="12" customWidth="1"/>
    <col min="3" max="3" width="21" customWidth="1"/>
    <col min="4" max="4" width="40" customWidth="1"/>
  </cols>
  <sheetData>
    <row r="1" spans="1:4" ht="27.75" customHeight="1" x14ac:dyDescent="0.25">
      <c r="A1" s="1" t="s">
        <v>38</v>
      </c>
      <c r="B1" s="1" t="s">
        <v>13</v>
      </c>
      <c r="C1" s="1" t="s">
        <v>28</v>
      </c>
      <c r="D1" s="1" t="s">
        <v>14</v>
      </c>
    </row>
    <row r="2" spans="1:4" x14ac:dyDescent="0.25">
      <c r="A2" s="4" t="s">
        <v>30</v>
      </c>
      <c r="B2" s="4">
        <v>821</v>
      </c>
      <c r="C2" s="5">
        <v>0.90021929824561397</v>
      </c>
      <c r="D2" s="4" t="s">
        <v>39</v>
      </c>
    </row>
    <row r="3" spans="1:4" x14ac:dyDescent="0.25">
      <c r="A3" s="7" t="s">
        <v>40</v>
      </c>
      <c r="B3" s="7">
        <v>91</v>
      </c>
      <c r="C3" s="8">
        <v>9.9780701754385998E-2</v>
      </c>
      <c r="D3" s="7" t="s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Normal="100" workbookViewId="0"/>
  </sheetViews>
  <sheetFormatPr defaultColWidth="8.7109375" defaultRowHeight="15" x14ac:dyDescent="0.25"/>
  <cols>
    <col min="1" max="1" width="14" customWidth="1"/>
    <col min="2" max="2" width="16" customWidth="1"/>
    <col min="3" max="3" width="12" customWidth="1"/>
    <col min="4" max="4" width="20" customWidth="1"/>
    <col min="5" max="5" width="26" customWidth="1"/>
  </cols>
  <sheetData>
    <row r="1" spans="1:5" ht="27.75" customHeight="1" x14ac:dyDescent="0.25">
      <c r="A1" s="1" t="s">
        <v>42</v>
      </c>
      <c r="B1" s="1" t="s">
        <v>43</v>
      </c>
      <c r="C1" s="1" t="s">
        <v>13</v>
      </c>
      <c r="D1" s="1" t="s">
        <v>44</v>
      </c>
      <c r="E1" s="1" t="s">
        <v>14</v>
      </c>
    </row>
    <row r="2" spans="1:5" x14ac:dyDescent="0.25">
      <c r="A2" s="9" t="s">
        <v>45</v>
      </c>
      <c r="B2" s="9" t="s">
        <v>46</v>
      </c>
      <c r="C2" s="9">
        <v>32</v>
      </c>
      <c r="D2" s="9" t="s">
        <v>47</v>
      </c>
      <c r="E2" s="9"/>
    </row>
    <row r="3" spans="1:5" x14ac:dyDescent="0.25">
      <c r="A3" s="7" t="s">
        <v>45</v>
      </c>
      <c r="B3" s="7" t="s">
        <v>48</v>
      </c>
      <c r="C3" s="7">
        <v>39</v>
      </c>
      <c r="D3" s="7" t="s">
        <v>49</v>
      </c>
      <c r="E3" s="7" t="s">
        <v>50</v>
      </c>
    </row>
    <row r="4" spans="1:5" x14ac:dyDescent="0.25">
      <c r="A4" s="9" t="s">
        <v>45</v>
      </c>
      <c r="B4" s="9" t="s">
        <v>51</v>
      </c>
      <c r="C4" s="9">
        <v>37</v>
      </c>
      <c r="D4" s="9" t="s">
        <v>47</v>
      </c>
      <c r="E4" s="9"/>
    </row>
    <row r="5" spans="1:5" x14ac:dyDescent="0.25">
      <c r="A5" s="7" t="s">
        <v>45</v>
      </c>
      <c r="B5" s="7" t="s">
        <v>52</v>
      </c>
      <c r="C5" s="7">
        <v>37</v>
      </c>
      <c r="D5" s="7" t="s">
        <v>49</v>
      </c>
      <c r="E5" s="7" t="s">
        <v>53</v>
      </c>
    </row>
    <row r="6" spans="1:5" x14ac:dyDescent="0.25">
      <c r="A6" s="7" t="s">
        <v>54</v>
      </c>
      <c r="B6" s="7" t="s">
        <v>46</v>
      </c>
      <c r="C6" s="7">
        <v>2</v>
      </c>
      <c r="D6" s="7" t="s">
        <v>49</v>
      </c>
      <c r="E6" s="7" t="s">
        <v>55</v>
      </c>
    </row>
    <row r="7" spans="1:5" x14ac:dyDescent="0.25">
      <c r="A7" s="4" t="s">
        <v>54</v>
      </c>
      <c r="B7" s="4" t="s">
        <v>48</v>
      </c>
      <c r="C7" s="4">
        <v>602</v>
      </c>
      <c r="D7" s="4" t="s">
        <v>56</v>
      </c>
      <c r="E7" s="4" t="s">
        <v>57</v>
      </c>
    </row>
    <row r="8" spans="1:5" x14ac:dyDescent="0.25">
      <c r="A8" s="9" t="s">
        <v>58</v>
      </c>
      <c r="B8" s="9" t="s">
        <v>46</v>
      </c>
      <c r="C8" s="9">
        <v>35</v>
      </c>
      <c r="D8" s="9" t="s">
        <v>47</v>
      </c>
      <c r="E8" s="9"/>
    </row>
    <row r="9" spans="1:5" x14ac:dyDescent="0.25">
      <c r="A9" s="7" t="s">
        <v>58</v>
      </c>
      <c r="B9" s="7" t="s">
        <v>48</v>
      </c>
      <c r="C9" s="7">
        <v>45</v>
      </c>
      <c r="D9" s="7" t="s">
        <v>49</v>
      </c>
      <c r="E9" s="7" t="s">
        <v>59</v>
      </c>
    </row>
    <row r="10" spans="1:5" x14ac:dyDescent="0.25">
      <c r="A10" s="7" t="s">
        <v>58</v>
      </c>
      <c r="B10" s="7" t="s">
        <v>51</v>
      </c>
      <c r="C10" s="7">
        <v>49</v>
      </c>
      <c r="D10" s="7" t="s">
        <v>49</v>
      </c>
      <c r="E10" s="7" t="s">
        <v>60</v>
      </c>
    </row>
    <row r="11" spans="1:5" x14ac:dyDescent="0.25">
      <c r="A11" s="7" t="s">
        <v>58</v>
      </c>
      <c r="B11" s="7" t="s">
        <v>52</v>
      </c>
      <c r="C11" s="7">
        <v>34</v>
      </c>
      <c r="D11" s="7" t="s">
        <v>49</v>
      </c>
      <c r="E11" s="7" t="s">
        <v>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zoomScaleNormal="100" workbookViewId="0"/>
  </sheetViews>
  <sheetFormatPr defaultColWidth="8.7109375" defaultRowHeight="15" x14ac:dyDescent="0.25"/>
  <cols>
    <col min="1" max="1" width="29" customWidth="1"/>
    <col min="2" max="2" width="12" customWidth="1"/>
    <col min="3" max="3" width="32" customWidth="1"/>
  </cols>
  <sheetData>
    <row r="1" spans="1:3" ht="27.75" customHeight="1" x14ac:dyDescent="0.25">
      <c r="A1" s="1" t="s">
        <v>12</v>
      </c>
      <c r="B1" s="1" t="s">
        <v>62</v>
      </c>
      <c r="C1" s="1" t="s">
        <v>14</v>
      </c>
    </row>
    <row r="2" spans="1:3" x14ac:dyDescent="0.25">
      <c r="A2" s="6" t="s">
        <v>63</v>
      </c>
      <c r="B2" s="6">
        <v>882</v>
      </c>
      <c r="C2" s="6" t="s">
        <v>64</v>
      </c>
    </row>
    <row r="3" spans="1:3" x14ac:dyDescent="0.25">
      <c r="A3" s="6" t="s">
        <v>65</v>
      </c>
      <c r="B3" s="6">
        <v>848</v>
      </c>
      <c r="C3" s="6"/>
    </row>
    <row r="4" spans="1:3" x14ac:dyDescent="0.25">
      <c r="A4" s="7" t="s">
        <v>66</v>
      </c>
      <c r="B4" s="7">
        <v>34</v>
      </c>
      <c r="C4" s="7" t="s">
        <v>67</v>
      </c>
    </row>
    <row r="5" spans="1:3" x14ac:dyDescent="0.25">
      <c r="A5" s="6" t="s">
        <v>68</v>
      </c>
      <c r="B5" s="6">
        <v>8738423.8599999994</v>
      </c>
      <c r="C5" s="6"/>
    </row>
    <row r="6" spans="1:3" x14ac:dyDescent="0.25">
      <c r="A6" s="6" t="s">
        <v>69</v>
      </c>
      <c r="B6" s="6">
        <v>8758801.0999999996</v>
      </c>
      <c r="C6" s="6"/>
    </row>
    <row r="7" spans="1:3" x14ac:dyDescent="0.25">
      <c r="A7" s="6" t="s">
        <v>70</v>
      </c>
      <c r="B7" s="6">
        <v>20377.240000000002</v>
      </c>
      <c r="C7" s="6" t="s">
        <v>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zoomScaleNormal="100" workbookViewId="0">
      <selection activeCell="B6" sqref="B6"/>
    </sheetView>
  </sheetViews>
  <sheetFormatPr defaultColWidth="8.7109375" defaultRowHeight="15" x14ac:dyDescent="0.25"/>
  <cols>
    <col min="1" max="1" width="19" customWidth="1"/>
    <col min="2" max="2" width="12" customWidth="1"/>
    <col min="3" max="3" width="21" customWidth="1"/>
    <col min="4" max="4" width="40" customWidth="1"/>
  </cols>
  <sheetData>
    <row r="1" spans="1:4" ht="27.75" customHeight="1" x14ac:dyDescent="0.25">
      <c r="A1" s="1" t="s">
        <v>72</v>
      </c>
      <c r="B1" s="1" t="s">
        <v>13</v>
      </c>
      <c r="C1" s="1" t="s">
        <v>28</v>
      </c>
      <c r="D1" s="1" t="s">
        <v>73</v>
      </c>
    </row>
    <row r="2" spans="1:4" x14ac:dyDescent="0.25">
      <c r="A2" s="4" t="s">
        <v>74</v>
      </c>
      <c r="B2" s="4">
        <v>720</v>
      </c>
      <c r="C2" s="5">
        <f>B2/912</f>
        <v>0.78947368421052633</v>
      </c>
      <c r="D2" s="4" t="s">
        <v>75</v>
      </c>
    </row>
    <row r="3" spans="1:4" x14ac:dyDescent="0.25">
      <c r="A3" s="7" t="s">
        <v>76</v>
      </c>
      <c r="B3" s="7">
        <v>137</v>
      </c>
      <c r="C3" s="5">
        <f t="shared" ref="C3:C4" si="0">B3/912</f>
        <v>0.15021929824561403</v>
      </c>
      <c r="D3" s="7" t="s">
        <v>77</v>
      </c>
    </row>
    <row r="4" spans="1:4" x14ac:dyDescent="0.25">
      <c r="A4" s="2" t="s">
        <v>78</v>
      </c>
      <c r="B4" s="2">
        <v>55</v>
      </c>
      <c r="C4" s="5">
        <f t="shared" si="0"/>
        <v>6.0307017543859649E-2</v>
      </c>
      <c r="D4" s="2" t="s">
        <v>79</v>
      </c>
    </row>
    <row r="5" spans="1:4" x14ac:dyDescent="0.25">
      <c r="A5" s="10" t="s">
        <v>80</v>
      </c>
      <c r="B5" s="10">
        <f>B2+B3+B4</f>
        <v>912</v>
      </c>
      <c r="C5" s="11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Missing Values</vt:lpstr>
      <vt:lpstr>2 - Duplicate Summary</vt:lpstr>
      <vt:lpstr>3 - Discount Issues</vt:lpstr>
      <vt:lpstr>4 - Date Issues</vt:lpstr>
      <vt:lpstr>5 - Order Status Summary</vt:lpstr>
      <vt:lpstr>6 - Sales Calc Check</vt:lpstr>
      <vt:lpstr>7 - Quality 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RENY</cp:lastModifiedBy>
  <cp:revision>0</cp:revision>
  <dcterms:created xsi:type="dcterms:W3CDTF">2026-06-22T21:16:48Z</dcterms:created>
  <dcterms:modified xsi:type="dcterms:W3CDTF">2026-06-28T12:19:04Z</dcterms:modified>
  <dc:language>en-US</dc:language>
</cp:coreProperties>
</file>